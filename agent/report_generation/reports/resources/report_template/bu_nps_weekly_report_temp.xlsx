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3902163\Desktop\workspace\cxagent\batch\app\agent\report_generation\reports\resources\report_template\"/>
    </mc:Choice>
  </mc:AlternateContent>
  <xr:revisionPtr revIDLastSave="0" documentId="13_ncr:1_{DFBCAF53-E625-4668-A9E4-C0516A55A42A}" xr6:coauthVersionLast="47" xr6:coauthVersionMax="47" xr10:uidLastSave="{00000000-0000-0000-0000-000000000000}"/>
  <bookViews>
    <workbookView xWindow="-16260" yWindow="-60" windowWidth="16320" windowHeight="28920" xr2:uid="{4F43E110-4D06-4450-9A8A-70AB43B5F792}"/>
  </bookViews>
  <sheets>
    <sheet name="1.NPS대시보드" sheetId="1" r:id="rId1"/>
    <sheet name="2.NSS,CCI대시보드" sheetId="5" r:id="rId2"/>
    <sheet name="3.VOC대시보드" sheetId="7" r:id="rId3"/>
    <sheet name="BU_NPS_RAW" sheetId="11" r:id="rId4"/>
    <sheet name="NPS관리활동_RAW" sheetId="8" r:id="rId5"/>
    <sheet name="고객경험단계별NPS_RAW" sheetId="9" r:id="rId6"/>
  </sheets>
  <definedNames>
    <definedName name="_xlnm.Print_Area" localSheetId="0">'1.NPS대시보드'!$A$1:$BE$63</definedName>
    <definedName name="_xlnm.Print_Area" localSheetId="1">'2.NSS,CCI대시보드'!$A$1:$BE$71</definedName>
    <definedName name="_xlnm.Print_Area" localSheetId="2">'3.VOC대시보드'!$A$1:$BE$62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H43" i="5" l="1"/>
  <c r="AM67" i="5" a="1"/>
  <c r="AM67" i="5" s="1"/>
  <c r="AM68" i="5" a="1"/>
  <c r="AM68" i="5" s="1"/>
  <c r="AM69" i="5" a="1"/>
  <c r="AM69" i="5" s="1"/>
  <c r="AM70" i="5" a="1"/>
  <c r="AM70" i="5" s="1"/>
  <c r="AM66" i="5" a="1"/>
  <c r="AM66" i="5" s="1"/>
  <c r="AM65" i="5" a="1"/>
  <c r="AM65" i="5" s="1"/>
  <c r="AM60" i="5" a="1"/>
  <c r="AM60" i="5" s="1"/>
  <c r="AM61" i="5" a="1"/>
  <c r="AM61" i="5" s="1"/>
  <c r="AM62" i="5" a="1"/>
  <c r="AM62" i="5" s="1"/>
  <c r="AM63" i="5" a="1"/>
  <c r="AM63" i="5" s="1"/>
  <c r="AM59" i="5" a="1"/>
  <c r="AM59" i="5" s="1"/>
  <c r="AM58" i="5" a="1"/>
  <c r="AM58" i="5" s="1"/>
  <c r="AY55" i="5"/>
  <c r="AG55" i="5" s="1"/>
  <c r="AM55" i="5" s="1" a="1"/>
  <c r="AM55" i="5" s="1"/>
  <c r="AS55" i="5"/>
  <c r="AM54" i="5" a="1"/>
  <c r="AM54" i="5" s="1"/>
  <c r="AM56" i="5" a="1"/>
  <c r="AM56" i="5" s="1"/>
  <c r="AM53" i="5" a="1"/>
  <c r="AM53" i="5" s="1"/>
  <c r="AM52" i="5" a="1"/>
  <c r="AM52" i="5" s="1"/>
  <c r="AM45" i="5" a="1"/>
  <c r="AM45" i="5" s="1"/>
  <c r="AM46" i="5" a="1"/>
  <c r="AM46" i="5" s="1"/>
  <c r="AM47" i="5" a="1"/>
  <c r="AM47" i="5" s="1"/>
  <c r="AM48" i="5" a="1"/>
  <c r="AM48" i="5" s="1"/>
  <c r="AM49" i="5" a="1"/>
  <c r="AM49" i="5" s="1"/>
  <c r="AM50" i="5" a="1"/>
  <c r="AM50" i="5" s="1"/>
  <c r="AM44" i="5" a="1"/>
  <c r="AM44" i="5" s="1"/>
  <c r="AM43" i="5" a="1"/>
  <c r="AM43" i="5" s="1"/>
  <c r="AG67" i="5"/>
  <c r="AG68" i="5"/>
  <c r="AG69" i="5"/>
  <c r="AG70" i="5"/>
  <c r="AG66" i="5"/>
  <c r="AG65" i="5"/>
  <c r="AG60" i="5"/>
  <c r="AG61" i="5"/>
  <c r="AG62" i="5"/>
  <c r="AG63" i="5"/>
  <c r="AG59" i="5"/>
  <c r="AG58" i="5"/>
  <c r="AG54" i="5"/>
  <c r="AG56" i="5"/>
  <c r="AG53" i="5"/>
  <c r="AG52" i="5"/>
  <c r="AG45" i="5"/>
  <c r="AG46" i="5"/>
  <c r="AG47" i="5"/>
  <c r="AG48" i="5"/>
  <c r="AG49" i="5"/>
  <c r="AG50" i="5"/>
  <c r="AG44" i="5"/>
  <c r="AG43" i="5"/>
  <c r="O70" i="5" a="1"/>
  <c r="O70" i="5" s="1"/>
  <c r="O67" i="5" a="1"/>
  <c r="O67" i="5" s="1"/>
  <c r="O68" i="5" a="1"/>
  <c r="O68" i="5" s="1"/>
  <c r="O69" i="5" a="1"/>
  <c r="O69" i="5" s="1"/>
  <c r="O66" i="5" a="1"/>
  <c r="O66" i="5" s="1"/>
  <c r="O65" i="5" a="1"/>
  <c r="O65" i="5" s="1"/>
  <c r="O60" i="5" a="1"/>
  <c r="O60" i="5" s="1"/>
  <c r="O61" i="5" a="1"/>
  <c r="O61" i="5" s="1"/>
  <c r="O62" i="5" a="1"/>
  <c r="O62" i="5" s="1"/>
  <c r="O63" i="5" a="1"/>
  <c r="O63" i="5" s="1"/>
  <c r="O59" i="5" a="1"/>
  <c r="O59" i="5" s="1"/>
  <c r="O58" i="5" a="1"/>
  <c r="O58" i="5" s="1"/>
  <c r="O55" i="5" l="1" a="1"/>
  <c r="O55" i="5" s="1"/>
  <c r="O54" i="5" a="1"/>
  <c r="O54" i="5" s="1"/>
  <c r="O56" i="5" a="1"/>
  <c r="O56" i="5" s="1"/>
  <c r="O53" i="5" a="1"/>
  <c r="O53" i="5" s="1"/>
  <c r="O52" i="5" a="1"/>
  <c r="O52" i="5" s="1"/>
  <c r="O45" i="5" a="1"/>
  <c r="O45" i="5" s="1"/>
  <c r="O46" i="5" a="1"/>
  <c r="O46" i="5" s="1"/>
  <c r="O47" i="5" a="1"/>
  <c r="O47" i="5" s="1"/>
  <c r="O48" i="5" a="1"/>
  <c r="O48" i="5" s="1"/>
  <c r="O49" i="5" a="1"/>
  <c r="O49" i="5" s="1"/>
  <c r="O50" i="5" a="1"/>
  <c r="O50" i="5" s="1"/>
  <c r="O44" i="5" a="1"/>
  <c r="O44" i="5" s="1"/>
  <c r="O43" i="5" a="1"/>
  <c r="O43" i="5" s="1"/>
  <c r="U55" i="5"/>
  <c r="AA55" i="5"/>
  <c r="I31" i="5" a="1"/>
  <c r="I31" i="5" s="1"/>
  <c r="I32" i="5" a="1"/>
  <c r="I32" i="5" s="1"/>
  <c r="I15" i="5" a="1"/>
  <c r="I15" i="5" s="1"/>
  <c r="I14" i="5" a="1"/>
  <c r="I14" i="5" s="1"/>
  <c r="BA15" i="5" a="1"/>
  <c r="BA15" i="5" s="1"/>
  <c r="AP15" i="5" a="1"/>
  <c r="AP15" i="5" s="1"/>
  <c r="AE15" i="5" a="1"/>
  <c r="AE15" i="5" s="1"/>
  <c r="T15" i="5" a="1"/>
  <c r="T15" i="5" s="1"/>
  <c r="BA32" i="5" a="1"/>
  <c r="BA32" i="5" s="1"/>
  <c r="AP32" i="5" a="1"/>
  <c r="AP32" i="5" s="1"/>
  <c r="AE32" i="5" a="1"/>
  <c r="AE32" i="5" s="1"/>
  <c r="T32" i="5" a="1"/>
  <c r="T32" i="5" s="1"/>
  <c r="O64" i="5" a="1"/>
  <c r="O64" i="5" s="1"/>
  <c r="BA14" i="5" s="1"/>
  <c r="O57" i="5" a="1"/>
  <c r="O57" i="5" s="1"/>
  <c r="AP14" i="5" s="1"/>
  <c r="O51" i="5" a="1"/>
  <c r="O51" i="5" s="1"/>
  <c r="AE14" i="5" s="1"/>
  <c r="O42" i="5" a="1"/>
  <c r="O42" i="5" s="1"/>
  <c r="T14" i="5" s="1"/>
  <c r="Y33" i="1"/>
  <c r="U33" i="1"/>
  <c r="Q33" i="1"/>
  <c r="Y32" i="1"/>
  <c r="U32" i="1"/>
  <c r="Q32" i="1"/>
  <c r="AS33" i="1"/>
  <c r="AO33" i="1"/>
  <c r="AK33" i="1"/>
  <c r="AS32" i="1"/>
  <c r="AO32" i="1"/>
  <c r="AK32" i="1"/>
  <c r="AK34" i="1" a="1"/>
  <c r="AK34" i="1" s="1"/>
  <c r="AO34" i="1" a="1"/>
  <c r="AO34" i="1" s="1"/>
  <c r="AS34" i="1" a="1"/>
  <c r="AS34" i="1" s="1"/>
  <c r="BH44" i="5"/>
  <c r="AM42" i="5" a="1"/>
  <c r="AM42" i="5" s="1"/>
  <c r="T31" i="5" s="1"/>
  <c r="AM51" i="5" a="1"/>
  <c r="AM51" i="5" s="1"/>
  <c r="AE31" i="5" s="1"/>
  <c r="AM57" i="5" a="1"/>
  <c r="AM57" i="5" s="1"/>
  <c r="AP31" i="5" s="1"/>
  <c r="AM64" i="5" a="1"/>
  <c r="AM64" i="5" s="1"/>
  <c r="BA31" i="5" s="1"/>
  <c r="AG64" i="5"/>
  <c r="AG57" i="5"/>
  <c r="AG51" i="5"/>
  <c r="AG42" i="5"/>
  <c r="D29" i="5"/>
  <c r="D12" i="5"/>
  <c r="AV29" i="5"/>
  <c r="AK29" i="5"/>
  <c r="Z29" i="5"/>
  <c r="O29" i="5"/>
  <c r="AV12" i="5"/>
  <c r="AK12" i="5"/>
  <c r="Z12" i="5"/>
  <c r="O12" i="5"/>
  <c r="AY70" i="5"/>
  <c r="AS70" i="5"/>
  <c r="AY69" i="5"/>
  <c r="AS69" i="5"/>
  <c r="AY68" i="5"/>
  <c r="AS68" i="5"/>
  <c r="AY67" i="5"/>
  <c r="AS67" i="5"/>
  <c r="AY66" i="5"/>
  <c r="AS66" i="5"/>
  <c r="AY65" i="5"/>
  <c r="AS65" i="5"/>
  <c r="AY64" i="5"/>
  <c r="AS64" i="5"/>
  <c r="AY63" i="5"/>
  <c r="AS63" i="5"/>
  <c r="AY62" i="5"/>
  <c r="AS62" i="5"/>
  <c r="AY61" i="5"/>
  <c r="AS61" i="5"/>
  <c r="AY60" i="5"/>
  <c r="AS60" i="5"/>
  <c r="AY59" i="5"/>
  <c r="AS59" i="5"/>
  <c r="AY58" i="5"/>
  <c r="AS58" i="5"/>
  <c r="AY57" i="5"/>
  <c r="AS57" i="5"/>
  <c r="AY56" i="5"/>
  <c r="AS56" i="5"/>
  <c r="AY54" i="5"/>
  <c r="AS54" i="5"/>
  <c r="AY53" i="5"/>
  <c r="AS53" i="5"/>
  <c r="AY52" i="5"/>
  <c r="AS52" i="5"/>
  <c r="AY51" i="5"/>
  <c r="AS51" i="5"/>
  <c r="AY50" i="5"/>
  <c r="AS50" i="5"/>
  <c r="AY49" i="5"/>
  <c r="AS49" i="5"/>
  <c r="AY48" i="5"/>
  <c r="AS48" i="5"/>
  <c r="AY47" i="5"/>
  <c r="AS47" i="5"/>
  <c r="AY46" i="5"/>
  <c r="AS46" i="5"/>
  <c r="AY45" i="5"/>
  <c r="AS45" i="5"/>
  <c r="AY44" i="5"/>
  <c r="AS44" i="5"/>
  <c r="AY43" i="5"/>
  <c r="AS43" i="5"/>
  <c r="AY42" i="5"/>
  <c r="AS42" i="5"/>
  <c r="AA70" i="5"/>
  <c r="U70" i="5"/>
  <c r="AA69" i="5"/>
  <c r="U69" i="5"/>
  <c r="AA68" i="5"/>
  <c r="U68" i="5"/>
  <c r="AA67" i="5"/>
  <c r="U67" i="5"/>
  <c r="AA66" i="5"/>
  <c r="U66" i="5"/>
  <c r="AA65" i="5"/>
  <c r="U65" i="5"/>
  <c r="AA64" i="5"/>
  <c r="U64" i="5"/>
  <c r="AA63" i="5"/>
  <c r="U63" i="5"/>
  <c r="AA62" i="5"/>
  <c r="U62" i="5"/>
  <c r="AA61" i="5"/>
  <c r="U61" i="5"/>
  <c r="AA60" i="5"/>
  <c r="U60" i="5"/>
  <c r="AA59" i="5"/>
  <c r="U59" i="5"/>
  <c r="AA58" i="5"/>
  <c r="U58" i="5"/>
  <c r="AA57" i="5"/>
  <c r="U57" i="5"/>
  <c r="AA56" i="5"/>
  <c r="U56" i="5"/>
  <c r="AA54" i="5"/>
  <c r="U54" i="5"/>
  <c r="AA53" i="5"/>
  <c r="U53" i="5"/>
  <c r="AA52" i="5"/>
  <c r="U52" i="5"/>
  <c r="AA51" i="5"/>
  <c r="U51" i="5"/>
  <c r="AA50" i="5"/>
  <c r="U50" i="5"/>
  <c r="AA49" i="5"/>
  <c r="U49" i="5"/>
  <c r="AA48" i="5"/>
  <c r="U48" i="5"/>
  <c r="AA47" i="5"/>
  <c r="U47" i="5"/>
  <c r="AA46" i="5"/>
  <c r="U46" i="5"/>
  <c r="AA45" i="5"/>
  <c r="U45" i="5"/>
  <c r="AA44" i="5"/>
  <c r="U44" i="5"/>
  <c r="AA43" i="5"/>
  <c r="U43" i="5"/>
  <c r="AA42" i="5"/>
  <c r="U42" i="5"/>
  <c r="AC45" i="1"/>
  <c r="AC44" i="1"/>
  <c r="AC43" i="1"/>
  <c r="AC42" i="1"/>
  <c r="AC40" i="1"/>
  <c r="AC39" i="1"/>
  <c r="AC37" i="1"/>
  <c r="AC36" i="1"/>
  <c r="AC34" i="1"/>
  <c r="AC33" i="1"/>
  <c r="AC32" i="1"/>
  <c r="AC31" i="1"/>
  <c r="AC30" i="1"/>
  <c r="AS45" i="1" a="1"/>
  <c r="AS45" i="1" s="1"/>
  <c r="AO45" i="1" a="1"/>
  <c r="AO45" i="1" s="1"/>
  <c r="AK45" i="1" a="1"/>
  <c r="AK45" i="1" s="1"/>
  <c r="AS44" i="1"/>
  <c r="AO44" i="1"/>
  <c r="AK44" i="1"/>
  <c r="AS43" i="1"/>
  <c r="AO43" i="1"/>
  <c r="AK43" i="1"/>
  <c r="AS42" i="1"/>
  <c r="AO42" i="1"/>
  <c r="AK42" i="1"/>
  <c r="BA15" i="1"/>
  <c r="BA14" i="1"/>
  <c r="AV12" i="1"/>
  <c r="AS40" i="1"/>
  <c r="AO40" i="1"/>
  <c r="AK40" i="1"/>
  <c r="AS37" i="1"/>
  <c r="AO37" i="1"/>
  <c r="AK37" i="1"/>
  <c r="AK39" i="1"/>
  <c r="AS39" i="1"/>
  <c r="AO39" i="1"/>
  <c r="AS36" i="1"/>
  <c r="AO36" i="1"/>
  <c r="AK36" i="1"/>
  <c r="AS31" i="1" l="1"/>
  <c r="AO31" i="1"/>
  <c r="AK31" i="1"/>
  <c r="AS30" i="1"/>
  <c r="AO30" i="1"/>
  <c r="AK30" i="1"/>
  <c r="Y45" i="1" a="1"/>
  <c r="Y45" i="1" s="1"/>
  <c r="U45" i="1" a="1"/>
  <c r="U45" i="1" s="1"/>
  <c r="Q45" i="1" a="1"/>
  <c r="Q45" i="1" s="1"/>
  <c r="Y40" i="1"/>
  <c r="U40" i="1"/>
  <c r="Q40" i="1"/>
  <c r="Y37" i="1"/>
  <c r="U37" i="1"/>
  <c r="Q37" i="1"/>
  <c r="Q34" i="1" a="1"/>
  <c r="Q34" i="1" s="1"/>
  <c r="Y34" i="1" a="1"/>
  <c r="Y34" i="1" s="1"/>
  <c r="U34" i="1" a="1"/>
  <c r="U34" i="1" s="1"/>
  <c r="Y44" i="1"/>
  <c r="U44" i="1"/>
  <c r="Q44" i="1"/>
  <c r="Y43" i="1"/>
  <c r="U43" i="1"/>
  <c r="Q43" i="1"/>
  <c r="Y42" i="1"/>
  <c r="U42" i="1"/>
  <c r="Q42" i="1"/>
  <c r="Y39" i="1"/>
  <c r="U39" i="1"/>
  <c r="Q39" i="1"/>
  <c r="Y36" i="1"/>
  <c r="U36" i="1"/>
  <c r="Q36" i="1"/>
  <c r="Y31" i="1"/>
  <c r="U31" i="1"/>
  <c r="Q31" i="1"/>
  <c r="Y30" i="1"/>
  <c r="U30" i="1"/>
  <c r="Q30" i="1"/>
  <c r="BH42" i="5" a="1"/>
  <c r="BH42" i="5" s="1"/>
  <c r="AP15" i="1"/>
  <c r="AE15" i="1"/>
  <c r="T15" i="1"/>
  <c r="I15" i="1"/>
  <c r="AP14" i="1"/>
  <c r="AE14" i="1"/>
  <c r="T14" i="1"/>
  <c r="I14" i="1"/>
  <c r="AK12" i="1"/>
  <c r="Z12" i="1"/>
  <c r="O12" i="1"/>
  <c r="D12" i="1"/>
  <c r="L62" i="1" a="1"/>
  <c r="L62" i="1" s="1"/>
  <c r="I62" i="1" a="1"/>
  <c r="I62" i="1" s="1"/>
  <c r="L61" i="1" a="1"/>
  <c r="L61" i="1" s="1"/>
  <c r="I61" i="1" a="1"/>
  <c r="I61" i="1" s="1"/>
  <c r="BB60" i="1" a="1"/>
  <c r="BB60" i="1" s="1"/>
  <c r="AY60" i="1" a="1"/>
  <c r="AY60" i="1" s="1"/>
  <c r="AN60" i="1" a="1"/>
  <c r="AN60" i="1" s="1"/>
  <c r="AK60" i="1" a="1"/>
  <c r="AK60" i="1" s="1"/>
  <c r="L60" i="1" a="1"/>
  <c r="L60" i="1" s="1"/>
  <c r="I60" i="1" a="1"/>
  <c r="I60" i="1" s="1"/>
  <c r="BB59" i="1" a="1"/>
  <c r="BB59" i="1" s="1"/>
  <c r="AY59" i="1" a="1"/>
  <c r="AY59" i="1" s="1"/>
  <c r="AN59" i="1" a="1"/>
  <c r="AN59" i="1" s="1"/>
  <c r="AK59" i="1" a="1"/>
  <c r="AK59" i="1" s="1"/>
  <c r="Z59" i="1" a="1"/>
  <c r="Z59" i="1" s="1"/>
  <c r="W59" i="1" a="1"/>
  <c r="W59" i="1" s="1"/>
  <c r="L59" i="1" a="1"/>
  <c r="L59" i="1" s="1"/>
  <c r="I59" i="1" a="1"/>
  <c r="I59" i="1" s="1"/>
  <c r="BB58" i="1" a="1"/>
  <c r="BB58" i="1" s="1"/>
  <c r="AY58" i="1" a="1"/>
  <c r="AY58" i="1" s="1"/>
  <c r="AN58" i="1" a="1"/>
  <c r="AN58" i="1" s="1"/>
  <c r="AK58" i="1" a="1"/>
  <c r="AK58" i="1" s="1"/>
  <c r="Z58" i="1" a="1"/>
  <c r="Z58" i="1" s="1"/>
  <c r="W58" i="1" a="1"/>
  <c r="W58" i="1" s="1"/>
  <c r="L58" i="1" a="1"/>
  <c r="L58" i="1" s="1"/>
  <c r="I58" i="1" a="1"/>
  <c r="I58" i="1" s="1"/>
  <c r="BB57" i="1" a="1"/>
  <c r="BB57" i="1" s="1"/>
  <c r="AY57" i="1" a="1"/>
  <c r="AY57" i="1" s="1"/>
  <c r="AN57" i="1" a="1"/>
  <c r="AN57" i="1" s="1"/>
  <c r="AK57" i="1" a="1"/>
  <c r="AK57" i="1" s="1"/>
  <c r="Z57" i="1" a="1"/>
  <c r="Z57" i="1" s="1"/>
  <c r="W57" i="1" a="1"/>
  <c r="W57" i="1" s="1"/>
  <c r="L57" i="1" a="1"/>
  <c r="L57" i="1" s="1"/>
  <c r="I57" i="1" a="1"/>
  <c r="I57" i="1" s="1"/>
  <c r="BB56" i="1" a="1"/>
  <c r="BB56" i="1" s="1"/>
  <c r="AY56" i="1" a="1"/>
  <c r="AY56" i="1" s="1"/>
  <c r="AN56" i="1" a="1"/>
  <c r="AN56" i="1" s="1"/>
  <c r="AK56" i="1" a="1"/>
  <c r="AK56" i="1" s="1"/>
  <c r="Z56" i="1" a="1"/>
  <c r="Z56" i="1" s="1"/>
  <c r="W56" i="1" a="1"/>
  <c r="W56" i="1" s="1"/>
  <c r="L56" i="1" a="1"/>
  <c r="L56" i="1" s="1"/>
  <c r="I56" i="1" a="1"/>
  <c r="I56" i="1" s="1"/>
  <c r="BB55" i="1" a="1"/>
  <c r="BB55" i="1" s="1"/>
  <c r="AY55" i="1" a="1"/>
  <c r="AY55" i="1" s="1"/>
  <c r="AN55" i="1" a="1"/>
  <c r="AN55" i="1" s="1"/>
  <c r="AK55" i="1" a="1"/>
  <c r="AK55" i="1" s="1"/>
  <c r="Z55" i="1" a="1"/>
  <c r="Z55" i="1" s="1"/>
  <c r="W55" i="1" a="1"/>
  <c r="W55" i="1" s="1"/>
  <c r="L55" i="1" a="1"/>
  <c r="L55" i="1" s="1"/>
  <c r="I55" i="1" a="1"/>
  <c r="I55" i="1" s="1"/>
  <c r="I68" i="5"/>
  <c r="I65" i="5"/>
  <c r="I61" i="5"/>
  <c r="I58" i="5"/>
  <c r="I54" i="5"/>
  <c r="I50" i="5"/>
  <c r="I47" i="5"/>
  <c r="I44" i="5"/>
  <c r="I45" i="5" l="1"/>
  <c r="I48" i="5"/>
  <c r="I52" i="5"/>
  <c r="I55" i="5"/>
  <c r="I59" i="5"/>
  <c r="I62" i="5"/>
  <c r="I66" i="5"/>
  <c r="I69" i="5"/>
  <c r="I43" i="5"/>
  <c r="I46" i="5"/>
  <c r="I49" i="5"/>
  <c r="I53" i="5"/>
  <c r="I56" i="5"/>
  <c r="I60" i="5"/>
  <c r="I63" i="5"/>
  <c r="I67" i="5"/>
  <c r="I70" i="5"/>
  <c r="I64" i="5"/>
  <c r="I42" i="5" l="1"/>
  <c r="I51" i="5"/>
  <c r="I57" i="5"/>
  <c r="U38" i="1" l="1"/>
  <c r="Y38" i="1"/>
  <c r="AG34" i="1"/>
  <c r="AW34" i="1" s="1"/>
  <c r="M33" i="1"/>
  <c r="AG32" i="1"/>
  <c r="AW32" i="1" s="1"/>
  <c r="M32" i="1"/>
  <c r="AG31" i="1"/>
  <c r="AW31" i="1" s="1"/>
  <c r="AG30" i="1"/>
  <c r="AW30" i="1" s="1"/>
  <c r="AG45" i="1"/>
  <c r="AW45" i="1" s="1"/>
  <c r="M45" i="1"/>
  <c r="AG44" i="1"/>
  <c r="AW44" i="1" s="1"/>
  <c r="M44" i="1"/>
  <c r="AG43" i="1"/>
  <c r="AW43" i="1" s="1"/>
  <c r="M43" i="1"/>
  <c r="AS46" i="1"/>
  <c r="AO46" i="1"/>
  <c r="AG42" i="1"/>
  <c r="AW42" i="1" s="1"/>
  <c r="AC46" i="1"/>
  <c r="Y46" i="1"/>
  <c r="U46" i="1"/>
  <c r="Q46" i="1"/>
  <c r="M42" i="1"/>
  <c r="AC41" i="1"/>
  <c r="AG40" i="1"/>
  <c r="AW40" i="1" s="1"/>
  <c r="M40" i="1"/>
  <c r="AS41" i="1"/>
  <c r="AO41" i="1"/>
  <c r="AG39" i="1"/>
  <c r="AW39" i="1" s="1"/>
  <c r="Y41" i="1"/>
  <c r="U41" i="1"/>
  <c r="Q41" i="1"/>
  <c r="AG37" i="1"/>
  <c r="AW37" i="1" s="1"/>
  <c r="AC38" i="1"/>
  <c r="M37" i="1"/>
  <c r="AS38" i="1"/>
  <c r="AO38" i="1"/>
  <c r="AG36" i="1"/>
  <c r="AW36" i="1" s="1"/>
  <c r="Q38" i="1"/>
  <c r="M34" i="1"/>
  <c r="AG33" i="1"/>
  <c r="AW33" i="1" s="1"/>
  <c r="Y35" i="1" l="1"/>
  <c r="Y47" i="1" s="1"/>
  <c r="M31" i="1"/>
  <c r="AC35" i="1"/>
  <c r="AC47" i="1" s="1"/>
  <c r="M46" i="1"/>
  <c r="AO35" i="1"/>
  <c r="AO47" i="1" s="1"/>
  <c r="M30" i="1"/>
  <c r="AS35" i="1"/>
  <c r="AS47" i="1" s="1"/>
  <c r="U35" i="1"/>
  <c r="U47" i="1" s="1"/>
  <c r="AG41" i="1"/>
  <c r="AW41" i="1" s="1"/>
  <c r="AG38" i="1"/>
  <c r="AW38" i="1" s="1"/>
  <c r="AG46" i="1"/>
  <c r="AW46" i="1" s="1"/>
  <c r="AG35" i="1"/>
  <c r="M36" i="1"/>
  <c r="M38" i="1" s="1"/>
  <c r="M39" i="1"/>
  <c r="M41" i="1" s="1"/>
  <c r="AK35" i="1"/>
  <c r="AK41" i="1"/>
  <c r="Q35" i="1"/>
  <c r="Q47" i="1" s="1"/>
  <c r="AK46" i="1"/>
  <c r="AK38" i="1"/>
  <c r="M35" i="1" l="1"/>
  <c r="M47" i="1" s="1"/>
  <c r="AW35" i="1"/>
  <c r="AK47" i="1"/>
  <c r="AG47" i="1"/>
  <c r="AW4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<sst xmlns="http://schemas.openxmlformats.org/spreadsheetml/2006/main" count="273" uniqueCount="191">
  <si>
    <t>상품 NPS</t>
  </si>
  <si>
    <t>전주 대비</t>
  </si>
  <si>
    <t>전월 대비</t>
  </si>
  <si>
    <t>디지털영업그룹</t>
    <phoneticPr fontId="2" type="noConversion"/>
  </si>
  <si>
    <t>개인고객그룹</t>
  </si>
  <si>
    <t>스타뱅킹</t>
  </si>
  <si>
    <t>WM고객그룹</t>
  </si>
  <si>
    <t>기업고객그룹</t>
  </si>
  <si>
    <t>기타</t>
    <phoneticPr fontId="2" type="noConversion"/>
  </si>
  <si>
    <t>소계</t>
    <phoneticPr fontId="2" type="noConversion"/>
  </si>
  <si>
    <t>영업점</t>
  </si>
  <si>
    <t>고객센터</t>
  </si>
  <si>
    <t>고객컨택영업그룹</t>
  </si>
  <si>
    <t>상품</t>
  </si>
  <si>
    <t>■ 고객경험단계별 NPS</t>
    <phoneticPr fontId="2" type="noConversion"/>
  </si>
  <si>
    <t>스타뱅킹</t>
    <phoneticPr fontId="2" type="noConversion"/>
  </si>
  <si>
    <t>고객센터</t>
    <phoneticPr fontId="2" type="noConversion"/>
  </si>
  <si>
    <t>상품</t>
    <phoneticPr fontId="2" type="noConversion"/>
  </si>
  <si>
    <t>전주대비</t>
  </si>
  <si>
    <t>고객경험단계</t>
  </si>
  <si>
    <t>내점/방문</t>
  </si>
  <si>
    <t>버튼식ARS</t>
  </si>
  <si>
    <t>저축성</t>
  </si>
  <si>
    <t>대기</t>
  </si>
  <si>
    <t>보이는ARS</t>
  </si>
  <si>
    <t>여신성</t>
  </si>
  <si>
    <t>맞이/의도파악</t>
  </si>
  <si>
    <t>투자성</t>
  </si>
  <si>
    <t>챗봇상담</t>
  </si>
  <si>
    <t>보장성</t>
  </si>
  <si>
    <t>업무처리/배웅</t>
  </si>
  <si>
    <t>콜봇상담</t>
  </si>
  <si>
    <t>외화환전</t>
  </si>
  <si>
    <t>직원상담</t>
  </si>
  <si>
    <t>해외송금</t>
  </si>
  <si>
    <t>| NPS(Net Promoter Score) 대시보드</t>
  </si>
  <si>
    <t>■ Bottom-up NPS</t>
  </si>
  <si>
    <t>■ 설문진행 현황</t>
  </si>
  <si>
    <t>응답률</t>
  </si>
  <si>
    <t>■ NPS 관리활동</t>
  </si>
  <si>
    <t>※ 고객감정지수(점) = (인입 VOC 중 감정 분류가 '긍정'인 VOC 비율) - (인입 VOC 중 감정 분류가 '부정'인 VOC 비율)</t>
    <phoneticPr fontId="2" type="noConversion"/>
  </si>
  <si>
    <t>※ 고객불만지수(점) = 인입 VOC 중 VOC 유형 분류가 '불만'인 VOC 비율</t>
    <phoneticPr fontId="2" type="noConversion"/>
  </si>
  <si>
    <t>종합 NSS</t>
  </si>
  <si>
    <t>스타뱅킹 NSS</t>
  </si>
  <si>
    <t>영업점 NSS</t>
  </si>
  <si>
    <t>상품 NSS</t>
  </si>
  <si>
    <t>종합 CCI</t>
  </si>
  <si>
    <t>스타뱅킹 CCI</t>
  </si>
  <si>
    <t>영업점 CCI</t>
  </si>
  <si>
    <t>상품 CCI</t>
  </si>
  <si>
    <t>구분</t>
  </si>
  <si>
    <t>로그인/인증</t>
  </si>
  <si>
    <t>홈화면</t>
  </si>
  <si>
    <t>계좌조회/이체</t>
  </si>
  <si>
    <t>통합검색</t>
  </si>
  <si>
    <t>금융상품몰</t>
  </si>
  <si>
    <t>상품가입</t>
  </si>
  <si>
    <t>상품관리/해지</t>
  </si>
  <si>
    <t>콘텐츠/서비스</t>
  </si>
  <si>
    <t xml:space="preserve">내점/방문 </t>
  </si>
  <si>
    <t xml:space="preserve">대기 </t>
  </si>
  <si>
    <t xml:space="preserve">맞이/의도파악 </t>
  </si>
  <si>
    <t xml:space="preserve">상담 </t>
  </si>
  <si>
    <t xml:space="preserve">업무처리/배웅 </t>
  </si>
  <si>
    <t>영업점</t>
    <phoneticPr fontId="2" type="noConversion"/>
  </si>
  <si>
    <t>{{cm_yyyymmdd}}</t>
    <phoneticPr fontId="2" type="noConversion"/>
  </si>
  <si>
    <t>{{S1_총응답접속수_1}}</t>
  </si>
  <si>
    <t>{{S1_총응답완료수_1}}</t>
  </si>
  <si>
    <t>{{S1_응답률_1}}</t>
  </si>
  <si>
    <t>총 응답완료수</t>
  </si>
  <si>
    <t>총 응답접속수</t>
  </si>
  <si>
    <t>총 발송건수</t>
    <phoneticPr fontId="2" type="noConversion"/>
  </si>
  <si>
    <t>인입건수</t>
    <phoneticPr fontId="2" type="noConversion"/>
  </si>
  <si>
    <t>(단위 : 건)</t>
    <phoneticPr fontId="2" type="noConversion"/>
  </si>
  <si>
    <t>긍정</t>
    <phoneticPr fontId="2" type="noConversion"/>
  </si>
  <si>
    <t>부정</t>
    <phoneticPr fontId="2" type="noConversion"/>
  </si>
  <si>
    <t>중립</t>
    <phoneticPr fontId="2" type="noConversion"/>
  </si>
  <si>
    <t>현행유지</t>
    <phoneticPr fontId="2" type="noConversion"/>
  </si>
  <si>
    <t>개선불가</t>
    <phoneticPr fontId="2" type="noConversion"/>
  </si>
  <si>
    <t>개선예정</t>
    <phoneticPr fontId="2" type="noConversion"/>
  </si>
  <si>
    <t>전주 대비</t>
    <phoneticPr fontId="2" type="noConversion"/>
  </si>
  <si>
    <t>배분건수</t>
    <phoneticPr fontId="2" type="noConversion"/>
  </si>
  <si>
    <t>검토건수</t>
    <phoneticPr fontId="2" type="noConversion"/>
  </si>
  <si>
    <t>검토율</t>
    <phoneticPr fontId="2" type="noConversion"/>
  </si>
  <si>
    <t>구분</t>
    <phoneticPr fontId="2" type="noConversion"/>
  </si>
  <si>
    <t>사업그룹</t>
  </si>
  <si>
    <t>고객센터</t>
    <phoneticPr fontId="2" type="noConversion"/>
  </si>
  <si>
    <t>NPS</t>
  </si>
  <si>
    <t>합계</t>
  </si>
  <si>
    <t>| 고객감정지수 및 고객불만지수 대시보드</t>
  </si>
  <si>
    <t>■ 고객감정지수(NSS, Net Sentiment Score)</t>
  </si>
  <si>
    <t>■ 고객불만지수(CCI, Customer Complaint Index)</t>
  </si>
  <si>
    <t>고객센터NSS</t>
  </si>
  <si>
    <t>고객센터CCI</t>
  </si>
  <si>
    <t>■ 고객경험단계별 고객감정지수 및 고객불만지수</t>
  </si>
  <si>
    <t>고객감정지수</t>
    <phoneticPr fontId="2" type="noConversion"/>
  </si>
  <si>
    <t>고객불만지수</t>
    <phoneticPr fontId="2" type="noConversion"/>
  </si>
  <si>
    <t xml:space="preserve"> </t>
    <phoneticPr fontId="2" type="noConversion"/>
  </si>
  <si>
    <t>칭찬</t>
    <phoneticPr fontId="2" type="noConversion"/>
  </si>
  <si>
    <t>불만</t>
    <phoneticPr fontId="2" type="noConversion"/>
  </si>
  <si>
    <t>(단위 : 점, %)</t>
  </si>
  <si>
    <t>| VOC 대시보드</t>
    <phoneticPr fontId="2" type="noConversion"/>
  </si>
  <si>
    <t>영업점</t>
    <phoneticPr fontId="2" type="noConversion"/>
  </si>
  <si>
    <t>고객센터</t>
    <phoneticPr fontId="2" type="noConversion"/>
  </si>
  <si>
    <t>상품</t>
    <phoneticPr fontId="2" type="noConversion"/>
  </si>
  <si>
    <t>채널</t>
    <phoneticPr fontId="2" type="noConversion"/>
  </si>
  <si>
    <t>불만사항 요약</t>
  </si>
  <si>
    <t>{{S3_complaint1_1}}</t>
  </si>
  <si>
    <t>{{S3_complaint2_1}}</t>
  </si>
  <si>
    <t>{{S3_complaint3_1}}</t>
  </si>
  <si>
    <t>{{S3_complaint1_5}}</t>
  </si>
  <si>
    <t>{{S3_complaint2_5}}</t>
  </si>
  <si>
    <t>{{S3_complaint3_5}}</t>
  </si>
  <si>
    <t>{{S3_complaint1_9}}</t>
  </si>
  <si>
    <t>{{S3_complaint2_9}}</t>
  </si>
  <si>
    <t>{{S3_complaint3_9}}</t>
  </si>
  <si>
    <t>{{S3_complaint1_13}}</t>
  </si>
  <si>
    <t>{{S3_complaint2_13}}</t>
  </si>
  <si>
    <t>{{S3_complaint3_13}}</t>
  </si>
  <si>
    <t>- {{S2_script1}}</t>
    <phoneticPr fontId="2" type="noConversion"/>
  </si>
  <si>
    <t>- 고객불만지수가 높을수록 고객 불만이 증가하고 있음을 의미하며, 10점 이하일 경우 일반적인 수준이나, 10점을 초과하면 관리가 필요한 상황</t>
    <phoneticPr fontId="2" type="noConversion"/>
  </si>
  <si>
    <t>- 금융업계의 평균적인 NPS 수준은 10 ~ 40점으로, 50점 이상이면 높은 고객 충성도를 유지∙기대, 0점 이하면 서비스 개선이 필요한 상황</t>
    <phoneticPr fontId="2" type="noConversion"/>
  </si>
  <si>
    <t>- {{S1_script1}}</t>
    <phoneticPr fontId="2" type="noConversion"/>
  </si>
  <si>
    <t>- 고객감정지수가 50점 이상일 경우 긍정적인 감정이 우세하며, 0점 이하로 떨어질 경우 부정적 감정이 증가하는 신호로 해석</t>
    <phoneticPr fontId="2" type="noConversion"/>
  </si>
  <si>
    <t>- {{S2_script2}}</t>
    <phoneticPr fontId="2" type="noConversion"/>
  </si>
  <si>
    <t>■ 채널별 불만 VOC 요약 및 지난주 비교</t>
    <phoneticPr fontId="2" type="noConversion"/>
  </si>
  <si>
    <t>지난주 VOC와 비교</t>
  </si>
  <si>
    <t>예시) {{S3_complaint1_2}}</t>
  </si>
  <si>
    <t>불만 VOC 예시</t>
    <phoneticPr fontId="2" type="noConversion"/>
  </si>
  <si>
    <t>예시) {{S3_complaint1_3}}</t>
  </si>
  <si>
    <t>예시) {{S3_complaint1_4}}</t>
  </si>
  <si>
    <t>예시) {{S3_complaint2_2}}</t>
  </si>
  <si>
    <t>예시) {{S3_complaint2_3}}</t>
  </si>
  <si>
    <t>예시) {{S3_complaint2_4}}</t>
  </si>
  <si>
    <t>예시) {{S3_complaint3_2}}</t>
  </si>
  <si>
    <t>예시) {{S3_complaint3_3}}</t>
  </si>
  <si>
    <t>예시) {{S3_complaint3_4}}</t>
  </si>
  <si>
    <t>예시) {{S3_complaint1_6}}</t>
  </si>
  <si>
    <t>예시) {{S3_complaint1_7}}</t>
  </si>
  <si>
    <t>예시) {{S3_complaint1_8}}</t>
  </si>
  <si>
    <t>예시) {{S3_complaint2_6}}</t>
  </si>
  <si>
    <t>예시) {{S3_complaint2_7}}</t>
  </si>
  <si>
    <t>예시) {{S3_complaint2_8}}</t>
  </si>
  <si>
    <t>예시) {{S3_complaint3_6}}</t>
  </si>
  <si>
    <t>예시) {{S3_complaint3_7}}</t>
  </si>
  <si>
    <t>예시) {{S3_complaint3_8}}</t>
  </si>
  <si>
    <t>예시) {{S3_complaint1_10}}</t>
  </si>
  <si>
    <t>예시) {{S3_complaint1_11}}</t>
  </si>
  <si>
    <t>예시) {{S3_complaint1_12}}</t>
  </si>
  <si>
    <t>예시) {{S3_complaint2_10}}</t>
  </si>
  <si>
    <t>예시) {{S3_complaint2_11}}</t>
  </si>
  <si>
    <t>예시) {{S3_complaint2_12}}</t>
  </si>
  <si>
    <t>예시) {{S3_complaint3_10}}</t>
  </si>
  <si>
    <t>예시) {{S3_complaint3_11}}</t>
  </si>
  <si>
    <t>예시) {{S3_complaint3_12}}</t>
  </si>
  <si>
    <t>예시) {{S3_complaint1_14}}</t>
  </si>
  <si>
    <t>예시) {{S3_complaint1_15}}</t>
  </si>
  <si>
    <t>예시) {{S3_complaint1_16}}</t>
  </si>
  <si>
    <t>예시) {{S3_complaint2_14}}</t>
  </si>
  <si>
    <t>예시) {{S3_complaint2_15}}</t>
  </si>
  <si>
    <t>예시) {{S3_complaint2_16}}</t>
  </si>
  <si>
    <t>예시) {{S3_complaint3_14}}</t>
  </si>
  <si>
    <t>예시) {{S3_complaint3_15}}</t>
  </si>
  <si>
    <t>예시) {{S3_complaint3_16}}</t>
  </si>
  <si>
    <t>(단위 : %, %p)</t>
    <phoneticPr fontId="2" type="noConversion"/>
  </si>
  <si>
    <t>※ 설문진행 현황 및 VOC 관리활동 지표는 {{cm_yyyy}}년 {{cx_mm}}월 조사 건부터 집계</t>
    <phoneticPr fontId="2" type="noConversion"/>
  </si>
  <si>
    <t>{{S1_총발송건수_1}}</t>
    <phoneticPr fontId="2" type="noConversion"/>
  </si>
  <si>
    <t>{{S1_총응답접속수_1}}</t>
    <phoneticPr fontId="2" type="noConversion"/>
  </si>
  <si>
    <t>{{S1_총응답완료수_1}}</t>
    <phoneticPr fontId="2" type="noConversion"/>
  </si>
  <si>
    <t>{{S1_응답률_1}}</t>
    <phoneticPr fontId="2" type="noConversion"/>
  </si>
  <si>
    <t>{{S2_NSS_2}}</t>
  </si>
  <si>
    <t>{{S2_NSS_3}}</t>
  </si>
  <si>
    <t>{{S2_NSS_4}}</t>
  </si>
  <si>
    <t>{{S2_NSS_5}}</t>
  </si>
  <si>
    <t>{{S2_CCI_2}}</t>
  </si>
  <si>
    <t>{{S2_CCI_3}}</t>
  </si>
  <si>
    <t>{{S2_CCI_4}}</t>
  </si>
  <si>
    <t>{{S2_CCI_5}}</t>
  </si>
  <si>
    <t>{{S3_compare_1}}</t>
  </si>
  <si>
    <t>{{S3_compare_2}}</t>
  </si>
  <si>
    <t>{{S3_compare_3}}</t>
  </si>
  <si>
    <t>{{S3_compare_4}}</t>
  </si>
  <si>
    <t>기타</t>
    <phoneticPr fontId="2" type="noConversion"/>
  </si>
  <si>
    <t>영업기획그룹</t>
    <phoneticPr fontId="2" type="noConversion"/>
  </si>
  <si>
    <t>종합 NPS</t>
  </si>
  <si>
    <t>스타뱅킹 NPS</t>
  </si>
  <si>
    <t>영업점 NPS</t>
  </si>
  <si>
    <t>고객센터NPS</t>
  </si>
  <si>
    <t>이번주</t>
  </si>
  <si>
    <t>전주</t>
  </si>
  <si>
    <t>전월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</si>
</sst>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0.0_ ;[Red]\-0.0\ "/>
    <numFmt numFmtId="177" formatCode="0.0%"/>
    <numFmt numFmtId="178" formatCode="0.0_);[Red]\(0.0\)"/>
    <numFmt numFmtId="179" formatCode="#,##0.0;[Red]\-#,##0.0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i/>
      <sz val="11"/>
      <color theme="0"/>
      <name val="KB금융 제목체 Bold"/>
      <family val="3"/>
      <charset val="129"/>
    </font>
    <font>
      <i/>
      <sz val="14"/>
      <color theme="0"/>
      <name val="KB금융 제목체 Bold"/>
      <family val="3"/>
      <charset val="129"/>
    </font>
    <font>
      <sz val="18"/>
      <color theme="1"/>
      <name val="KB금융 제목체 Bold"/>
      <family val="3"/>
      <charset val="129"/>
    </font>
    <font>
      <i/>
      <sz val="11"/>
      <color rgb="FFC00000"/>
      <name val="KB금융 제목체 Bold"/>
      <family val="3"/>
      <charset val="129"/>
    </font>
    <font>
      <sz val="10"/>
      <color theme="1"/>
      <name val="KB금융 제목체 Bold"/>
      <family val="3"/>
      <charset val="129"/>
    </font>
    <font>
      <sz val="11"/>
      <color theme="1"/>
      <name val="KB금융 본문체 Light"/>
      <family val="3"/>
      <charset val="129"/>
    </font>
    <font>
      <sz val="16"/>
      <color theme="0"/>
      <name val="KB금융 제목체 Bold"/>
      <family val="3"/>
      <charset val="129"/>
    </font>
    <font>
      <i/>
      <sz val="12"/>
      <color theme="0"/>
      <name val="KB금융 제목체 Bold"/>
      <family val="3"/>
      <charset val="129"/>
    </font>
    <font>
      <sz val="11"/>
      <color theme="1"/>
      <name val="KB금융 제목체 Bold"/>
      <family val="3"/>
      <charset val="129"/>
    </font>
    <font>
      <sz val="12"/>
      <color theme="1"/>
      <name val="KB금융 제목체 Bold"/>
      <family val="3"/>
      <charset val="129"/>
    </font>
    <font>
      <sz val="9"/>
      <color theme="1"/>
      <name val="KB금융 본문체 Light"/>
      <family val="3"/>
      <charset val="129"/>
    </font>
    <font>
      <sz val="11"/>
      <color theme="0"/>
      <name val="KB금융 제목체 Bold"/>
      <family val="3"/>
      <charset val="129"/>
    </font>
    <font>
      <b/>
      <sz val="10"/>
      <color theme="1"/>
      <name val="KB금융 제목체 Bold"/>
      <family val="3"/>
      <charset val="129"/>
    </font>
    <font>
      <sz val="8"/>
      <color theme="0"/>
      <name val="KB금융 본문체 Light"/>
      <family val="3"/>
      <charset val="129"/>
    </font>
    <font>
      <sz val="8"/>
      <color theme="1"/>
      <name val="KB금융 본문체 Light"/>
      <family val="3"/>
      <charset val="129"/>
    </font>
    <font>
      <sz val="9"/>
      <color theme="1"/>
      <name val="KB금융 본문체 Medium"/>
      <family val="3"/>
      <charset val="129"/>
    </font>
    <font>
      <i/>
      <sz val="9"/>
      <color rgb="FFC00000"/>
      <name val="KB금융 본문체 Medium"/>
      <family val="3"/>
      <charset val="129"/>
    </font>
    <font>
      <sz val="9"/>
      <color theme="0"/>
      <name val="KB금융 본문체 Light"/>
      <family val="3"/>
      <charset val="129"/>
    </font>
    <font>
      <sz val="9"/>
      <color theme="1"/>
      <name val="KB금융 제목체 Bold"/>
      <family val="3"/>
      <charset val="129"/>
    </font>
    <font>
      <sz val="8"/>
      <color theme="1"/>
      <name val="KB금융 본문체 Medium"/>
      <family val="3"/>
      <charset val="129"/>
    </font>
    <font>
      <sz val="7"/>
      <color theme="1"/>
      <name val="KB금융 본문체 Light"/>
      <family val="3"/>
      <charset val="129"/>
    </font>
    <font>
      <sz val="7"/>
      <color theme="1"/>
      <name val="KB금융 제목체 Bold"/>
      <family val="3"/>
      <charset val="129"/>
    </font>
    <font>
      <sz val="6"/>
      <color theme="0"/>
      <name val="KB금융 본문체 Light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776F6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</fills>
  <borders count="8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/>
      <bottom style="thin">
        <color theme="0" tint="-0.24994659260841701"/>
      </bottom>
      <diagonal/>
    </border>
    <border>
      <left/>
      <right style="hair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/>
      <right style="hair">
        <color theme="0" tint="-0.24994659260841701"/>
      </right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hair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hair">
        <color theme="0" tint="-0.24994659260841701"/>
      </right>
      <top style="thin">
        <color theme="0" tint="-0.24994659260841701"/>
      </top>
      <bottom/>
      <diagonal/>
    </border>
    <border>
      <left/>
      <right/>
      <top/>
      <bottom style="medium">
        <color theme="0" tint="-0.24994659260841701"/>
      </bottom>
      <diagonal/>
    </border>
    <border>
      <left/>
      <right style="thin">
        <color theme="0" tint="-0.24994659260841701"/>
      </right>
      <top/>
      <bottom style="medium">
        <color theme="0" tint="-0.24994659260841701"/>
      </bottom>
      <diagonal/>
    </border>
    <border>
      <left/>
      <right style="thin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thin">
        <color theme="0" tint="-0.34998626667073579"/>
      </bottom>
      <diagonal/>
    </border>
    <border>
      <left/>
      <right style="hair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hair">
        <color theme="0" tint="-0.34998626667073579"/>
      </left>
      <right/>
      <top style="medium">
        <color theme="0" tint="-0.34998626667073579"/>
      </top>
      <bottom style="thin">
        <color theme="0" tint="-0.34998626667073579"/>
      </bottom>
      <diagonal/>
    </border>
    <border>
      <left/>
      <right style="hair">
        <color theme="0" tint="-0.34998626667073579"/>
      </right>
      <top style="thin">
        <color theme="0" tint="-0.34998626667073579"/>
      </top>
      <bottom/>
      <diagonal/>
    </border>
    <border>
      <left style="hair">
        <color theme="0" tint="-0.34998626667073579"/>
      </left>
      <right/>
      <top style="thin">
        <color theme="0" tint="-0.34998626667073579"/>
      </top>
      <bottom/>
      <diagonal/>
    </border>
    <border>
      <left/>
      <right style="hair">
        <color theme="0" tint="-0.34998626667073579"/>
      </right>
      <top/>
      <bottom/>
      <diagonal/>
    </border>
    <border>
      <left style="hair">
        <color theme="0" tint="-0.34998626667073579"/>
      </left>
      <right/>
      <top/>
      <bottom/>
      <diagonal/>
    </border>
    <border>
      <left/>
      <right/>
      <top/>
      <bottom style="medium">
        <color theme="0" tint="-0.34998626667073579"/>
      </bottom>
      <diagonal/>
    </border>
    <border>
      <left/>
      <right style="hair">
        <color theme="0" tint="-0.34998626667073579"/>
      </right>
      <top/>
      <bottom style="medium">
        <color theme="0" tint="-0.34998626667073579"/>
      </bottom>
      <diagonal/>
    </border>
    <border>
      <left style="hair">
        <color theme="0" tint="-0.34998626667073579"/>
      </left>
      <right/>
      <top/>
      <bottom style="medium">
        <color theme="0" tint="-0.34998626667073579"/>
      </bottom>
      <diagonal/>
    </border>
    <border>
      <left style="thin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 style="hair">
        <color theme="0" tint="-0.24994659260841701"/>
      </left>
      <right/>
      <top/>
      <bottom/>
      <diagonal/>
    </border>
    <border>
      <left style="hair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/>
      <bottom style="medium">
        <color theme="0" tint="-0.24994659260841701"/>
      </bottom>
      <diagonal/>
    </border>
    <border>
      <left/>
      <right style="hair">
        <color theme="0" tint="-0.24994659260841701"/>
      </right>
      <top/>
      <bottom style="medium">
        <color theme="0" tint="-0.24994659260841701"/>
      </bottom>
      <diagonal/>
    </border>
    <border>
      <left style="hair">
        <color theme="0" tint="-0.24994659260841701"/>
      </left>
      <right/>
      <top/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hair">
        <color theme="0" tint="-0.24994659260841701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 style="medium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/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 style="hair">
        <color theme="0"/>
      </right>
      <top style="hair">
        <color theme="0" tint="-0.24994659260841701"/>
      </top>
      <bottom/>
      <diagonal/>
    </border>
    <border>
      <left style="hair">
        <color theme="0" tint="-0.34998626667073579"/>
      </left>
      <right/>
      <top style="hair">
        <color theme="0" tint="-0.24994659260841701"/>
      </top>
      <bottom/>
      <diagonal/>
    </border>
    <border>
      <left style="hair">
        <color theme="0"/>
      </left>
      <right/>
      <top style="hair">
        <color theme="0" tint="-0.24994659260841701"/>
      </top>
      <bottom/>
      <diagonal/>
    </border>
    <border>
      <left/>
      <right/>
      <top style="hair">
        <color theme="0" tint="-0.24994659260841701"/>
      </top>
      <bottom/>
      <diagonal/>
    </border>
    <border>
      <left style="thin">
        <color theme="0" tint="-0.24994659260841701"/>
      </left>
      <right style="hair">
        <color theme="0" tint="-0.24994659260841701"/>
      </right>
      <top style="thin">
        <color theme="0" tint="-0.2499465926084170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thin">
        <color theme="0" tint="-0.24994659260841701"/>
      </top>
      <bottom/>
      <diagonal/>
    </border>
    <border>
      <left style="hair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hair">
        <color theme="0" tint="-0.24994659260841701"/>
      </right>
      <top/>
      <bottom/>
      <diagonal/>
    </border>
    <border>
      <left style="hair">
        <color theme="0" tint="-0.24994659260841701"/>
      </left>
      <right style="hair">
        <color theme="0" tint="-0.24994659260841701"/>
      </right>
      <top/>
      <bottom/>
      <diagonal/>
    </border>
    <border>
      <left style="hair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hair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hair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hair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hair">
        <color theme="0" tint="-0.34998626667073579"/>
      </left>
      <right style="hair">
        <color theme="0" tint="-0.34998626667073579"/>
      </right>
      <top style="thin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 style="medium">
        <color theme="0" tint="-0.34998626667073579"/>
      </bottom>
      <diagonal/>
    </border>
    <border>
      <left style="hair">
        <color theme="0" tint="-0.24994659260841701"/>
      </left>
      <right/>
      <top style="medium">
        <color theme="0" tint="-0.24994659260841701"/>
      </top>
      <bottom style="hair">
        <color theme="0" tint="-0.24994659260841701"/>
      </bottom>
      <diagonal/>
    </border>
    <border>
      <left/>
      <right/>
      <top style="medium">
        <color theme="0" tint="-0.24994659260841701"/>
      </top>
      <bottom style="hair">
        <color theme="0" tint="-0.24994659260841701"/>
      </bottom>
      <diagonal/>
    </border>
    <border>
      <left/>
      <right style="hair">
        <color theme="0" tint="-0.24994659260841701"/>
      </right>
      <top style="medium">
        <color theme="0" tint="-0.24994659260841701"/>
      </top>
      <bottom style="hair">
        <color theme="0" tint="-0.24994659260841701"/>
      </bottom>
      <diagonal/>
    </border>
    <border>
      <left/>
      <right style="thin">
        <color theme="0" tint="-0.24994659260841701"/>
      </right>
      <top style="medium">
        <color theme="0" tint="-0.24994659260841701"/>
      </top>
      <bottom style="hair">
        <color theme="0" tint="-0.24994659260841701"/>
      </bottom>
      <diagonal/>
    </border>
    <border>
      <left style="thin">
        <color theme="0" tint="-0.24994659260841701"/>
      </left>
      <right/>
      <top style="medium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/>
      <top/>
      <bottom style="thin">
        <color theme="0" tint="-0.24994659260841701"/>
      </bottom>
      <diagonal/>
    </border>
    <border>
      <left style="hair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hair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61">
    <xf numFmtId="0" fontId="0" fillId="0" borderId="0" xfId="0">
      <alignment vertical="center"/>
    </xf>
    <xf numFmtId="0" fontId="3" fillId="2" borderId="0" xfId="0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6" fillId="0" borderId="1" xfId="0" applyFont="1" applyBorder="1" applyAlignment="1">
      <alignment horizontal="right"/>
    </xf>
    <xf numFmtId="0" fontId="5" fillId="0" borderId="0" xfId="0" quotePrefix="1" applyFont="1" applyAlignment="1">
      <alignment horizontal="left" vertical="center"/>
    </xf>
    <xf numFmtId="0" fontId="6" fillId="0" borderId="0" xfId="0" applyFont="1" applyAlignment="1">
      <alignment horizontal="right"/>
    </xf>
    <xf numFmtId="0" fontId="8" fillId="0" borderId="0" xfId="0" applyFont="1">
      <alignment vertical="center"/>
    </xf>
    <xf numFmtId="41" fontId="8" fillId="0" borderId="0" xfId="0" applyNumberFormat="1" applyFont="1">
      <alignment vertical="center"/>
    </xf>
    <xf numFmtId="176" fontId="8" fillId="0" borderId="0" xfId="0" applyNumberFormat="1" applyFont="1">
      <alignment vertical="center"/>
    </xf>
    <xf numFmtId="0" fontId="9" fillId="2" borderId="0" xfId="0" quotePrefix="1" applyFont="1" applyFill="1" applyAlignment="1">
      <alignment horizontal="left" vertical="center"/>
    </xf>
    <xf numFmtId="0" fontId="10" fillId="2" borderId="0" xfId="0" applyFont="1" applyFill="1" applyAlignment="1">
      <alignment horizontal="right"/>
    </xf>
    <xf numFmtId="0" fontId="12" fillId="0" borderId="1" xfId="0" quotePrefix="1" applyFont="1" applyBorder="1" applyAlignment="1">
      <alignment horizontal="left" vertical="center"/>
    </xf>
    <xf numFmtId="0" fontId="13" fillId="0" borderId="0" xfId="0" applyFont="1">
      <alignment vertical="center"/>
    </xf>
    <xf numFmtId="0" fontId="12" fillId="3" borderId="5" xfId="0" quotePrefix="1" applyFont="1" applyFill="1" applyBorder="1" applyAlignment="1">
      <alignment horizontal="left" vertical="top" indent="1"/>
    </xf>
    <xf numFmtId="0" fontId="12" fillId="3" borderId="0" xfId="0" quotePrefix="1" applyFont="1" applyFill="1" applyAlignment="1">
      <alignment horizontal="left" vertical="top" indent="1"/>
    </xf>
    <xf numFmtId="176" fontId="7" fillId="3" borderId="5" xfId="0" quotePrefix="1" applyNumberFormat="1" applyFont="1" applyFill="1" applyBorder="1" applyAlignment="1">
      <alignment horizontal="right" vertical="center" indent="1"/>
    </xf>
    <xf numFmtId="176" fontId="7" fillId="3" borderId="6" xfId="0" quotePrefix="1" applyNumberFormat="1" applyFont="1" applyFill="1" applyBorder="1" applyAlignment="1">
      <alignment horizontal="right" vertical="center" indent="1"/>
    </xf>
    <xf numFmtId="0" fontId="14" fillId="2" borderId="0" xfId="0" applyFont="1" applyFill="1">
      <alignment vertical="center"/>
    </xf>
    <xf numFmtId="0" fontId="11" fillId="0" borderId="0" xfId="0" applyFont="1">
      <alignment vertical="center"/>
    </xf>
    <xf numFmtId="0" fontId="11" fillId="0" borderId="1" xfId="0" applyFont="1" applyBorder="1">
      <alignment vertical="center"/>
    </xf>
    <xf numFmtId="0" fontId="11" fillId="3" borderId="2" xfId="0" applyFont="1" applyFill="1" applyBorder="1">
      <alignment vertical="center"/>
    </xf>
    <xf numFmtId="0" fontId="11" fillId="3" borderId="3" xfId="0" applyFont="1" applyFill="1" applyBorder="1">
      <alignment vertical="center"/>
    </xf>
    <xf numFmtId="0" fontId="11" fillId="3" borderId="4" xfId="0" applyFont="1" applyFill="1" applyBorder="1">
      <alignment vertical="center"/>
    </xf>
    <xf numFmtId="0" fontId="11" fillId="3" borderId="0" xfId="0" applyFont="1" applyFill="1" applyBorder="1">
      <alignment vertical="center"/>
    </xf>
    <xf numFmtId="0" fontId="12" fillId="0" borderId="0" xfId="0" applyFont="1" applyAlignment="1">
      <alignment horizontal="left" vertical="center" indent="1"/>
    </xf>
    <xf numFmtId="0" fontId="12" fillId="3" borderId="0" xfId="0" applyFont="1" applyFill="1" applyAlignment="1">
      <alignment horizontal="left" vertical="center" indent="1"/>
    </xf>
    <xf numFmtId="0" fontId="12" fillId="3" borderId="6" xfId="0" applyFont="1" applyFill="1" applyBorder="1" applyAlignment="1">
      <alignment horizontal="left" vertical="center" indent="1"/>
    </xf>
    <xf numFmtId="0" fontId="11" fillId="3" borderId="0" xfId="0" applyFont="1" applyFill="1" applyBorder="1" applyAlignment="1">
      <alignment horizontal="left" vertical="center" indent="1"/>
    </xf>
    <xf numFmtId="0" fontId="11" fillId="3" borderId="5" xfId="0" applyFont="1" applyFill="1" applyBorder="1">
      <alignment vertical="center"/>
    </xf>
    <xf numFmtId="0" fontId="11" fillId="3" borderId="0" xfId="0" applyFont="1" applyFill="1">
      <alignment vertical="center"/>
    </xf>
    <xf numFmtId="0" fontId="11" fillId="3" borderId="6" xfId="0" applyFont="1" applyFill="1" applyBorder="1">
      <alignment vertical="center"/>
    </xf>
    <xf numFmtId="0" fontId="7" fillId="0" borderId="0" xfId="0" applyFont="1" applyAlignment="1">
      <alignment horizontal="right" vertical="center" indent="1"/>
    </xf>
    <xf numFmtId="0" fontId="11" fillId="3" borderId="0" xfId="0" applyFont="1" applyFill="1" applyBorder="1" applyAlignment="1">
      <alignment horizontal="right" vertical="center" indent="1"/>
    </xf>
    <xf numFmtId="0" fontId="7" fillId="0" borderId="0" xfId="0" applyFont="1">
      <alignment vertical="center"/>
    </xf>
    <xf numFmtId="0" fontId="15" fillId="3" borderId="5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left" vertical="center"/>
    </xf>
    <xf numFmtId="0" fontId="15" fillId="3" borderId="6" xfId="0" applyFont="1" applyFill="1" applyBorder="1" applyAlignment="1">
      <alignment horizontal="left" vertical="center"/>
    </xf>
    <xf numFmtId="0" fontId="11" fillId="3" borderId="7" xfId="0" applyFont="1" applyFill="1" applyBorder="1">
      <alignment vertical="center"/>
    </xf>
    <xf numFmtId="0" fontId="11" fillId="3" borderId="8" xfId="0" applyFont="1" applyFill="1" applyBorder="1">
      <alignment vertical="center"/>
    </xf>
    <xf numFmtId="0" fontId="11" fillId="3" borderId="9" xfId="0" applyFont="1" applyFill="1" applyBorder="1">
      <alignment vertical="center"/>
    </xf>
    <xf numFmtId="0" fontId="11" fillId="4" borderId="2" xfId="0" applyFont="1" applyFill="1" applyBorder="1">
      <alignment vertical="center"/>
    </xf>
    <xf numFmtId="0" fontId="11" fillId="4" borderId="3" xfId="0" applyFont="1" applyFill="1" applyBorder="1">
      <alignment vertical="center"/>
    </xf>
    <xf numFmtId="0" fontId="11" fillId="4" borderId="4" xfId="0" applyFont="1" applyFill="1" applyBorder="1">
      <alignment vertical="center"/>
    </xf>
    <xf numFmtId="0" fontId="11" fillId="4" borderId="7" xfId="0" applyFont="1" applyFill="1" applyBorder="1">
      <alignment vertical="center"/>
    </xf>
    <xf numFmtId="0" fontId="11" fillId="4" borderId="8" xfId="0" applyFont="1" applyFill="1" applyBorder="1">
      <alignment vertical="center"/>
    </xf>
    <xf numFmtId="0" fontId="11" fillId="4" borderId="9" xfId="0" applyFont="1" applyFill="1" applyBorder="1">
      <alignment vertical="center"/>
    </xf>
    <xf numFmtId="0" fontId="16" fillId="5" borderId="10" xfId="0" applyFont="1" applyFill="1" applyBorder="1" applyAlignment="1">
      <alignment horizontal="centerContinuous" vertical="center"/>
    </xf>
    <xf numFmtId="0" fontId="16" fillId="5" borderId="12" xfId="0" applyFont="1" applyFill="1" applyBorder="1" applyAlignment="1">
      <alignment horizontal="centerContinuous" vertical="center"/>
    </xf>
    <xf numFmtId="0" fontId="16" fillId="5" borderId="11" xfId="0" applyFont="1" applyFill="1" applyBorder="1" applyAlignment="1">
      <alignment horizontal="centerContinuous" vertical="center"/>
    </xf>
    <xf numFmtId="0" fontId="16" fillId="5" borderId="13" xfId="0" applyFont="1" applyFill="1" applyBorder="1" applyAlignment="1">
      <alignment horizontal="centerContinuous" vertical="center"/>
    </xf>
    <xf numFmtId="0" fontId="16" fillId="5" borderId="16" xfId="0" applyFont="1" applyFill="1" applyBorder="1" applyAlignment="1">
      <alignment horizontal="centerContinuous" vertical="center"/>
    </xf>
    <xf numFmtId="0" fontId="16" fillId="5" borderId="14" xfId="0" applyFont="1" applyFill="1" applyBorder="1" applyAlignment="1">
      <alignment horizontal="centerContinuous" vertical="center"/>
    </xf>
    <xf numFmtId="0" fontId="17" fillId="0" borderId="12" xfId="0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 indent="1"/>
    </xf>
    <xf numFmtId="0" fontId="17" fillId="0" borderId="10" xfId="0" applyFont="1" applyBorder="1">
      <alignment vertical="center"/>
    </xf>
    <xf numFmtId="0" fontId="17" fillId="0" borderId="11" xfId="0" applyFont="1" applyBorder="1">
      <alignment vertical="center"/>
    </xf>
    <xf numFmtId="0" fontId="17" fillId="0" borderId="17" xfId="0" applyFont="1" applyBorder="1" applyAlignment="1">
      <alignment horizontal="left" vertical="center"/>
    </xf>
    <xf numFmtId="0" fontId="17" fillId="0" borderId="0" xfId="0" applyFont="1" applyBorder="1" applyAlignment="1">
      <alignment horizontal="left" vertical="center" indent="1"/>
    </xf>
    <xf numFmtId="0" fontId="17" fillId="0" borderId="0" xfId="0" applyFont="1" applyBorder="1">
      <alignment vertical="center"/>
    </xf>
    <xf numFmtId="0" fontId="17" fillId="0" borderId="18" xfId="0" applyFont="1" applyBorder="1">
      <alignment vertical="center"/>
    </xf>
    <xf numFmtId="0" fontId="17" fillId="0" borderId="16" xfId="0" applyFont="1" applyBorder="1" applyAlignment="1">
      <alignment horizontal="left" vertical="center"/>
    </xf>
    <xf numFmtId="0" fontId="17" fillId="0" borderId="13" xfId="0" applyFont="1" applyBorder="1" applyAlignment="1">
      <alignment horizontal="left" vertical="center" indent="1"/>
    </xf>
    <xf numFmtId="0" fontId="17" fillId="0" borderId="13" xfId="0" applyFont="1" applyBorder="1">
      <alignment vertical="center"/>
    </xf>
    <xf numFmtId="0" fontId="17" fillId="0" borderId="15" xfId="0" applyFont="1" applyBorder="1">
      <alignment vertical="center"/>
    </xf>
    <xf numFmtId="0" fontId="17" fillId="4" borderId="20" xfId="0" applyFont="1" applyFill="1" applyBorder="1" applyAlignment="1">
      <alignment horizontal="left" vertical="center"/>
    </xf>
    <xf numFmtId="0" fontId="17" fillId="4" borderId="21" xfId="0" applyFont="1" applyFill="1" applyBorder="1" applyAlignment="1">
      <alignment horizontal="left" vertical="center" indent="1"/>
    </xf>
    <xf numFmtId="0" fontId="17" fillId="4" borderId="21" xfId="0" applyFont="1" applyFill="1" applyBorder="1">
      <alignment vertical="center"/>
    </xf>
    <xf numFmtId="0" fontId="17" fillId="4" borderId="22" xfId="0" applyFont="1" applyFill="1" applyBorder="1">
      <alignment vertical="center"/>
    </xf>
    <xf numFmtId="0" fontId="17" fillId="4" borderId="44" xfId="0" applyFont="1" applyFill="1" applyBorder="1" applyAlignment="1">
      <alignment horizontal="left" vertical="center"/>
    </xf>
    <xf numFmtId="0" fontId="17" fillId="4" borderId="45" xfId="0" applyFont="1" applyFill="1" applyBorder="1" applyAlignment="1">
      <alignment horizontal="left" vertical="center" indent="1"/>
    </xf>
    <xf numFmtId="0" fontId="17" fillId="4" borderId="45" xfId="0" applyFont="1" applyFill="1" applyBorder="1">
      <alignment vertical="center"/>
    </xf>
    <xf numFmtId="0" fontId="17" fillId="4" borderId="46" xfId="0" applyFont="1" applyFill="1" applyBorder="1">
      <alignment vertical="center"/>
    </xf>
    <xf numFmtId="0" fontId="17" fillId="4" borderId="28" xfId="0" applyFont="1" applyFill="1" applyBorder="1" applyAlignment="1">
      <alignment horizontal="centerContinuous" vertical="center"/>
    </xf>
    <xf numFmtId="0" fontId="17" fillId="4" borderId="27" xfId="0" applyFont="1" applyFill="1" applyBorder="1" applyAlignment="1">
      <alignment horizontal="centerContinuous" vertical="center"/>
    </xf>
    <xf numFmtId="0" fontId="11" fillId="4" borderId="5" xfId="0" quotePrefix="1" applyFont="1" applyFill="1" applyBorder="1" applyAlignment="1">
      <alignment horizontal="left" vertical="center" indent="1"/>
    </xf>
    <xf numFmtId="0" fontId="11" fillId="4" borderId="0" xfId="0" applyFont="1" applyFill="1" applyBorder="1">
      <alignment vertical="center"/>
    </xf>
    <xf numFmtId="0" fontId="11" fillId="4" borderId="0" xfId="0" quotePrefix="1" applyFont="1" applyFill="1" applyBorder="1" applyAlignment="1">
      <alignment horizontal="left" vertical="center"/>
    </xf>
    <xf numFmtId="0" fontId="11" fillId="4" borderId="6" xfId="0" applyFont="1" applyFill="1" applyBorder="1">
      <alignment vertical="center"/>
    </xf>
    <xf numFmtId="0" fontId="11" fillId="4" borderId="5" xfId="0" applyFont="1" applyFill="1" applyBorder="1">
      <alignment vertical="center"/>
    </xf>
    <xf numFmtId="41" fontId="11" fillId="4" borderId="6" xfId="1" quotePrefix="1" applyFont="1" applyFill="1" applyBorder="1" applyAlignment="1">
      <alignment horizontal="right" vertical="center" indent="1"/>
    </xf>
    <xf numFmtId="0" fontId="17" fillId="0" borderId="0" xfId="0" applyFont="1">
      <alignment vertical="center"/>
    </xf>
    <xf numFmtId="0" fontId="17" fillId="3" borderId="5" xfId="0" applyFont="1" applyFill="1" applyBorder="1" applyAlignment="1">
      <alignment horizontal="centerContinuous" vertical="center"/>
    </xf>
    <xf numFmtId="0" fontId="17" fillId="3" borderId="0" xfId="0" applyFont="1" applyFill="1" applyAlignment="1">
      <alignment horizontal="centerContinuous" vertical="center"/>
    </xf>
    <xf numFmtId="0" fontId="17" fillId="3" borderId="6" xfId="0" applyFont="1" applyFill="1" applyBorder="1" applyAlignment="1">
      <alignment horizontal="centerContinuous" vertical="center"/>
    </xf>
    <xf numFmtId="0" fontId="17" fillId="3" borderId="0" xfId="0" applyFont="1" applyFill="1" applyBorder="1">
      <alignment vertical="center"/>
    </xf>
    <xf numFmtId="0" fontId="17" fillId="4" borderId="30" xfId="0" applyFont="1" applyFill="1" applyBorder="1" applyAlignment="1">
      <alignment horizontal="centerContinuous" vertical="center"/>
    </xf>
    <xf numFmtId="0" fontId="17" fillId="4" borderId="32" xfId="0" applyFont="1" applyFill="1" applyBorder="1" applyAlignment="1">
      <alignment horizontal="centerContinuous" vertical="center"/>
    </xf>
    <xf numFmtId="176" fontId="17" fillId="0" borderId="33" xfId="0" applyNumberFormat="1" applyFont="1" applyBorder="1" applyAlignment="1">
      <alignment horizontal="centerContinuous" vertical="center"/>
    </xf>
    <xf numFmtId="176" fontId="17" fillId="0" borderId="3" xfId="0" applyNumberFormat="1" applyFont="1" applyBorder="1" applyAlignment="1">
      <alignment horizontal="centerContinuous" vertical="center"/>
    </xf>
    <xf numFmtId="0" fontId="17" fillId="0" borderId="0" xfId="0" applyFont="1" applyAlignment="1">
      <alignment horizontal="left" vertical="center"/>
    </xf>
    <xf numFmtId="176" fontId="17" fillId="0" borderId="35" xfId="0" applyNumberFormat="1" applyFont="1" applyBorder="1" applyAlignment="1">
      <alignment horizontal="centerContinuous" vertical="center"/>
    </xf>
    <xf numFmtId="176" fontId="17" fillId="0" borderId="0" xfId="0" applyNumberFormat="1" applyFont="1" applyBorder="1" applyAlignment="1">
      <alignment horizontal="centerContinuous" vertical="center"/>
    </xf>
    <xf numFmtId="176" fontId="17" fillId="0" borderId="38" xfId="0" applyNumberFormat="1" applyFont="1" applyBorder="1" applyAlignment="1">
      <alignment horizontal="centerContinuous" vertical="center"/>
    </xf>
    <xf numFmtId="176" fontId="17" fillId="0" borderId="37" xfId="0" applyNumberFormat="1" applyFont="1" applyBorder="1" applyAlignment="1">
      <alignment horizontal="centerContinuous" vertical="center"/>
    </xf>
    <xf numFmtId="176" fontId="17" fillId="0" borderId="3" xfId="0" applyNumberFormat="1" applyFont="1" applyBorder="1" applyAlignment="1">
      <alignment horizontal="left" vertical="center"/>
    </xf>
    <xf numFmtId="176" fontId="17" fillId="0" borderId="0" xfId="0" applyNumberFormat="1" applyFont="1" applyBorder="1" applyAlignment="1">
      <alignment horizontal="left" vertical="center"/>
    </xf>
    <xf numFmtId="176" fontId="17" fillId="0" borderId="37" xfId="0" applyNumberFormat="1" applyFont="1" applyBorder="1" applyAlignment="1">
      <alignment horizontal="left" vertical="center"/>
    </xf>
    <xf numFmtId="0" fontId="18" fillId="0" borderId="0" xfId="0" quotePrefix="1" applyFont="1" applyAlignment="1">
      <alignment horizontal="left" vertical="center"/>
    </xf>
    <xf numFmtId="0" fontId="18" fillId="0" borderId="0" xfId="0" applyFont="1">
      <alignment vertical="center"/>
    </xf>
    <xf numFmtId="0" fontId="19" fillId="0" borderId="0" xfId="0" applyFont="1" applyAlignment="1">
      <alignment horizontal="right"/>
    </xf>
    <xf numFmtId="0" fontId="17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vertical="center"/>
    </xf>
    <xf numFmtId="0" fontId="17" fillId="0" borderId="25" xfId="0" applyFont="1" applyBorder="1" applyAlignment="1">
      <alignment horizontal="center" vertical="center"/>
    </xf>
    <xf numFmtId="0" fontId="17" fillId="4" borderId="50" xfId="0" applyFont="1" applyFill="1" applyBorder="1" applyAlignment="1">
      <alignment vertical="center"/>
    </xf>
    <xf numFmtId="0" fontId="17" fillId="4" borderId="50" xfId="0" applyFont="1" applyFill="1" applyBorder="1" applyAlignment="1">
      <alignment horizontal="center" vertical="center"/>
    </xf>
    <xf numFmtId="41" fontId="17" fillId="0" borderId="0" xfId="0" applyNumberFormat="1" applyFont="1">
      <alignment vertical="center"/>
    </xf>
    <xf numFmtId="176" fontId="17" fillId="0" borderId="0" xfId="0" applyNumberFormat="1" applyFont="1">
      <alignment vertical="center"/>
    </xf>
    <xf numFmtId="0" fontId="17" fillId="0" borderId="25" xfId="0" applyFont="1" applyBorder="1" applyAlignment="1">
      <alignment vertical="center"/>
    </xf>
    <xf numFmtId="0" fontId="16" fillId="5" borderId="0" xfId="0" applyFont="1" applyFill="1" applyBorder="1" applyAlignment="1">
      <alignment horizontal="centerContinuous" vertical="center"/>
    </xf>
    <xf numFmtId="0" fontId="20" fillId="5" borderId="10" xfId="0" applyFont="1" applyFill="1" applyBorder="1" applyAlignment="1">
      <alignment horizontal="centerContinuous" vertical="center"/>
    </xf>
    <xf numFmtId="0" fontId="20" fillId="5" borderId="0" xfId="0" applyFont="1" applyFill="1" applyBorder="1" applyAlignment="1">
      <alignment horizontal="centerContinuous" vertical="center"/>
    </xf>
    <xf numFmtId="0" fontId="20" fillId="5" borderId="29" xfId="0" applyFont="1" applyFill="1" applyBorder="1" applyAlignment="1">
      <alignment horizontal="centerContinuous" vertical="center"/>
    </xf>
    <xf numFmtId="0" fontId="21" fillId="0" borderId="0" xfId="0" applyFont="1">
      <alignment vertical="center"/>
    </xf>
    <xf numFmtId="0" fontId="20" fillId="5" borderId="12" xfId="0" applyFont="1" applyFill="1" applyBorder="1" applyAlignment="1">
      <alignment horizontal="centerContinuous" vertical="center"/>
    </xf>
    <xf numFmtId="0" fontId="20" fillId="5" borderId="11" xfId="0" applyFont="1" applyFill="1" applyBorder="1" applyAlignment="1">
      <alignment horizontal="centerContinuous" vertical="center"/>
    </xf>
    <xf numFmtId="0" fontId="20" fillId="5" borderId="13" xfId="0" applyFont="1" applyFill="1" applyBorder="1" applyAlignment="1">
      <alignment horizontal="centerContinuous" vertical="center"/>
    </xf>
    <xf numFmtId="0" fontId="20" fillId="5" borderId="20" xfId="0" applyFont="1" applyFill="1" applyBorder="1" applyAlignment="1">
      <alignment horizontal="centerContinuous" vertical="center"/>
    </xf>
    <xf numFmtId="0" fontId="20" fillId="5" borderId="21" xfId="0" applyFont="1" applyFill="1" applyBorder="1" applyAlignment="1">
      <alignment horizontal="centerContinuous" vertical="center"/>
    </xf>
    <xf numFmtId="0" fontId="20" fillId="5" borderId="42" xfId="0" applyFont="1" applyFill="1" applyBorder="1" applyAlignment="1">
      <alignment horizontal="centerContinuous" vertical="center"/>
    </xf>
    <xf numFmtId="0" fontId="20" fillId="5" borderId="23" xfId="0" applyFont="1" applyFill="1" applyBorder="1" applyAlignment="1">
      <alignment horizontal="centerContinuous" vertical="center"/>
    </xf>
    <xf numFmtId="0" fontId="20" fillId="5" borderId="22" xfId="0" applyFont="1" applyFill="1" applyBorder="1" applyAlignment="1">
      <alignment horizontal="centerContinuous" vertical="center"/>
    </xf>
    <xf numFmtId="0" fontId="11" fillId="0" borderId="0" xfId="0" applyFont="1" applyBorder="1">
      <alignment vertical="center"/>
    </xf>
    <xf numFmtId="0" fontId="22" fillId="4" borderId="36" xfId="0" applyFont="1" applyFill="1" applyBorder="1" applyAlignment="1">
      <alignment horizontal="left" vertical="center" indent="1"/>
    </xf>
    <xf numFmtId="0" fontId="22" fillId="4" borderId="35" xfId="0" applyFont="1" applyFill="1" applyBorder="1">
      <alignment vertical="center"/>
    </xf>
    <xf numFmtId="0" fontId="22" fillId="4" borderId="39" xfId="0" applyFont="1" applyFill="1" applyBorder="1" applyAlignment="1">
      <alignment horizontal="left" vertical="center" indent="1"/>
    </xf>
    <xf numFmtId="0" fontId="22" fillId="4" borderId="38" xfId="0" applyFont="1" applyFill="1" applyBorder="1">
      <alignment vertical="center"/>
    </xf>
    <xf numFmtId="0" fontId="20" fillId="5" borderId="50" xfId="0" applyFont="1" applyFill="1" applyBorder="1" applyAlignment="1">
      <alignment horizontal="centerContinuous" vertical="center"/>
    </xf>
    <xf numFmtId="0" fontId="20" fillId="5" borderId="55" xfId="0" applyFont="1" applyFill="1" applyBorder="1" applyAlignment="1">
      <alignment horizontal="centerContinuous" vertical="center"/>
    </xf>
    <xf numFmtId="0" fontId="20" fillId="5" borderId="59" xfId="0" applyFont="1" applyFill="1" applyBorder="1" applyAlignment="1">
      <alignment horizontal="centerContinuous" vertical="center"/>
    </xf>
    <xf numFmtId="0" fontId="20" fillId="5" borderId="52" xfId="0" applyFont="1" applyFill="1" applyBorder="1" applyAlignment="1">
      <alignment horizontal="centerContinuous" vertical="center"/>
    </xf>
    <xf numFmtId="0" fontId="16" fillId="5" borderId="54" xfId="0" applyFont="1" applyFill="1" applyBorder="1" applyAlignment="1">
      <alignment horizontal="left" vertical="center" indent="1"/>
    </xf>
    <xf numFmtId="0" fontId="16" fillId="5" borderId="55" xfId="0" applyFont="1" applyFill="1" applyBorder="1" applyAlignment="1">
      <alignment horizontal="centerContinuous" vertical="center"/>
    </xf>
    <xf numFmtId="0" fontId="16" fillId="5" borderId="36" xfId="0" applyFont="1" applyFill="1" applyBorder="1" applyAlignment="1">
      <alignment horizontal="centerContinuous" vertical="center"/>
    </xf>
    <xf numFmtId="0" fontId="16" fillId="5" borderId="57" xfId="0" applyFont="1" applyFill="1" applyBorder="1" applyAlignment="1">
      <alignment horizontal="left" vertical="center" indent="1"/>
    </xf>
    <xf numFmtId="0" fontId="16" fillId="5" borderId="56" xfId="0" applyFont="1" applyFill="1" applyBorder="1" applyAlignment="1">
      <alignment horizontal="centerContinuous" vertical="center"/>
    </xf>
    <xf numFmtId="0" fontId="16" fillId="5" borderId="58" xfId="0" applyFont="1" applyFill="1" applyBorder="1" applyAlignment="1">
      <alignment horizontal="centerContinuous" vertical="center"/>
    </xf>
    <xf numFmtId="0" fontId="23" fillId="4" borderId="30" xfId="0" applyFont="1" applyFill="1" applyBorder="1" applyAlignment="1">
      <alignment horizontal="centerContinuous" vertical="center"/>
    </xf>
    <xf numFmtId="0" fontId="23" fillId="4" borderId="31" xfId="0" applyFont="1" applyFill="1" applyBorder="1" applyAlignment="1">
      <alignment horizontal="centerContinuous" vertical="center"/>
    </xf>
    <xf numFmtId="0" fontId="23" fillId="4" borderId="32" xfId="0" applyFont="1" applyFill="1" applyBorder="1" applyAlignment="1">
      <alignment horizontal="centerContinuous" vertical="center"/>
    </xf>
    <xf numFmtId="0" fontId="24" fillId="0" borderId="0" xfId="0" applyFont="1">
      <alignment vertical="center"/>
    </xf>
    <xf numFmtId="0" fontId="16" fillId="5" borderId="17" xfId="0" applyFont="1" applyFill="1" applyBorder="1" applyAlignment="1">
      <alignment horizontal="centerContinuous" vertical="center"/>
    </xf>
    <xf numFmtId="0" fontId="16" fillId="5" borderId="19" xfId="0" applyFont="1" applyFill="1" applyBorder="1" applyAlignment="1">
      <alignment horizontal="centerContinuous" vertical="center"/>
    </xf>
    <xf numFmtId="0" fontId="16" fillId="5" borderId="43" xfId="0" applyFont="1" applyFill="1" applyBorder="1" applyAlignment="1">
      <alignment horizontal="centerContinuous" vertical="center"/>
    </xf>
    <xf numFmtId="0" fontId="16" fillId="5" borderId="24" xfId="0" applyFont="1" applyFill="1" applyBorder="1" applyAlignment="1">
      <alignment horizontal="centerContinuous" vertical="center"/>
    </xf>
    <xf numFmtId="0" fontId="22" fillId="0" borderId="36" xfId="0" applyFont="1" applyBorder="1" applyAlignment="1">
      <alignment horizontal="left" vertical="center" indent="1"/>
    </xf>
    <xf numFmtId="0" fontId="22" fillId="0" borderId="36" xfId="0" applyFont="1" applyBorder="1">
      <alignment vertical="center"/>
    </xf>
    <xf numFmtId="0" fontId="22" fillId="0" borderId="39" xfId="0" applyFont="1" applyBorder="1">
      <alignment vertical="center"/>
    </xf>
    <xf numFmtId="0" fontId="25" fillId="5" borderId="20" xfId="0" applyFont="1" applyFill="1" applyBorder="1" applyAlignment="1">
      <alignment horizontal="centerContinuous" vertical="center"/>
    </xf>
    <xf numFmtId="178" fontId="0" fillId="0" borderId="0" xfId="0" applyNumberFormat="1">
      <alignment vertical="center"/>
    </xf>
    <xf numFmtId="0" fontId="11" fillId="3" borderId="0" xfId="0" applyFont="1" applyFill="1" applyAlignment="1">
      <alignment horizontal="left" vertical="center" indent="1"/>
    </xf>
    <xf numFmtId="0" fontId="11" fillId="3" borderId="0" xfId="0" applyFont="1" applyFill="1" applyAlignment="1">
      <alignment horizontal="right" vertical="center" indent="1"/>
    </xf>
    <xf numFmtId="179" fontId="7" fillId="3" borderId="6" xfId="0" quotePrefix="1" applyNumberFormat="1" applyFont="1" applyFill="1" applyBorder="1" applyAlignment="1">
      <alignment horizontal="right" vertical="center" indent="1"/>
    </xf>
    <xf numFmtId="0" fontId="17" fillId="3" borderId="0" xfId="0" applyFont="1" applyFill="1">
      <alignment vertical="center"/>
    </xf>
    <xf numFmtId="176" fontId="17" fillId="3" borderId="0" xfId="0" applyNumberFormat="1" applyFont="1" applyFill="1" applyAlignment="1">
      <alignment horizontal="centerContinuous" vertical="center"/>
    </xf>
    <xf numFmtId="0" fontId="17" fillId="0" borderId="10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3" fontId="17" fillId="0" borderId="64" xfId="0" applyNumberFormat="1" applyFont="1" applyBorder="1" applyAlignment="1">
      <alignment horizontal="right" vertical="center"/>
    </xf>
    <xf numFmtId="3" fontId="17" fillId="0" borderId="65" xfId="0" applyNumberFormat="1" applyFont="1" applyBorder="1" applyAlignment="1">
      <alignment horizontal="right" vertical="center"/>
    </xf>
    <xf numFmtId="3" fontId="17" fillId="4" borderId="67" xfId="0" applyNumberFormat="1" applyFont="1" applyFill="1" applyBorder="1" applyAlignment="1">
      <alignment horizontal="right" vertical="center"/>
    </xf>
    <xf numFmtId="0" fontId="17" fillId="0" borderId="25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3" fontId="17" fillId="0" borderId="60" xfId="0" applyNumberFormat="1" applyFont="1" applyBorder="1" applyAlignment="1">
      <alignment horizontal="right" vertical="center"/>
    </xf>
    <xf numFmtId="3" fontId="17" fillId="0" borderId="61" xfId="0" applyNumberFormat="1" applyFont="1" applyBorder="1" applyAlignment="1">
      <alignment horizontal="right" vertical="center"/>
    </xf>
    <xf numFmtId="3" fontId="17" fillId="0" borderId="63" xfId="0" applyNumberFormat="1" applyFont="1" applyBorder="1" applyAlignment="1">
      <alignment horizontal="right" vertical="center"/>
    </xf>
    <xf numFmtId="3" fontId="17" fillId="4" borderId="66" xfId="0" applyNumberFormat="1" applyFont="1" applyFill="1" applyBorder="1" applyAlignment="1">
      <alignment horizontal="right" vertical="center"/>
    </xf>
    <xf numFmtId="3" fontId="17" fillId="4" borderId="20" xfId="0" applyNumberFormat="1" applyFont="1" applyFill="1" applyBorder="1" applyAlignment="1">
      <alignment horizontal="right" vertical="center"/>
    </xf>
    <xf numFmtId="3" fontId="17" fillId="4" borderId="21" xfId="0" applyNumberFormat="1" applyFont="1" applyFill="1" applyBorder="1" applyAlignment="1">
      <alignment horizontal="right" vertical="center"/>
    </xf>
    <xf numFmtId="3" fontId="17" fillId="4" borderId="23" xfId="0" applyNumberFormat="1" applyFont="1" applyFill="1" applyBorder="1" applyAlignment="1">
      <alignment horizontal="right" vertical="center"/>
    </xf>
    <xf numFmtId="3" fontId="17" fillId="0" borderId="12" xfId="0" applyNumberFormat="1" applyFont="1" applyBorder="1" applyAlignment="1">
      <alignment horizontal="right" vertical="center"/>
    </xf>
    <xf numFmtId="3" fontId="17" fillId="0" borderId="10" xfId="0" applyNumberFormat="1" applyFont="1" applyBorder="1" applyAlignment="1">
      <alignment horizontal="right" vertical="center"/>
    </xf>
    <xf numFmtId="3" fontId="17" fillId="0" borderId="24" xfId="0" applyNumberFormat="1" applyFont="1" applyBorder="1" applyAlignment="1">
      <alignment horizontal="right" vertical="center"/>
    </xf>
    <xf numFmtId="3" fontId="17" fillId="0" borderId="17" xfId="0" applyNumberFormat="1" applyFont="1" applyBorder="1" applyAlignment="1">
      <alignment horizontal="right" vertical="center"/>
    </xf>
    <xf numFmtId="3" fontId="17" fillId="0" borderId="0" xfId="0" applyNumberFormat="1" applyFont="1" applyBorder="1" applyAlignment="1">
      <alignment horizontal="right" vertical="center"/>
    </xf>
    <xf numFmtId="3" fontId="17" fillId="0" borderId="19" xfId="0" applyNumberFormat="1" applyFont="1" applyBorder="1" applyAlignment="1">
      <alignment horizontal="right" vertical="center"/>
    </xf>
    <xf numFmtId="3" fontId="17" fillId="4" borderId="60" xfId="0" applyNumberFormat="1" applyFont="1" applyFill="1" applyBorder="1" applyAlignment="1">
      <alignment horizontal="right" vertical="center"/>
    </xf>
    <xf numFmtId="3" fontId="17" fillId="4" borderId="61" xfId="0" applyNumberFormat="1" applyFont="1" applyFill="1" applyBorder="1" applyAlignment="1">
      <alignment horizontal="right" vertical="center"/>
    </xf>
    <xf numFmtId="3" fontId="17" fillId="0" borderId="16" xfId="0" applyNumberFormat="1" applyFont="1" applyBorder="1" applyAlignment="1">
      <alignment horizontal="right" vertical="center"/>
    </xf>
    <xf numFmtId="3" fontId="17" fillId="0" borderId="13" xfId="0" applyNumberFormat="1" applyFont="1" applyBorder="1" applyAlignment="1">
      <alignment horizontal="right" vertical="center"/>
    </xf>
    <xf numFmtId="3" fontId="17" fillId="0" borderId="14" xfId="0" applyNumberFormat="1" applyFont="1" applyBorder="1" applyAlignment="1">
      <alignment horizontal="right" vertical="center"/>
    </xf>
    <xf numFmtId="3" fontId="17" fillId="0" borderId="43" xfId="0" applyNumberFormat="1" applyFont="1" applyBorder="1" applyAlignment="1">
      <alignment horizontal="right" vertical="center"/>
    </xf>
    <xf numFmtId="3" fontId="17" fillId="0" borderId="11" xfId="0" applyNumberFormat="1" applyFont="1" applyBorder="1" applyAlignment="1">
      <alignment horizontal="right" vertical="center"/>
    </xf>
    <xf numFmtId="3" fontId="17" fillId="0" borderId="41" xfId="0" applyNumberFormat="1" applyFont="1" applyBorder="1" applyAlignment="1">
      <alignment horizontal="right" vertical="center"/>
    </xf>
    <xf numFmtId="3" fontId="17" fillId="0" borderId="18" xfId="0" applyNumberFormat="1" applyFont="1" applyBorder="1" applyAlignment="1">
      <alignment horizontal="right" vertical="center"/>
    </xf>
    <xf numFmtId="3" fontId="17" fillId="0" borderId="80" xfId="0" applyNumberFormat="1" applyFont="1" applyBorder="1" applyAlignment="1">
      <alignment horizontal="right" vertical="center"/>
    </xf>
    <xf numFmtId="3" fontId="17" fillId="0" borderId="15" xfId="0" applyNumberFormat="1" applyFont="1" applyBorder="1" applyAlignment="1">
      <alignment horizontal="right" vertical="center"/>
    </xf>
    <xf numFmtId="176" fontId="17" fillId="0" borderId="36" xfId="0" applyNumberFormat="1" applyFont="1" applyBorder="1" applyAlignment="1">
      <alignment horizontal="right" vertical="center"/>
    </xf>
    <xf numFmtId="176" fontId="17" fillId="0" borderId="0" xfId="0" applyNumberFormat="1" applyFont="1" applyBorder="1" applyAlignment="1">
      <alignment horizontal="right" vertical="center"/>
    </xf>
    <xf numFmtId="176" fontId="17" fillId="0" borderId="35" xfId="0" applyNumberFormat="1" applyFont="1" applyBorder="1" applyAlignment="1">
      <alignment horizontal="right" vertical="center"/>
    </xf>
    <xf numFmtId="176" fontId="17" fillId="0" borderId="73" xfId="0" applyNumberFormat="1" applyFont="1" applyBorder="1" applyAlignment="1">
      <alignment horizontal="right" vertical="center"/>
    </xf>
    <xf numFmtId="176" fontId="17" fillId="0" borderId="72" xfId="0" applyNumberFormat="1" applyFont="1" applyBorder="1" applyAlignment="1">
      <alignment horizontal="right" vertical="center"/>
    </xf>
    <xf numFmtId="176" fontId="17" fillId="0" borderId="34" xfId="0" applyNumberFormat="1" applyFont="1" applyBorder="1" applyAlignment="1">
      <alignment horizontal="right" vertical="center"/>
    </xf>
    <xf numFmtId="3" fontId="17" fillId="4" borderId="70" xfId="0" applyNumberFormat="1" applyFont="1" applyFill="1" applyBorder="1" applyAlignment="1">
      <alignment horizontal="right" vertical="center"/>
    </xf>
    <xf numFmtId="3" fontId="17" fillId="4" borderId="71" xfId="0" applyNumberFormat="1" applyFont="1" applyFill="1" applyBorder="1" applyAlignment="1">
      <alignment horizontal="right" vertical="center"/>
    </xf>
    <xf numFmtId="3" fontId="17" fillId="4" borderId="69" xfId="0" applyNumberFormat="1" applyFont="1" applyFill="1" applyBorder="1" applyAlignment="1">
      <alignment horizontal="right" vertical="center"/>
    </xf>
    <xf numFmtId="176" fontId="17" fillId="0" borderId="39" xfId="0" applyNumberFormat="1" applyFont="1" applyBorder="1" applyAlignment="1">
      <alignment horizontal="right" vertical="center"/>
    </xf>
    <xf numFmtId="176" fontId="17" fillId="0" borderId="37" xfId="0" applyNumberFormat="1" applyFont="1" applyBorder="1" applyAlignment="1">
      <alignment horizontal="right" vertical="center"/>
    </xf>
    <xf numFmtId="176" fontId="17" fillId="0" borderId="38" xfId="0" applyNumberFormat="1" applyFont="1" applyBorder="1" applyAlignment="1">
      <alignment horizontal="right" vertical="center"/>
    </xf>
    <xf numFmtId="176" fontId="17" fillId="0" borderId="3" xfId="0" applyNumberFormat="1" applyFont="1" applyBorder="1" applyAlignment="1">
      <alignment horizontal="right" vertical="center"/>
    </xf>
    <xf numFmtId="176" fontId="7" fillId="3" borderId="0" xfId="0" quotePrefix="1" applyNumberFormat="1" applyFont="1" applyFill="1" applyAlignment="1">
      <alignment horizontal="right" vertical="center"/>
    </xf>
    <xf numFmtId="176" fontId="7" fillId="0" borderId="0" xfId="0" applyNumberFormat="1" applyFont="1" applyAlignment="1">
      <alignment horizontal="right" vertical="center" indent="1"/>
    </xf>
    <xf numFmtId="176" fontId="17" fillId="0" borderId="74" xfId="0" applyNumberFormat="1" applyFont="1" applyBorder="1" applyAlignment="1">
      <alignment horizontal="right" vertical="center"/>
    </xf>
    <xf numFmtId="0" fontId="11" fillId="4" borderId="0" xfId="0" quotePrefix="1" applyFont="1" applyFill="1" applyBorder="1" applyAlignment="1">
      <alignment horizontal="right" vertical="center"/>
    </xf>
    <xf numFmtId="0" fontId="11" fillId="4" borderId="0" xfId="0" applyFont="1" applyFill="1" applyBorder="1" applyAlignment="1">
      <alignment horizontal="right" vertical="center"/>
    </xf>
    <xf numFmtId="3" fontId="17" fillId="4" borderId="68" xfId="0" applyNumberFormat="1" applyFont="1" applyFill="1" applyBorder="1" applyAlignment="1">
      <alignment horizontal="right" vertical="center"/>
    </xf>
    <xf numFmtId="177" fontId="17" fillId="0" borderId="17" xfId="2" applyNumberFormat="1" applyFont="1" applyBorder="1" applyAlignment="1">
      <alignment horizontal="center" vertical="center"/>
    </xf>
    <xf numFmtId="177" fontId="17" fillId="0" borderId="0" xfId="2" applyNumberFormat="1" applyFont="1" applyBorder="1" applyAlignment="1">
      <alignment horizontal="center" vertical="center"/>
    </xf>
    <xf numFmtId="3" fontId="17" fillId="4" borderId="40" xfId="0" applyNumberFormat="1" applyFont="1" applyFill="1" applyBorder="1" applyAlignment="1">
      <alignment horizontal="right" vertical="center"/>
    </xf>
    <xf numFmtId="3" fontId="17" fillId="4" borderId="28" xfId="0" applyNumberFormat="1" applyFont="1" applyFill="1" applyBorder="1" applyAlignment="1">
      <alignment horizontal="right" vertical="center"/>
    </xf>
    <xf numFmtId="3" fontId="17" fillId="4" borderId="27" xfId="0" applyNumberFormat="1" applyFont="1" applyFill="1" applyBorder="1" applyAlignment="1">
      <alignment horizontal="right" vertical="center"/>
    </xf>
    <xf numFmtId="3" fontId="17" fillId="4" borderId="82" xfId="0" applyNumberFormat="1" applyFont="1" applyFill="1" applyBorder="1" applyAlignment="1">
      <alignment horizontal="right" vertical="center"/>
    </xf>
    <xf numFmtId="3" fontId="17" fillId="4" borderId="81" xfId="0" applyNumberFormat="1" applyFont="1" applyFill="1" applyBorder="1" applyAlignment="1">
      <alignment horizontal="right" vertical="center"/>
    </xf>
    <xf numFmtId="177" fontId="17" fillId="4" borderId="42" xfId="2" applyNumberFormat="1" applyFont="1" applyFill="1" applyBorder="1" applyAlignment="1">
      <alignment horizontal="center" vertical="center"/>
    </xf>
    <xf numFmtId="177" fontId="17" fillId="4" borderId="21" xfId="2" applyNumberFormat="1" applyFont="1" applyFill="1" applyBorder="1" applyAlignment="1">
      <alignment horizontal="center" vertical="center"/>
    </xf>
    <xf numFmtId="177" fontId="17" fillId="4" borderId="23" xfId="2" applyNumberFormat="1" applyFont="1" applyFill="1" applyBorder="1" applyAlignment="1">
      <alignment horizontal="center" vertical="center"/>
    </xf>
    <xf numFmtId="177" fontId="17" fillId="0" borderId="16" xfId="2" applyNumberFormat="1" applyFont="1" applyBorder="1" applyAlignment="1">
      <alignment horizontal="center" vertical="center"/>
    </xf>
    <xf numFmtId="177" fontId="17" fillId="0" borderId="13" xfId="2" applyNumberFormat="1" applyFont="1" applyBorder="1" applyAlignment="1">
      <alignment horizontal="center" vertical="center"/>
    </xf>
    <xf numFmtId="3" fontId="17" fillId="4" borderId="42" xfId="0" applyNumberFormat="1" applyFont="1" applyFill="1" applyBorder="1" applyAlignment="1">
      <alignment horizontal="right" vertical="center"/>
    </xf>
    <xf numFmtId="3" fontId="17" fillId="0" borderId="62" xfId="0" applyNumberFormat="1" applyFont="1" applyBorder="1" applyAlignment="1">
      <alignment horizontal="right" vertical="center"/>
    </xf>
    <xf numFmtId="177" fontId="17" fillId="4" borderId="40" xfId="2" applyNumberFormat="1" applyFont="1" applyFill="1" applyBorder="1" applyAlignment="1">
      <alignment horizontal="center" vertical="center"/>
    </xf>
    <xf numFmtId="177" fontId="17" fillId="4" borderId="28" xfId="2" applyNumberFormat="1" applyFont="1" applyFill="1" applyBorder="1" applyAlignment="1">
      <alignment horizontal="center" vertical="center"/>
    </xf>
    <xf numFmtId="177" fontId="17" fillId="0" borderId="49" xfId="2" applyNumberFormat="1" applyFont="1" applyBorder="1" applyAlignment="1">
      <alignment horizontal="center" vertical="center"/>
    </xf>
    <xf numFmtId="177" fontId="17" fillId="0" borderId="25" xfId="2" applyNumberFormat="1" applyFont="1" applyBorder="1" applyAlignment="1">
      <alignment horizontal="center" vertical="center"/>
    </xf>
    <xf numFmtId="177" fontId="17" fillId="0" borderId="48" xfId="2" applyNumberFormat="1" applyFont="1" applyBorder="1" applyAlignment="1">
      <alignment horizontal="center" vertical="center"/>
    </xf>
    <xf numFmtId="177" fontId="17" fillId="0" borderId="41" xfId="2" applyNumberFormat="1" applyFont="1" applyBorder="1" applyAlignment="1">
      <alignment horizontal="center" vertical="center"/>
    </xf>
    <xf numFmtId="177" fontId="17" fillId="0" borderId="19" xfId="2" applyNumberFormat="1" applyFont="1" applyBorder="1" applyAlignment="1">
      <alignment horizontal="center" vertical="center"/>
    </xf>
    <xf numFmtId="177" fontId="17" fillId="0" borderId="43" xfId="2" applyNumberFormat="1" applyFont="1" applyBorder="1" applyAlignment="1">
      <alignment horizontal="center" vertical="center"/>
    </xf>
    <xf numFmtId="177" fontId="17" fillId="0" borderId="10" xfId="2" applyNumberFormat="1" applyFont="1" applyBorder="1" applyAlignment="1">
      <alignment horizontal="center" vertical="center"/>
    </xf>
    <xf numFmtId="177" fontId="17" fillId="0" borderId="24" xfId="2" applyNumberFormat="1" applyFont="1" applyBorder="1" applyAlignment="1">
      <alignment horizontal="center" vertical="center"/>
    </xf>
    <xf numFmtId="177" fontId="17" fillId="0" borderId="12" xfId="2" applyNumberFormat="1" applyFont="1" applyBorder="1" applyAlignment="1">
      <alignment horizontal="center" vertical="center"/>
    </xf>
    <xf numFmtId="3" fontId="17" fillId="4" borderId="22" xfId="0" applyNumberFormat="1" applyFont="1" applyFill="1" applyBorder="1" applyAlignment="1">
      <alignment horizontal="right" vertical="center"/>
    </xf>
    <xf numFmtId="3" fontId="17" fillId="4" borderId="62" xfId="0" applyNumberFormat="1" applyFont="1" applyFill="1" applyBorder="1" applyAlignment="1">
      <alignment horizontal="right" vertical="center"/>
    </xf>
    <xf numFmtId="176" fontId="17" fillId="4" borderId="75" xfId="0" applyNumberFormat="1" applyFont="1" applyFill="1" applyBorder="1" applyAlignment="1">
      <alignment horizontal="right" vertical="center"/>
    </xf>
    <xf numFmtId="176" fontId="17" fillId="4" borderId="76" xfId="0" applyNumberFormat="1" applyFont="1" applyFill="1" applyBorder="1" applyAlignment="1">
      <alignment horizontal="right" vertical="center"/>
    </xf>
    <xf numFmtId="176" fontId="17" fillId="4" borderId="77" xfId="0" applyNumberFormat="1" applyFont="1" applyFill="1" applyBorder="1" applyAlignment="1">
      <alignment horizontal="right" vertical="center"/>
    </xf>
    <xf numFmtId="176" fontId="17" fillId="0" borderId="17" xfId="0" applyNumberFormat="1" applyFont="1" applyFill="1" applyBorder="1" applyAlignment="1">
      <alignment horizontal="right" vertical="center"/>
    </xf>
    <xf numFmtId="176" fontId="17" fillId="0" borderId="0" xfId="0" applyNumberFormat="1" applyFont="1" applyFill="1" applyBorder="1" applyAlignment="1">
      <alignment horizontal="right" vertical="center"/>
    </xf>
    <xf numFmtId="176" fontId="17" fillId="0" borderId="19" xfId="0" applyNumberFormat="1" applyFont="1" applyFill="1" applyBorder="1" applyAlignment="1">
      <alignment horizontal="right" vertical="center"/>
    </xf>
    <xf numFmtId="176" fontId="17" fillId="0" borderId="41" xfId="0" applyNumberFormat="1" applyFont="1" applyFill="1" applyBorder="1" applyAlignment="1">
      <alignment horizontal="right" vertical="center"/>
    </xf>
    <xf numFmtId="176" fontId="17" fillId="0" borderId="18" xfId="0" applyNumberFormat="1" applyFont="1" applyFill="1" applyBorder="1" applyAlignment="1">
      <alignment horizontal="right" vertical="center"/>
    </xf>
    <xf numFmtId="176" fontId="17" fillId="4" borderId="79" xfId="0" applyNumberFormat="1" applyFont="1" applyFill="1" applyBorder="1" applyAlignment="1">
      <alignment horizontal="right" vertical="center"/>
    </xf>
    <xf numFmtId="176" fontId="17" fillId="4" borderId="78" xfId="0" applyNumberFormat="1" applyFont="1" applyFill="1" applyBorder="1" applyAlignment="1">
      <alignment horizontal="right" vertical="center"/>
    </xf>
    <xf numFmtId="176" fontId="17" fillId="0" borderId="49" xfId="0" applyNumberFormat="1" applyFont="1" applyFill="1" applyBorder="1" applyAlignment="1">
      <alignment horizontal="right" vertical="center"/>
    </xf>
    <xf numFmtId="176" fontId="17" fillId="0" borderId="25" xfId="0" applyNumberFormat="1" applyFont="1" applyFill="1" applyBorder="1" applyAlignment="1">
      <alignment horizontal="right" vertical="center"/>
    </xf>
    <xf numFmtId="176" fontId="17" fillId="0" borderId="48" xfId="0" applyNumberFormat="1" applyFont="1" applyFill="1" applyBorder="1" applyAlignment="1">
      <alignment horizontal="right" vertical="center"/>
    </xf>
    <xf numFmtId="176" fontId="17" fillId="0" borderId="47" xfId="0" applyNumberFormat="1" applyFont="1" applyFill="1" applyBorder="1" applyAlignment="1">
      <alignment horizontal="right" vertical="center"/>
    </xf>
    <xf numFmtId="176" fontId="17" fillId="0" borderId="26" xfId="0" applyNumberFormat="1" applyFont="1" applyFill="1" applyBorder="1" applyAlignment="1">
      <alignment horizontal="right" vertical="center"/>
    </xf>
    <xf numFmtId="0" fontId="22" fillId="4" borderId="36" xfId="0" applyFont="1" applyFill="1" applyBorder="1" applyAlignment="1">
      <alignment horizontal="left" vertical="center" wrapText="1" indent="1"/>
    </xf>
    <xf numFmtId="0" fontId="22" fillId="4" borderId="0" xfId="0" applyFont="1" applyFill="1" applyAlignment="1">
      <alignment horizontal="left" vertical="center" wrapText="1" indent="1"/>
    </xf>
    <xf numFmtId="0" fontId="22" fillId="4" borderId="52" xfId="0" applyFont="1" applyFill="1" applyBorder="1" applyAlignment="1">
      <alignment horizontal="left" vertical="center" wrapText="1" indent="1"/>
    </xf>
    <xf numFmtId="0" fontId="22" fillId="4" borderId="54" xfId="0" applyFont="1" applyFill="1" applyBorder="1" applyAlignment="1">
      <alignment horizontal="left" vertical="center" wrapText="1" indent="1"/>
    </xf>
    <xf numFmtId="0" fontId="17" fillId="0" borderId="51" xfId="0" applyFont="1" applyBorder="1" applyAlignment="1">
      <alignment horizontal="left" vertical="center" wrapText="1" indent="1"/>
    </xf>
    <xf numFmtId="0" fontId="17" fillId="0" borderId="53" xfId="0" applyFont="1" applyBorder="1" applyAlignment="1">
      <alignment horizontal="left" vertical="center" wrapText="1" indent="1"/>
    </xf>
    <xf numFmtId="0" fontId="22" fillId="0" borderId="36" xfId="0" quotePrefix="1" applyFont="1" applyBorder="1" applyAlignment="1">
      <alignment horizontal="left" vertical="center" wrapText="1" indent="1"/>
    </xf>
    <xf numFmtId="0" fontId="22" fillId="0" borderId="0" xfId="0" quotePrefix="1" applyFont="1" applyAlignment="1">
      <alignment horizontal="left" vertical="center" wrapText="1" indent="1"/>
    </xf>
    <xf numFmtId="0" fontId="17" fillId="0" borderId="37" xfId="0" applyFont="1" applyBorder="1" applyAlignment="1">
      <alignment horizontal="center" vertical="center" wrapText="1"/>
    </xf>
    <xf numFmtId="0" fontId="16" fillId="5" borderId="0" xfId="0" applyFont="1" applyFill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70EFC-ECB1-42B3-83CE-9C1BFC9EEC75}">
  <sheetPr codeName="Sheet1">
    <tabColor rgb="FFFFC000"/>
    <pageSetUpPr fitToPage="1"/>
  </sheetPr>
  <dimension ref="A1:CL62"/>
  <sheetViews>
    <sheetView showGridLines="0" tabSelected="1" view="pageBreakPreview" zoomScaleNormal="85" zoomScaleSheetLayoutView="100" workbookViewId="0">
      <selection activeCell="BF3" sqref="BF3"/>
    </sheetView>
  </sheetViews>
  <sheetFormatPr defaultColWidth="9.625" defaultRowHeight="15" x14ac:dyDescent="0.3"/>
  <cols>
    <col min="1" max="57" width="1.625" style="18" customWidth="1"/>
    <col min="58" max="16384" width="9.625" style="18"/>
  </cols>
  <sheetData>
    <row r="1" spans="1:57" ht="8.1" customHeight="1" x14ac:dyDescent="0.3">
      <c r="A1" s="122"/>
    </row>
    <row r="2" spans="1:57" ht="24" customHeight="1" x14ac:dyDescent="0.35">
      <c r="B2" s="9" t="s">
        <v>35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"/>
      <c r="Q2" s="1"/>
      <c r="R2" s="2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"/>
      <c r="AG2" s="1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10" t="s">
        <v>65</v>
      </c>
    </row>
    <row r="3" spans="1:57" ht="15" customHeight="1" x14ac:dyDescent="0.3"/>
    <row r="4" spans="1:57" ht="15" customHeight="1" x14ac:dyDescent="0.25">
      <c r="B4" s="11" t="s">
        <v>36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3"/>
      <c r="Q4" s="3"/>
      <c r="R4" s="3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 ht="8.1" customHeight="1" x14ac:dyDescent="0.25">
      <c r="B5" s="4"/>
      <c r="P5" s="5"/>
      <c r="Q5" s="5"/>
      <c r="R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1:57" s="99" customFormat="1" ht="15" customHeight="1" x14ac:dyDescent="0.2">
      <c r="B6" s="98" t="s">
        <v>121</v>
      </c>
      <c r="P6" s="100"/>
      <c r="AF6" s="100"/>
    </row>
    <row r="7" spans="1:57" s="99" customFormat="1" ht="15" customHeight="1" x14ac:dyDescent="0.2">
      <c r="B7" s="98" t="s">
        <v>122</v>
      </c>
      <c r="P7" s="100"/>
      <c r="AF7" s="100"/>
    </row>
    <row r="8" spans="1:57" ht="8.1" customHeight="1" x14ac:dyDescent="0.3"/>
    <row r="9" spans="1:57" ht="8.1" customHeight="1" x14ac:dyDescent="0.3">
      <c r="C9" s="20"/>
      <c r="D9" s="21"/>
      <c r="E9" s="21"/>
      <c r="F9" s="21"/>
      <c r="G9" s="21"/>
      <c r="H9" s="21"/>
      <c r="I9" s="21"/>
      <c r="J9" s="21"/>
      <c r="K9" s="21"/>
      <c r="L9" s="22"/>
      <c r="M9" s="29"/>
      <c r="N9" s="20"/>
      <c r="O9" s="21"/>
      <c r="P9" s="21"/>
      <c r="Q9" s="21"/>
      <c r="R9" s="21"/>
      <c r="S9" s="21"/>
      <c r="T9" s="21"/>
      <c r="U9" s="21"/>
      <c r="V9" s="21"/>
      <c r="W9" s="22"/>
      <c r="X9" s="29"/>
      <c r="Y9" s="20"/>
      <c r="Z9" s="21"/>
      <c r="AA9" s="21"/>
      <c r="AB9" s="21"/>
      <c r="AC9" s="21"/>
      <c r="AD9" s="21"/>
      <c r="AE9" s="21"/>
      <c r="AF9" s="21"/>
      <c r="AG9" s="21"/>
      <c r="AH9" s="22"/>
      <c r="AI9" s="29"/>
      <c r="AJ9" s="20"/>
      <c r="AK9" s="21"/>
      <c r="AL9" s="21"/>
      <c r="AM9" s="21"/>
      <c r="AN9" s="21"/>
      <c r="AO9" s="21"/>
      <c r="AP9" s="21"/>
      <c r="AQ9" s="21"/>
      <c r="AR9" s="21"/>
      <c r="AS9" s="22"/>
      <c r="AU9" s="20"/>
      <c r="AV9" s="21"/>
      <c r="AW9" s="21"/>
      <c r="AX9" s="21"/>
      <c r="AY9" s="21"/>
      <c r="AZ9" s="21"/>
      <c r="BA9" s="21"/>
      <c r="BB9" s="21"/>
      <c r="BC9" s="21"/>
      <c r="BD9" s="22"/>
    </row>
    <row r="10" spans="1:57" s="24" customFormat="1" ht="16.5" customHeight="1" x14ac:dyDescent="0.3">
      <c r="C10" s="13" t="s">
        <v>184</v>
      </c>
      <c r="D10" s="14"/>
      <c r="E10" s="14"/>
      <c r="F10" s="14"/>
      <c r="G10" s="14"/>
      <c r="H10" s="14"/>
      <c r="I10" s="14"/>
      <c r="J10" s="14"/>
      <c r="K10" s="25"/>
      <c r="L10" s="26"/>
      <c r="M10" s="150"/>
      <c r="N10" s="13" t="s">
        <v>185</v>
      </c>
      <c r="O10" s="14"/>
      <c r="P10" s="14"/>
      <c r="Q10" s="14"/>
      <c r="R10" s="14"/>
      <c r="S10" s="14"/>
      <c r="T10" s="14"/>
      <c r="U10" s="14"/>
      <c r="V10" s="25"/>
      <c r="W10" s="26"/>
      <c r="X10" s="150"/>
      <c r="Y10" s="13" t="s">
        <v>186</v>
      </c>
      <c r="Z10" s="14"/>
      <c r="AA10" s="14"/>
      <c r="AB10" s="14"/>
      <c r="AC10" s="14"/>
      <c r="AD10" s="14"/>
      <c r="AE10" s="14"/>
      <c r="AF10" s="14"/>
      <c r="AG10" s="25"/>
      <c r="AH10" s="26"/>
      <c r="AI10" s="150"/>
      <c r="AJ10" s="13" t="s">
        <v>187</v>
      </c>
      <c r="AK10" s="14"/>
      <c r="AL10" s="14"/>
      <c r="AM10" s="14"/>
      <c r="AN10" s="14"/>
      <c r="AO10" s="14"/>
      <c r="AP10" s="14"/>
      <c r="AQ10" s="14"/>
      <c r="AR10" s="25"/>
      <c r="AS10" s="26"/>
      <c r="AU10" s="13" t="s">
        <v>0</v>
      </c>
      <c r="AV10" s="14"/>
      <c r="AW10" s="14"/>
      <c r="AX10" s="14"/>
      <c r="AY10" s="14"/>
      <c r="AZ10" s="14"/>
      <c r="BA10" s="14"/>
      <c r="BB10" s="14"/>
      <c r="BC10" s="25"/>
      <c r="BD10" s="26"/>
    </row>
    <row r="11" spans="1:57" ht="8.1" customHeight="1" x14ac:dyDescent="0.3">
      <c r="C11" s="28"/>
      <c r="D11" s="29"/>
      <c r="E11" s="29"/>
      <c r="F11" s="29"/>
      <c r="G11" s="29"/>
      <c r="H11" s="29"/>
      <c r="I11" s="29"/>
      <c r="J11" s="29"/>
      <c r="K11" s="29"/>
      <c r="L11" s="30"/>
      <c r="M11" s="29"/>
      <c r="N11" s="28"/>
      <c r="O11" s="29"/>
      <c r="P11" s="29"/>
      <c r="Q11" s="29"/>
      <c r="R11" s="29"/>
      <c r="S11" s="29"/>
      <c r="T11" s="29"/>
      <c r="U11" s="29"/>
      <c r="V11" s="29"/>
      <c r="W11" s="30"/>
      <c r="X11" s="29"/>
      <c r="Y11" s="28"/>
      <c r="Z11" s="29"/>
      <c r="AA11" s="29"/>
      <c r="AB11" s="29"/>
      <c r="AC11" s="29"/>
      <c r="AD11" s="29"/>
      <c r="AE11" s="29"/>
      <c r="AF11" s="29"/>
      <c r="AG11" s="29"/>
      <c r="AH11" s="30"/>
      <c r="AI11" s="29"/>
      <c r="AJ11" s="28"/>
      <c r="AK11" s="29"/>
      <c r="AL11" s="29"/>
      <c r="AM11" s="29"/>
      <c r="AN11" s="29"/>
      <c r="AO11" s="29"/>
      <c r="AP11" s="29"/>
      <c r="AQ11" s="29"/>
      <c r="AR11" s="29"/>
      <c r="AS11" s="30"/>
      <c r="AU11" s="28"/>
      <c r="AV11" s="29"/>
      <c r="AW11" s="29"/>
      <c r="AX11" s="29"/>
      <c r="AY11" s="29"/>
      <c r="AZ11" s="29"/>
      <c r="BA11" s="29"/>
      <c r="BB11" s="29"/>
      <c r="BC11" s="29"/>
      <c r="BD11" s="30"/>
    </row>
    <row r="12" spans="1:57" s="31" customFormat="1" ht="16.5" customHeight="1" x14ac:dyDescent="0.3">
      <c r="C12" s="15"/>
      <c r="D12" s="203">
        <f>IFERROR(VALUE(VLOOKUP("종합", BU_NPS_RAW!$A:$B, 2, FALSE)),0)</f>
        <v>0</v>
      </c>
      <c r="E12" s="204"/>
      <c r="F12" s="204"/>
      <c r="G12" s="204"/>
      <c r="H12" s="204"/>
      <c r="I12" s="204"/>
      <c r="J12" s="204"/>
      <c r="K12" s="204"/>
      <c r="L12" s="16"/>
      <c r="M12" s="151"/>
      <c r="N12" s="15"/>
      <c r="O12" s="203">
        <f>IFERROR(VALUE(VLOOKUP("KB 스타뱅킹", BU_NPS_RAW!$A:$B, 2, FALSE)),0)</f>
        <v>0</v>
      </c>
      <c r="P12" s="204"/>
      <c r="Q12" s="204"/>
      <c r="R12" s="204"/>
      <c r="S12" s="204"/>
      <c r="T12" s="204"/>
      <c r="U12" s="204"/>
      <c r="V12" s="204"/>
      <c r="W12" s="152">
        <v>56.6</v>
      </c>
      <c r="X12" s="151"/>
      <c r="Y12" s="15"/>
      <c r="Z12" s="203">
        <f>IFERROR(VALUE(VLOOKUP("영업점", BU_NPS_RAW!$A:$B, 2, FALSE)),0)</f>
        <v>0</v>
      </c>
      <c r="AA12" s="204"/>
      <c r="AB12" s="204"/>
      <c r="AC12" s="204"/>
      <c r="AD12" s="204"/>
      <c r="AE12" s="204"/>
      <c r="AF12" s="204"/>
      <c r="AG12" s="204"/>
      <c r="AH12" s="152">
        <v>57.16</v>
      </c>
      <c r="AI12" s="151"/>
      <c r="AJ12" s="15"/>
      <c r="AK12" s="203">
        <f>IFERROR(VALUE(VLOOKUP("고객센터", BU_NPS_RAW!$A:$B, 2, FALSE)),0)</f>
        <v>0</v>
      </c>
      <c r="AL12" s="204"/>
      <c r="AM12" s="204"/>
      <c r="AN12" s="204"/>
      <c r="AO12" s="204"/>
      <c r="AP12" s="204"/>
      <c r="AQ12" s="204"/>
      <c r="AR12" s="204"/>
      <c r="AS12" s="152">
        <v>63.05</v>
      </c>
      <c r="AU12" s="15"/>
      <c r="AV12" s="203">
        <f>IFERROR(VALUE(VLOOKUP(B42, BU_NPS_RAW!$A:$B, 2, FALSE)),0)</f>
        <v>0</v>
      </c>
      <c r="AW12" s="204"/>
      <c r="AX12" s="204"/>
      <c r="AY12" s="204"/>
      <c r="AZ12" s="204"/>
      <c r="BA12" s="204"/>
      <c r="BB12" s="204"/>
      <c r="BC12" s="204"/>
      <c r="BD12" s="152">
        <v>22.44</v>
      </c>
    </row>
    <row r="13" spans="1:57" s="33" customFormat="1" ht="8.1" customHeight="1" x14ac:dyDescent="0.3">
      <c r="C13" s="34"/>
      <c r="D13" s="35"/>
      <c r="E13" s="35"/>
      <c r="F13" s="35"/>
      <c r="G13" s="35"/>
      <c r="H13" s="35"/>
      <c r="I13" s="35"/>
      <c r="J13" s="36"/>
      <c r="K13" s="36"/>
      <c r="L13" s="37"/>
      <c r="M13" s="29"/>
      <c r="N13" s="34"/>
      <c r="O13" s="35"/>
      <c r="P13" s="35"/>
      <c r="Q13" s="35"/>
      <c r="R13" s="35"/>
      <c r="S13" s="35"/>
      <c r="T13" s="35"/>
      <c r="U13" s="36"/>
      <c r="V13" s="36"/>
      <c r="W13" s="37"/>
      <c r="X13" s="29"/>
      <c r="Y13" s="34"/>
      <c r="Z13" s="35"/>
      <c r="AA13" s="35"/>
      <c r="AB13" s="35"/>
      <c r="AC13" s="35"/>
      <c r="AD13" s="35"/>
      <c r="AE13" s="35"/>
      <c r="AF13" s="36"/>
      <c r="AG13" s="36"/>
      <c r="AH13" s="37"/>
      <c r="AI13" s="29"/>
      <c r="AJ13" s="34"/>
      <c r="AK13" s="35"/>
      <c r="AL13" s="35"/>
      <c r="AM13" s="35"/>
      <c r="AN13" s="35"/>
      <c r="AO13" s="35"/>
      <c r="AP13" s="35"/>
      <c r="AQ13" s="36"/>
      <c r="AR13" s="36"/>
      <c r="AS13" s="37"/>
      <c r="AU13" s="34"/>
      <c r="AV13" s="35"/>
      <c r="AW13" s="35"/>
      <c r="AX13" s="35"/>
      <c r="AY13" s="35"/>
      <c r="AZ13" s="35"/>
      <c r="BA13" s="35"/>
      <c r="BB13" s="36"/>
      <c r="BC13" s="36"/>
      <c r="BD13" s="37"/>
    </row>
    <row r="14" spans="1:57" s="81" customFormat="1" ht="16.5" customHeight="1" x14ac:dyDescent="0.3">
      <c r="C14" s="82" t="s">
        <v>1</v>
      </c>
      <c r="D14" s="83"/>
      <c r="E14" s="83"/>
      <c r="F14" s="83"/>
      <c r="G14" s="83"/>
      <c r="H14" s="83"/>
      <c r="I14" s="154">
        <f>IFERROR(VALUE(VLOOKUP("종합", BU_NPS_RAW!$A:$C, 3, FALSE)),0)</f>
        <v>0</v>
      </c>
      <c r="J14" s="83"/>
      <c r="K14" s="83"/>
      <c r="L14" s="84"/>
      <c r="M14" s="153"/>
      <c r="N14" s="82" t="s">
        <v>1</v>
      </c>
      <c r="O14" s="83"/>
      <c r="P14" s="83"/>
      <c r="Q14" s="83"/>
      <c r="R14" s="83"/>
      <c r="S14" s="83"/>
      <c r="T14" s="154">
        <f>IFERROR(VALUE(VLOOKUP("KB 스타뱅킹", BU_NPS_RAW!$A:$C, 3, FALSE)),0)</f>
        <v>0</v>
      </c>
      <c r="U14" s="83"/>
      <c r="V14" s="83"/>
      <c r="W14" s="84"/>
      <c r="X14" s="153"/>
      <c r="Y14" s="82" t="s">
        <v>1</v>
      </c>
      <c r="Z14" s="83"/>
      <c r="AA14" s="83"/>
      <c r="AB14" s="83"/>
      <c r="AC14" s="83"/>
      <c r="AD14" s="83"/>
      <c r="AE14" s="154">
        <f>IFERROR(VALUE(VLOOKUP("영업점", BU_NPS_RAW!$A:$C, 3, FALSE)),0)</f>
        <v>0</v>
      </c>
      <c r="AF14" s="83"/>
      <c r="AG14" s="83"/>
      <c r="AH14" s="84"/>
      <c r="AI14" s="153"/>
      <c r="AJ14" s="82" t="s">
        <v>1</v>
      </c>
      <c r="AK14" s="83"/>
      <c r="AL14" s="83"/>
      <c r="AM14" s="83"/>
      <c r="AN14" s="83"/>
      <c r="AO14" s="83"/>
      <c r="AP14" s="154">
        <f>IFERROR(VALUE(VLOOKUP("고객센터", BU_NPS_RAW!$A:$C, 3, FALSE)),0)</f>
        <v>0</v>
      </c>
      <c r="AQ14" s="83"/>
      <c r="AR14" s="83"/>
      <c r="AS14" s="84"/>
      <c r="AU14" s="82" t="s">
        <v>1</v>
      </c>
      <c r="AV14" s="83"/>
      <c r="AW14" s="83"/>
      <c r="AX14" s="83"/>
      <c r="AY14" s="83"/>
      <c r="AZ14" s="83"/>
      <c r="BA14" s="154">
        <f>IFERROR(VALUE(VLOOKUP(B42, BU_NPS_RAW!$A:$C, 3, FALSE)),0)</f>
        <v>0</v>
      </c>
      <c r="BB14" s="83"/>
      <c r="BC14" s="83"/>
      <c r="BD14" s="84"/>
    </row>
    <row r="15" spans="1:57" s="81" customFormat="1" ht="16.5" customHeight="1" x14ac:dyDescent="0.3">
      <c r="C15" s="82" t="s">
        <v>2</v>
      </c>
      <c r="D15" s="83"/>
      <c r="E15" s="83"/>
      <c r="F15" s="83"/>
      <c r="G15" s="83"/>
      <c r="H15" s="83"/>
      <c r="I15" s="154">
        <f>IFERROR(VALUE(VLOOKUP("종합", BU_NPS_RAW!$A:$D, 4, FALSE)),0)</f>
        <v>0</v>
      </c>
      <c r="J15" s="83"/>
      <c r="K15" s="83"/>
      <c r="L15" s="84"/>
      <c r="M15" s="153"/>
      <c r="N15" s="82" t="s">
        <v>2</v>
      </c>
      <c r="O15" s="83"/>
      <c r="P15" s="83"/>
      <c r="Q15" s="83"/>
      <c r="R15" s="83"/>
      <c r="S15" s="83"/>
      <c r="T15" s="154">
        <f>IFERROR(VALUE(VLOOKUP("KB 스타뱅킹", BU_NPS_RAW!$A:$D, 4, FALSE)),0)</f>
        <v>0</v>
      </c>
      <c r="U15" s="83"/>
      <c r="V15" s="83"/>
      <c r="W15" s="84"/>
      <c r="X15" s="153"/>
      <c r="Y15" s="82" t="s">
        <v>2</v>
      </c>
      <c r="Z15" s="83"/>
      <c r="AA15" s="83"/>
      <c r="AB15" s="83"/>
      <c r="AC15" s="83"/>
      <c r="AD15" s="83"/>
      <c r="AE15" s="154">
        <f>IFERROR(VALUE(VLOOKUP("영업점", BU_NPS_RAW!$A:$D, 4, FALSE)),0)</f>
        <v>0</v>
      </c>
      <c r="AF15" s="83"/>
      <c r="AG15" s="83"/>
      <c r="AH15" s="84"/>
      <c r="AI15" s="153"/>
      <c r="AJ15" s="82" t="s">
        <v>2</v>
      </c>
      <c r="AK15" s="83"/>
      <c r="AL15" s="83"/>
      <c r="AM15" s="83"/>
      <c r="AN15" s="83"/>
      <c r="AO15" s="83"/>
      <c r="AP15" s="154">
        <f>IFERROR(VALUE(VLOOKUP("고객센터", BU_NPS_RAW!$A:$D, 4, FALSE)),0)</f>
        <v>0</v>
      </c>
      <c r="AQ15" s="83"/>
      <c r="AR15" s="83"/>
      <c r="AS15" s="84"/>
      <c r="AU15" s="82" t="s">
        <v>2</v>
      </c>
      <c r="AV15" s="83"/>
      <c r="AW15" s="83"/>
      <c r="AX15" s="83"/>
      <c r="AY15" s="83"/>
      <c r="AZ15" s="83"/>
      <c r="BA15" s="154">
        <f>IFERROR(VALUE(VLOOKUP(B42, BU_NPS_RAW!$A:$D, 4, FALSE)),0)</f>
        <v>0</v>
      </c>
      <c r="BB15" s="83"/>
      <c r="BC15" s="83"/>
      <c r="BD15" s="84"/>
    </row>
    <row r="16" spans="1:57" ht="8.1" customHeight="1" x14ac:dyDescent="0.3">
      <c r="C16" s="38"/>
      <c r="D16" s="39"/>
      <c r="E16" s="39"/>
      <c r="F16" s="39"/>
      <c r="G16" s="39"/>
      <c r="H16" s="39"/>
      <c r="I16" s="39"/>
      <c r="J16" s="39"/>
      <c r="K16" s="39"/>
      <c r="L16" s="40"/>
      <c r="M16" s="29"/>
      <c r="N16" s="38"/>
      <c r="O16" s="39"/>
      <c r="P16" s="39"/>
      <c r="Q16" s="39"/>
      <c r="R16" s="39"/>
      <c r="S16" s="39"/>
      <c r="T16" s="39"/>
      <c r="U16" s="39"/>
      <c r="V16" s="39"/>
      <c r="W16" s="40"/>
      <c r="X16" s="29"/>
      <c r="Y16" s="38"/>
      <c r="Z16" s="39"/>
      <c r="AA16" s="39"/>
      <c r="AB16" s="39"/>
      <c r="AC16" s="39"/>
      <c r="AD16" s="39"/>
      <c r="AE16" s="39"/>
      <c r="AF16" s="39"/>
      <c r="AG16" s="39"/>
      <c r="AH16" s="40"/>
      <c r="AI16" s="29"/>
      <c r="AJ16" s="38"/>
      <c r="AK16" s="39"/>
      <c r="AL16" s="39"/>
      <c r="AM16" s="39"/>
      <c r="AN16" s="39"/>
      <c r="AO16" s="39"/>
      <c r="AP16" s="39"/>
      <c r="AQ16" s="39"/>
      <c r="AR16" s="39"/>
      <c r="AS16" s="40"/>
      <c r="AU16" s="38"/>
      <c r="AV16" s="39"/>
      <c r="AW16" s="39"/>
      <c r="AX16" s="39"/>
      <c r="AY16" s="39"/>
      <c r="AZ16" s="39"/>
      <c r="BA16" s="39"/>
      <c r="BB16" s="39"/>
      <c r="BC16" s="39"/>
      <c r="BD16" s="40"/>
    </row>
    <row r="17" spans="2:90" ht="15" customHeight="1" x14ac:dyDescent="0.3"/>
    <row r="18" spans="2:90" ht="15" customHeight="1" x14ac:dyDescent="0.25">
      <c r="B18" s="11" t="s">
        <v>37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3"/>
      <c r="Q18" s="3"/>
      <c r="R18" s="3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T18" s="140"/>
      <c r="BU18" s="140"/>
      <c r="BV18" s="140"/>
      <c r="BW18" s="140"/>
      <c r="BX18" s="140"/>
      <c r="BY18" s="140"/>
      <c r="BZ18" s="140"/>
      <c r="CA18" s="140"/>
      <c r="CB18" s="140"/>
      <c r="CC18" s="140"/>
      <c r="CD18" s="140"/>
      <c r="CE18" s="140"/>
      <c r="CF18" s="140"/>
      <c r="CG18" s="140"/>
      <c r="CH18" s="140"/>
      <c r="CI18" s="140"/>
      <c r="CJ18" s="140"/>
      <c r="CK18" s="140"/>
      <c r="CL18" s="140"/>
    </row>
    <row r="19" spans="2:90" ht="8.1" customHeight="1" x14ac:dyDescent="0.25">
      <c r="B19" s="4"/>
      <c r="P19" s="5"/>
      <c r="Q19" s="5"/>
      <c r="R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2:90" ht="8.1" customHeight="1" x14ac:dyDescent="0.3">
      <c r="C20" s="41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3"/>
      <c r="Q20" s="41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3"/>
      <c r="AE20" s="41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3"/>
      <c r="AS20" s="41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3"/>
    </row>
    <row r="21" spans="2:90" ht="16.5" customHeight="1" x14ac:dyDescent="0.3">
      <c r="C21" s="75" t="s">
        <v>71</v>
      </c>
      <c r="D21" s="76"/>
      <c r="E21" s="76"/>
      <c r="F21" s="76"/>
      <c r="G21" s="76"/>
      <c r="H21" s="76"/>
      <c r="I21" s="76"/>
      <c r="J21" s="77"/>
      <c r="K21" s="76"/>
      <c r="L21" s="76"/>
      <c r="M21" s="76"/>
      <c r="N21" s="78"/>
      <c r="Q21" s="75" t="s">
        <v>70</v>
      </c>
      <c r="R21" s="76"/>
      <c r="S21" s="76"/>
      <c r="T21" s="76"/>
      <c r="U21" s="76"/>
      <c r="V21" s="76"/>
      <c r="W21" s="76"/>
      <c r="X21" s="77"/>
      <c r="Y21" s="76"/>
      <c r="Z21" s="76"/>
      <c r="AA21" s="76"/>
      <c r="AB21" s="78"/>
      <c r="AE21" s="75" t="s">
        <v>69</v>
      </c>
      <c r="AF21" s="76"/>
      <c r="AG21" s="76"/>
      <c r="AH21" s="76"/>
      <c r="AI21" s="76"/>
      <c r="AJ21" s="76"/>
      <c r="AK21" s="76"/>
      <c r="AL21" s="77"/>
      <c r="AM21" s="76"/>
      <c r="AN21" s="76"/>
      <c r="AO21" s="76"/>
      <c r="AP21" s="78"/>
      <c r="AS21" s="75" t="s">
        <v>38</v>
      </c>
      <c r="AT21" s="76"/>
      <c r="AU21" s="76"/>
      <c r="AV21" s="76"/>
      <c r="AW21" s="76"/>
      <c r="AX21" s="76"/>
      <c r="AY21" s="76"/>
      <c r="AZ21" s="77"/>
      <c r="BA21" s="76"/>
      <c r="BB21" s="76"/>
      <c r="BC21" s="76"/>
      <c r="BD21" s="78"/>
    </row>
    <row r="22" spans="2:90" ht="16.5" customHeight="1" x14ac:dyDescent="0.3">
      <c r="C22" s="75"/>
      <c r="D22" s="76"/>
      <c r="E22" s="76"/>
      <c r="F22" s="76"/>
      <c r="G22" s="76"/>
      <c r="H22" s="76"/>
      <c r="I22" s="76"/>
      <c r="J22" s="77"/>
      <c r="K22" s="76"/>
      <c r="L22" s="76"/>
      <c r="M22" s="76"/>
      <c r="N22" s="78"/>
      <c r="Q22" s="75"/>
      <c r="R22" s="76"/>
      <c r="S22" s="76"/>
      <c r="T22" s="76"/>
      <c r="U22" s="76"/>
      <c r="V22" s="76"/>
      <c r="W22" s="76"/>
      <c r="X22" s="77"/>
      <c r="Y22" s="76"/>
      <c r="Z22" s="76"/>
      <c r="AA22" s="76"/>
      <c r="AB22" s="78"/>
      <c r="AE22" s="75"/>
      <c r="AF22" s="76"/>
      <c r="AG22" s="76"/>
      <c r="AH22" s="76"/>
      <c r="AI22" s="76"/>
      <c r="AJ22" s="76"/>
      <c r="AK22" s="76"/>
      <c r="AL22" s="77"/>
      <c r="AM22" s="76"/>
      <c r="AN22" s="76"/>
      <c r="AO22" s="76"/>
      <c r="AP22" s="78"/>
      <c r="AS22" s="75"/>
      <c r="AT22" s="76"/>
      <c r="AU22" s="76"/>
      <c r="AV22" s="76"/>
      <c r="AW22" s="76"/>
      <c r="AX22" s="76"/>
      <c r="AY22" s="76"/>
      <c r="AZ22" s="77"/>
      <c r="BA22" s="76"/>
      <c r="BB22" s="76"/>
      <c r="BC22" s="76"/>
      <c r="BD22" s="78"/>
      <c r="BH22" s="99"/>
      <c r="BI22" s="99"/>
      <c r="BJ22" s="99"/>
      <c r="BK22" s="99"/>
      <c r="BL22" s="99"/>
      <c r="BM22" s="99"/>
      <c r="BN22" s="99"/>
      <c r="BO22" s="99"/>
      <c r="BP22" s="99"/>
      <c r="BQ22" s="99"/>
      <c r="BR22" s="99"/>
      <c r="BS22" s="99"/>
    </row>
    <row r="23" spans="2:90" ht="16.5" customHeight="1" x14ac:dyDescent="0.3">
      <c r="C23" s="79"/>
      <c r="D23" s="206" t="s">
        <v>166</v>
      </c>
      <c r="E23" s="207"/>
      <c r="F23" s="207"/>
      <c r="G23" s="207"/>
      <c r="H23" s="207"/>
      <c r="I23" s="207"/>
      <c r="J23" s="207"/>
      <c r="K23" s="207"/>
      <c r="L23" s="207"/>
      <c r="M23" s="207"/>
      <c r="N23" s="80"/>
      <c r="Q23" s="79"/>
      <c r="R23" s="206" t="s">
        <v>167</v>
      </c>
      <c r="S23" s="207"/>
      <c r="T23" s="207"/>
      <c r="U23" s="207"/>
      <c r="V23" s="207"/>
      <c r="W23" s="207"/>
      <c r="X23" s="207"/>
      <c r="Y23" s="207"/>
      <c r="Z23" s="207"/>
      <c r="AA23" s="207"/>
      <c r="AB23" s="80" t="s">
        <v>66</v>
      </c>
      <c r="AE23" s="79"/>
      <c r="AF23" s="206" t="s">
        <v>168</v>
      </c>
      <c r="AG23" s="207"/>
      <c r="AH23" s="207"/>
      <c r="AI23" s="207"/>
      <c r="AJ23" s="207"/>
      <c r="AK23" s="207"/>
      <c r="AL23" s="207"/>
      <c r="AM23" s="207"/>
      <c r="AN23" s="207"/>
      <c r="AO23" s="207"/>
      <c r="AP23" s="80" t="s">
        <v>67</v>
      </c>
      <c r="AS23" s="79"/>
      <c r="AT23" s="206" t="s">
        <v>169</v>
      </c>
      <c r="AU23" s="207"/>
      <c r="AV23" s="207"/>
      <c r="AW23" s="207"/>
      <c r="AX23" s="207"/>
      <c r="AY23" s="207"/>
      <c r="AZ23" s="207"/>
      <c r="BA23" s="207"/>
      <c r="BB23" s="207"/>
      <c r="BC23" s="207"/>
      <c r="BD23" s="80" t="s">
        <v>68</v>
      </c>
      <c r="BH23" s="99"/>
      <c r="BI23" s="99"/>
      <c r="BJ23" s="99"/>
      <c r="BK23" s="99"/>
      <c r="BL23" s="99"/>
      <c r="BM23" s="99"/>
      <c r="BN23" s="99"/>
      <c r="BO23" s="99"/>
      <c r="BP23" s="99"/>
      <c r="BQ23" s="99"/>
      <c r="BR23" s="99"/>
      <c r="BS23" s="99"/>
    </row>
    <row r="24" spans="2:90" ht="8.1" customHeight="1" x14ac:dyDescent="0.3">
      <c r="C24" s="44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6"/>
      <c r="Q24" s="44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6"/>
      <c r="AE24" s="44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6"/>
      <c r="AS24" s="44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6"/>
    </row>
    <row r="25" spans="2:90" ht="15" customHeight="1" x14ac:dyDescent="0.3"/>
    <row r="26" spans="2:90" ht="15" customHeight="1" x14ac:dyDescent="0.25">
      <c r="B26" s="11" t="s">
        <v>39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3"/>
      <c r="Q26" s="3"/>
      <c r="R26" s="3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</row>
    <row r="27" spans="2:90" ht="8.1" customHeight="1" x14ac:dyDescent="0.25">
      <c r="B27" s="4"/>
      <c r="P27" s="5"/>
      <c r="Q27" s="5"/>
      <c r="R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2:90" s="12" customFormat="1" ht="15" customHeight="1" x14ac:dyDescent="0.3">
      <c r="B28" s="110"/>
      <c r="C28" s="110" t="s">
        <v>84</v>
      </c>
      <c r="D28" s="110"/>
      <c r="E28" s="110"/>
      <c r="F28" s="110"/>
      <c r="G28" s="110"/>
      <c r="H28" s="110"/>
      <c r="I28" s="110"/>
      <c r="J28" s="110"/>
      <c r="K28" s="110"/>
      <c r="L28" s="110"/>
      <c r="M28" s="114" t="s">
        <v>72</v>
      </c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5"/>
      <c r="AC28" s="114" t="s">
        <v>81</v>
      </c>
      <c r="AD28" s="110"/>
      <c r="AE28" s="110"/>
      <c r="AF28" s="110"/>
      <c r="AG28" s="114" t="s">
        <v>82</v>
      </c>
      <c r="AH28" s="110"/>
      <c r="AI28" s="110"/>
      <c r="AJ28" s="110"/>
      <c r="AK28" s="110"/>
      <c r="AL28" s="110"/>
      <c r="AM28" s="110"/>
      <c r="AN28" s="110"/>
      <c r="AO28" s="110"/>
      <c r="AP28" s="110"/>
      <c r="AQ28" s="110"/>
      <c r="AR28" s="110"/>
      <c r="AS28" s="110"/>
      <c r="AT28" s="110"/>
      <c r="AU28" s="110"/>
      <c r="AV28" s="115"/>
      <c r="AW28" s="114" t="s">
        <v>83</v>
      </c>
      <c r="AX28" s="110"/>
      <c r="AY28" s="110"/>
      <c r="AZ28" s="110"/>
      <c r="BA28" s="110"/>
      <c r="BB28" s="110"/>
      <c r="BC28" s="110"/>
      <c r="BD28" s="110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</row>
    <row r="29" spans="2:90" s="12" customFormat="1" ht="15" customHeight="1" x14ac:dyDescent="0.3">
      <c r="B29" s="116"/>
      <c r="C29" s="116"/>
      <c r="D29" s="116"/>
      <c r="E29" s="116"/>
      <c r="F29" s="117" t="s">
        <v>85</v>
      </c>
      <c r="G29" s="118"/>
      <c r="H29" s="118"/>
      <c r="I29" s="118"/>
      <c r="J29" s="118"/>
      <c r="K29" s="118"/>
      <c r="L29" s="118"/>
      <c r="M29" s="51" t="s">
        <v>73</v>
      </c>
      <c r="N29" s="50"/>
      <c r="O29" s="50"/>
      <c r="P29" s="52"/>
      <c r="Q29" s="119" t="s">
        <v>74</v>
      </c>
      <c r="R29" s="118"/>
      <c r="S29" s="118"/>
      <c r="T29" s="120"/>
      <c r="U29" s="119" t="s">
        <v>75</v>
      </c>
      <c r="V29" s="118"/>
      <c r="W29" s="118"/>
      <c r="X29" s="120"/>
      <c r="Y29" s="119" t="s">
        <v>76</v>
      </c>
      <c r="Z29" s="118"/>
      <c r="AA29" s="118"/>
      <c r="AB29" s="121"/>
      <c r="AC29" s="51" t="s">
        <v>73</v>
      </c>
      <c r="AD29" s="50"/>
      <c r="AE29" s="50"/>
      <c r="AF29" s="50"/>
      <c r="AG29" s="51" t="s">
        <v>73</v>
      </c>
      <c r="AH29" s="50"/>
      <c r="AI29" s="50"/>
      <c r="AJ29" s="52"/>
      <c r="AK29" s="119" t="s">
        <v>77</v>
      </c>
      <c r="AL29" s="118"/>
      <c r="AM29" s="118"/>
      <c r="AN29" s="120"/>
      <c r="AO29" s="119" t="s">
        <v>78</v>
      </c>
      <c r="AP29" s="118"/>
      <c r="AQ29" s="118"/>
      <c r="AR29" s="120"/>
      <c r="AS29" s="119" t="s">
        <v>79</v>
      </c>
      <c r="AT29" s="118"/>
      <c r="AU29" s="118"/>
      <c r="AV29" s="121"/>
      <c r="AW29" s="148" t="s">
        <v>164</v>
      </c>
      <c r="AX29" s="118"/>
      <c r="AY29" s="118"/>
      <c r="AZ29" s="120"/>
      <c r="BA29" s="119"/>
      <c r="BB29" s="118"/>
      <c r="BC29" s="118"/>
      <c r="BD29" s="118"/>
      <c r="BE29" s="6"/>
      <c r="BF29" s="6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</row>
    <row r="30" spans="2:90" s="6" customFormat="1" ht="15" customHeight="1" x14ac:dyDescent="0.3">
      <c r="B30" s="155" t="s">
        <v>5</v>
      </c>
      <c r="C30" s="155"/>
      <c r="D30" s="155"/>
      <c r="E30" s="156"/>
      <c r="F30" s="53" t="s">
        <v>3</v>
      </c>
      <c r="G30" s="54"/>
      <c r="H30" s="54"/>
      <c r="I30" s="55"/>
      <c r="J30" s="55"/>
      <c r="K30" s="55"/>
      <c r="L30" s="56"/>
      <c r="M30" s="166">
        <f>SUM(Q30:AB30)</f>
        <v>0</v>
      </c>
      <c r="N30" s="167"/>
      <c r="O30" s="167"/>
      <c r="P30" s="167"/>
      <c r="Q30" s="184">
        <f>COUNTIFS(NPS관리활동_RAW!$D:$D, "KB 스타뱅킹", NPS관리활동_RAW!$I:$I, $F30, NPS관리활동_RAW!$G:$G, "긍정")</f>
        <v>0</v>
      </c>
      <c r="R30" s="174"/>
      <c r="S30" s="174"/>
      <c r="T30" s="175"/>
      <c r="U30" s="184">
        <f>COUNTIFS(NPS관리활동_RAW!$D:$D, "KB 스타뱅킹", NPS관리활동_RAW!$I:$I, $F30, NPS관리활동_RAW!$G:$G, "부정")</f>
        <v>0</v>
      </c>
      <c r="V30" s="174"/>
      <c r="W30" s="174"/>
      <c r="X30" s="175"/>
      <c r="Y30" s="184">
        <f>COUNTIFS(NPS관리활동_RAW!$D:$D, "KB 스타뱅킹", NPS관리활동_RAW!$I:$I, $F30, NPS관리활동_RAW!$G:$G, "중립")</f>
        <v>0</v>
      </c>
      <c r="Z30" s="174"/>
      <c r="AA30" s="174"/>
      <c r="AB30" s="185"/>
      <c r="AC30" s="173">
        <f>COUNTIFS(NPS관리활동_RAW!$D:$D, "KB 스타뱅킹", NPS관리활동_RAW!$I:$I, "디지털영업그룹", NPS관리활동_RAW!$K:$K, "배분")</f>
        <v>0</v>
      </c>
      <c r="AD30" s="174"/>
      <c r="AE30" s="174"/>
      <c r="AF30" s="185"/>
      <c r="AG30" s="166">
        <f>SUM(AK30:AV30)</f>
        <v>0</v>
      </c>
      <c r="AH30" s="167"/>
      <c r="AI30" s="167"/>
      <c r="AJ30" s="167"/>
      <c r="AK30" s="167">
        <f>COUNTIFS(NPS관리활동_RAW!$D:$D, "KB 스타뱅킹", NPS관리활동_RAW!$I:$I, F30, NPS관리활동_RAW!$L:$L, "현행유지")</f>
        <v>0</v>
      </c>
      <c r="AL30" s="167"/>
      <c r="AM30" s="167"/>
      <c r="AN30" s="167"/>
      <c r="AO30" s="167">
        <f>COUNTIFS(NPS관리활동_RAW!$D:$D, "KB 스타뱅킹", NPS관리활동_RAW!$I:$I, F30, NPS관리활동_RAW!$L:$L, "개선불가")</f>
        <v>0</v>
      </c>
      <c r="AP30" s="167"/>
      <c r="AQ30" s="167"/>
      <c r="AR30" s="167"/>
      <c r="AS30" s="167">
        <f>COUNTIFS(NPS관리활동_RAW!$D:$D, "KB 스타뱅킹", NPS관리활동_RAW!$I:$I, F30, NPS관리활동_RAW!$L:$L, "개선예정")</f>
        <v>0</v>
      </c>
      <c r="AT30" s="167"/>
      <c r="AU30" s="167"/>
      <c r="AV30" s="222"/>
      <c r="AW30" s="209">
        <f t="shared" ref="AW30:AW31" si="0">IFERROR(AG30/AC30,0)</f>
        <v>0</v>
      </c>
      <c r="AX30" s="210"/>
      <c r="AY30" s="210"/>
      <c r="AZ30" s="210"/>
      <c r="BA30" s="210"/>
      <c r="BB30" s="210"/>
      <c r="BC30" s="210"/>
      <c r="BD30" s="210"/>
      <c r="BH30" s="81"/>
      <c r="BI30" s="81"/>
      <c r="BJ30" s="81"/>
      <c r="BK30" s="81"/>
      <c r="BL30" s="81"/>
      <c r="BM30" s="81"/>
      <c r="BN30" s="81"/>
      <c r="BO30" s="81"/>
      <c r="BP30" s="81"/>
      <c r="BQ30" s="81"/>
      <c r="BR30" s="81"/>
      <c r="BS30" s="81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</row>
    <row r="31" spans="2:90" s="6" customFormat="1" ht="15" customHeight="1" x14ac:dyDescent="0.3">
      <c r="B31" s="157"/>
      <c r="C31" s="157"/>
      <c r="D31" s="157"/>
      <c r="E31" s="158"/>
      <c r="F31" s="57" t="s">
        <v>4</v>
      </c>
      <c r="G31" s="58"/>
      <c r="H31" s="58"/>
      <c r="I31" s="59"/>
      <c r="J31" s="59"/>
      <c r="K31" s="59"/>
      <c r="L31" s="60"/>
      <c r="M31" s="168">
        <f t="shared" ref="M31:M34" si="1">SUM(Q31:AB31)</f>
        <v>0</v>
      </c>
      <c r="N31" s="161"/>
      <c r="O31" s="161"/>
      <c r="P31" s="161"/>
      <c r="Q31" s="186">
        <f>COUNTIFS(NPS관리활동_RAW!$D:$D, "KB 스타뱅킹", NPS관리활동_RAW!$I:$I, $F31, NPS관리활동_RAW!$G:$G, "긍정")</f>
        <v>0</v>
      </c>
      <c r="R31" s="177"/>
      <c r="S31" s="177"/>
      <c r="T31" s="178"/>
      <c r="U31" s="186">
        <f>COUNTIFS(NPS관리활동_RAW!$D:$D, "KB 스타뱅킹", NPS관리활동_RAW!$I:$I, $F31, NPS관리활동_RAW!$G:$G, "부정")</f>
        <v>0</v>
      </c>
      <c r="V31" s="177"/>
      <c r="W31" s="177"/>
      <c r="X31" s="178"/>
      <c r="Y31" s="186">
        <f>COUNTIFS(NPS관리활동_RAW!$D:$D, "KB 스타뱅킹", NPS관리활동_RAW!$I:$I, $F31, NPS관리활동_RAW!$G:$G, "중립")</f>
        <v>0</v>
      </c>
      <c r="Z31" s="177"/>
      <c r="AA31" s="177"/>
      <c r="AB31" s="187"/>
      <c r="AC31" s="176">
        <f>COUNTIFS(NPS관리활동_RAW!$D:$D, "KB 스타뱅킹", NPS관리활동_RAW!$I:$I, F42, NPS관리활동_RAW!$K:$K, "배분")</f>
        <v>0</v>
      </c>
      <c r="AD31" s="177"/>
      <c r="AE31" s="177"/>
      <c r="AF31" s="187"/>
      <c r="AG31" s="168">
        <f t="shared" ref="AG31:AG34" si="2">SUM(AK31:AV31)</f>
        <v>0</v>
      </c>
      <c r="AH31" s="161"/>
      <c r="AI31" s="161"/>
      <c r="AJ31" s="161"/>
      <c r="AK31" s="186">
        <f>COUNTIFS(NPS관리활동_RAW!$D:$D, "KB 스타뱅킹", NPS관리활동_RAW!$I:$I, F31, NPS관리활동_RAW!$L:$L, "현행유지")</f>
        <v>0</v>
      </c>
      <c r="AL31" s="177"/>
      <c r="AM31" s="177"/>
      <c r="AN31" s="178"/>
      <c r="AO31" s="186">
        <f>COUNTIFS(NPS관리활동_RAW!$D:$D, "KB 스타뱅킹", NPS관리활동_RAW!$I:$I, F31, NPS관리활동_RAW!$L:$L, "개선불가")</f>
        <v>0</v>
      </c>
      <c r="AP31" s="177"/>
      <c r="AQ31" s="177"/>
      <c r="AR31" s="178"/>
      <c r="AS31" s="186">
        <f>COUNTIFS(NPS관리활동_RAW!$D:$D, "KB 스타뱅킹", NPS관리활동_RAW!$I:$I, F31, NPS관리활동_RAW!$L:$L, "개선예정")</f>
        <v>0</v>
      </c>
      <c r="AT31" s="177"/>
      <c r="AU31" s="177"/>
      <c r="AV31" s="187"/>
      <c r="AW31" s="209">
        <f t="shared" si="0"/>
        <v>0</v>
      </c>
      <c r="AX31" s="210"/>
      <c r="AY31" s="210"/>
      <c r="AZ31" s="210"/>
      <c r="BA31" s="210"/>
      <c r="BB31" s="210"/>
      <c r="BC31" s="210"/>
      <c r="BD31" s="210"/>
      <c r="BH31" s="81"/>
      <c r="BI31" s="81"/>
      <c r="BJ31" s="81"/>
      <c r="BK31" s="81"/>
      <c r="BL31" s="81"/>
      <c r="BM31" s="81"/>
      <c r="BN31" s="81"/>
      <c r="BO31" s="81"/>
      <c r="BP31" s="81"/>
      <c r="BQ31" s="81"/>
      <c r="BR31" s="81"/>
      <c r="BS31" s="81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</row>
    <row r="32" spans="2:90" s="6" customFormat="1" ht="15" customHeight="1" x14ac:dyDescent="0.3">
      <c r="B32" s="157"/>
      <c r="C32" s="157"/>
      <c r="D32" s="157"/>
      <c r="E32" s="158"/>
      <c r="F32" s="57" t="s">
        <v>6</v>
      </c>
      <c r="G32" s="58"/>
      <c r="H32" s="58"/>
      <c r="I32" s="59"/>
      <c r="J32" s="59"/>
      <c r="K32" s="59"/>
      <c r="L32" s="60"/>
      <c r="M32" s="168">
        <f t="shared" si="1"/>
        <v>0</v>
      </c>
      <c r="N32" s="161"/>
      <c r="O32" s="161"/>
      <c r="P32" s="161"/>
      <c r="Q32" s="186">
        <f>COUNTIFS(NPS관리활동_RAW!$D:$D, "KB 스타뱅킹", NPS관리활동_RAW!$I:$I, $F32, NPS관리활동_RAW!$G:$G, "긍정")</f>
        <v>0</v>
      </c>
      <c r="R32" s="177"/>
      <c r="S32" s="177"/>
      <c r="T32" s="178"/>
      <c r="U32" s="186">
        <f>COUNTIFS(NPS관리활동_RAW!$D:$D, "KB 스타뱅킹", NPS관리활동_RAW!$I:$I, $F32, NPS관리활동_RAW!$G:$G, "부정")</f>
        <v>0</v>
      </c>
      <c r="V32" s="177"/>
      <c r="W32" s="177"/>
      <c r="X32" s="178"/>
      <c r="Y32" s="186">
        <f>COUNTIFS(NPS관리활동_RAW!$D:$D, "KB 스타뱅킹", NPS관리활동_RAW!$I:$I, $F32, NPS관리활동_RAW!$G:$G, "중립")</f>
        <v>0</v>
      </c>
      <c r="Z32" s="177"/>
      <c r="AA32" s="177"/>
      <c r="AB32" s="187"/>
      <c r="AC32" s="176">
        <f>COUNTIFS(NPS관리활동_RAW!$D:$D, "KB 스타뱅킹", NPS관리활동_RAW!$I:$I, F43, NPS관리활동_RAW!$K:$K, "배분")</f>
        <v>0</v>
      </c>
      <c r="AD32" s="177"/>
      <c r="AE32" s="177"/>
      <c r="AF32" s="187"/>
      <c r="AG32" s="168">
        <f t="shared" si="2"/>
        <v>0</v>
      </c>
      <c r="AH32" s="161"/>
      <c r="AI32" s="161"/>
      <c r="AJ32" s="161"/>
      <c r="AK32" s="186">
        <f>COUNTIFS(NPS관리활동_RAW!$D:$D, "KB 스타뱅킹", NPS관리활동_RAW!$I:$I, F32, NPS관리활동_RAW!$L:$L, "현행유지")</f>
        <v>0</v>
      </c>
      <c r="AL32" s="177"/>
      <c r="AM32" s="177"/>
      <c r="AN32" s="178"/>
      <c r="AO32" s="186">
        <f>COUNTIFS(NPS관리활동_RAW!$D:$D, "KB 스타뱅킹", NPS관리활동_RAW!$I:$I, F32, NPS관리활동_RAW!$L:$L, "개선불가")</f>
        <v>0</v>
      </c>
      <c r="AP32" s="177"/>
      <c r="AQ32" s="177"/>
      <c r="AR32" s="178"/>
      <c r="AS32" s="186">
        <f>COUNTIFS(NPS관리활동_RAW!$D:$D, "KB 스타뱅킹", NPS관리활동_RAW!$I:$I, F32, NPS관리활동_RAW!$L:$L, "개선예정")</f>
        <v>0</v>
      </c>
      <c r="AT32" s="177"/>
      <c r="AU32" s="177"/>
      <c r="AV32" s="187"/>
      <c r="AW32" s="209">
        <f t="shared" ref="AW32:AW34" si="3">IFERROR(AG32/AC32,0)</f>
        <v>0</v>
      </c>
      <c r="AX32" s="210"/>
      <c r="AY32" s="210"/>
      <c r="AZ32" s="210"/>
      <c r="BA32" s="210"/>
      <c r="BB32" s="210"/>
      <c r="BC32" s="210"/>
      <c r="BD32" s="210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</row>
    <row r="33" spans="2:90" s="6" customFormat="1" ht="15" customHeight="1" x14ac:dyDescent="0.3">
      <c r="B33" s="157"/>
      <c r="C33" s="157"/>
      <c r="D33" s="157"/>
      <c r="E33" s="158"/>
      <c r="F33" s="57" t="s">
        <v>7</v>
      </c>
      <c r="G33" s="58"/>
      <c r="H33" s="58"/>
      <c r="I33" s="59"/>
      <c r="J33" s="59"/>
      <c r="K33" s="59"/>
      <c r="L33" s="60"/>
      <c r="M33" s="168">
        <f t="shared" si="1"/>
        <v>0</v>
      </c>
      <c r="N33" s="161"/>
      <c r="O33" s="161"/>
      <c r="P33" s="161"/>
      <c r="Q33" s="186">
        <f>COUNTIFS(NPS관리활동_RAW!$D:$D, "KB 스타뱅킹", NPS관리활동_RAW!$I:$I, $F33, NPS관리활동_RAW!$G:$G, "긍정")</f>
        <v>0</v>
      </c>
      <c r="R33" s="177"/>
      <c r="S33" s="177"/>
      <c r="T33" s="178"/>
      <c r="U33" s="186">
        <f>COUNTIFS(NPS관리활동_RAW!$D:$D, "KB 스타뱅킹", NPS관리활동_RAW!$I:$I, $F33, NPS관리활동_RAW!$G:$G, "부정")</f>
        <v>0</v>
      </c>
      <c r="V33" s="177"/>
      <c r="W33" s="177"/>
      <c r="X33" s="178"/>
      <c r="Y33" s="186">
        <f>COUNTIFS(NPS관리활동_RAW!$D:$D, "KB 스타뱅킹", NPS관리활동_RAW!$I:$I, $F33, NPS관리활동_RAW!$G:$G, "중립")</f>
        <v>0</v>
      </c>
      <c r="Z33" s="177"/>
      <c r="AA33" s="177"/>
      <c r="AB33" s="187"/>
      <c r="AC33" s="176">
        <f>COUNTIFS(NPS관리활동_RAW!$D:$D, "KB 스타뱅킹", NPS관리활동_RAW!$I:$I, F44, NPS관리활동_RAW!$K:$K, "배분")</f>
        <v>0</v>
      </c>
      <c r="AD33" s="177"/>
      <c r="AE33" s="177"/>
      <c r="AF33" s="187"/>
      <c r="AG33" s="168">
        <f t="shared" si="2"/>
        <v>0</v>
      </c>
      <c r="AH33" s="161"/>
      <c r="AI33" s="161"/>
      <c r="AJ33" s="161"/>
      <c r="AK33" s="186">
        <f>COUNTIFS(NPS관리활동_RAW!$D:$D, "KB 스타뱅킹", NPS관리활동_RAW!$I:$I, F33, NPS관리활동_RAW!$L:$L, "현행유지")</f>
        <v>0</v>
      </c>
      <c r="AL33" s="177"/>
      <c r="AM33" s="177"/>
      <c r="AN33" s="178"/>
      <c r="AO33" s="186">
        <f>COUNTIFS(NPS관리활동_RAW!$D:$D, "KB 스타뱅킹", NPS관리활동_RAW!$I:$I, F33, NPS관리활동_RAW!$L:$L, "개선불가")</f>
        <v>0</v>
      </c>
      <c r="AP33" s="177"/>
      <c r="AQ33" s="177"/>
      <c r="AR33" s="178"/>
      <c r="AS33" s="186">
        <f>COUNTIFS(NPS관리활동_RAW!$D:$D, "KB 스타뱅킹", NPS관리활동_RAW!$I:$I, F33, NPS관리활동_RAW!$L:$L, "개선예정")</f>
        <v>0</v>
      </c>
      <c r="AT33" s="177"/>
      <c r="AU33" s="177"/>
      <c r="AV33" s="187"/>
      <c r="AW33" s="209">
        <f t="shared" si="3"/>
        <v>0</v>
      </c>
      <c r="AX33" s="210"/>
      <c r="AY33" s="210"/>
      <c r="AZ33" s="210"/>
      <c r="BA33" s="210"/>
      <c r="BB33" s="210"/>
      <c r="BC33" s="210"/>
      <c r="BD33" s="210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</row>
    <row r="34" spans="2:90" s="6" customFormat="1" ht="15" customHeight="1" x14ac:dyDescent="0.3">
      <c r="B34" s="157"/>
      <c r="C34" s="157"/>
      <c r="D34" s="157"/>
      <c r="E34" s="158"/>
      <c r="F34" s="61" t="s">
        <v>8</v>
      </c>
      <c r="G34" s="62"/>
      <c r="H34" s="62"/>
      <c r="I34" s="63"/>
      <c r="J34" s="63"/>
      <c r="K34" s="63"/>
      <c r="L34" s="64"/>
      <c r="M34" s="168">
        <f t="shared" si="1"/>
        <v>0</v>
      </c>
      <c r="N34" s="161"/>
      <c r="O34" s="161"/>
      <c r="P34" s="161"/>
      <c r="Q34" s="188" cm="1">
        <f t="array" ref="Q34">SUM(COUNTIFS(NPS관리활동_RAW!$D:$D, "KB 스타뱅킹", NPS관리활동_RAW!$G:$G, "긍정")) - SUM(COUNTIFS(NPS관리활동_RAW!$D:$D, "KB 스타뱅킹", NPS관리활동_RAW!$I:$I, F30:F33, NPS관리활동_RAW!$G:$G, "긍정"))</f>
        <v>0</v>
      </c>
      <c r="R34" s="182"/>
      <c r="S34" s="182"/>
      <c r="T34" s="183"/>
      <c r="U34" s="188" cm="1">
        <f t="array" ref="U34">SUM(COUNTIFS(NPS관리활동_RAW!$D:$D, "KB 스타뱅킹", NPS관리활동_RAW!$G:$G, "부정")) - SUM(COUNTIFS(NPS관리활동_RAW!$D:$D, "KB 스타뱅킹", NPS관리활동_RAW!$I:$I, F30:F33, NPS관리활동_RAW!$G:$G, "부정"))</f>
        <v>0</v>
      </c>
      <c r="V34" s="182"/>
      <c r="W34" s="182"/>
      <c r="X34" s="183"/>
      <c r="Y34" s="188" cm="1">
        <f t="array" ref="Y34">SUM(COUNTIFS(NPS관리활동_RAW!$D:$D, "KB 스타뱅킹", NPS관리활동_RAW!$G:$G, "중립")) - SUM(COUNTIFS(NPS관리활동_RAW!$D:$D, "KB 스타뱅킹", NPS관리활동_RAW!$I:$I, F30:F33, NPS관리활동_RAW!$G:$G, "중립"))</f>
        <v>0</v>
      </c>
      <c r="Z34" s="182"/>
      <c r="AA34" s="182"/>
      <c r="AB34" s="189"/>
      <c r="AC34" s="176">
        <f>COUNTIFS(NPS관리활동_RAW!$D:$D, "KB 스타뱅킹", NPS관리활동_RAW!$I:$I, "&lt;&gt;디지털영업그룹", NPS관리활동_RAW!$I:$I, "&lt;&gt;개인고객그룹", NPS관리활동_RAW!$I:$I, "&lt;&gt;WM고객그룹", NPS관리활동_RAW!$I:$I, "&lt;&gt;기업고객그룹", NPS관리활동_RAW!$K:$K, "배분")</f>
        <v>0</v>
      </c>
      <c r="AD34" s="177"/>
      <c r="AE34" s="177"/>
      <c r="AF34" s="187"/>
      <c r="AG34" s="168">
        <f t="shared" si="2"/>
        <v>0</v>
      </c>
      <c r="AH34" s="161"/>
      <c r="AI34" s="161"/>
      <c r="AJ34" s="161"/>
      <c r="AK34" s="188" cm="1">
        <f t="array" ref="AK34">SUM(COUNTIFS(NPS관리활동_RAW!$D:$D, "KB 스타뱅킹", NPS관리활동_RAW!$L:$L, "현행유지")) - SUM(COUNTIFS(NPS관리활동_RAW!$D:$D, "KB 스타뱅킹", NPS관리활동_RAW!$I:$I, F30:F33, NPS관리활동_RAW!$L:$L, "현행유지"))</f>
        <v>0</v>
      </c>
      <c r="AL34" s="182"/>
      <c r="AM34" s="182"/>
      <c r="AN34" s="183"/>
      <c r="AO34" s="188" cm="1">
        <f t="array" ref="AO34">SUM(COUNTIFS(NPS관리활동_RAW!$D:$D, "KB 스타뱅킹", NPS관리활동_RAW!$L:$L, "개선불가")) - SUM(COUNTIFS(NPS관리활동_RAW!$D:$D, "KB 스타뱅킹", NPS관리활동_RAW!$I:$I, F30:F33, NPS관리활동_RAW!$L:$L, "개선불가"))</f>
        <v>0</v>
      </c>
      <c r="AP34" s="182"/>
      <c r="AQ34" s="182"/>
      <c r="AR34" s="183"/>
      <c r="AS34" s="188" cm="1">
        <f t="array" ref="AS34">SUM(COUNTIFS(NPS관리활동_RAW!$D:$D, "KB 스타뱅킹", NPS관리활동_RAW!$L:$L, "개선예정")) - SUM(COUNTIFS(NPS관리활동_RAW!$D:$D, "KB 스타뱅킹", NPS관리활동_RAW!$I:$I, F30:F33, NPS관리활동_RAW!$L:$L, "개선예정"))</f>
        <v>0</v>
      </c>
      <c r="AT34" s="182"/>
      <c r="AU34" s="182"/>
      <c r="AV34" s="189"/>
      <c r="AW34" s="219">
        <f t="shared" si="3"/>
        <v>0</v>
      </c>
      <c r="AX34" s="220"/>
      <c r="AY34" s="220"/>
      <c r="AZ34" s="220"/>
      <c r="BA34" s="220"/>
      <c r="BB34" s="220"/>
      <c r="BC34" s="220"/>
      <c r="BD34" s="220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</row>
    <row r="35" spans="2:90" s="6" customFormat="1" ht="15" customHeight="1" x14ac:dyDescent="0.3">
      <c r="B35" s="159"/>
      <c r="C35" s="159"/>
      <c r="D35" s="159"/>
      <c r="E35" s="160"/>
      <c r="F35" s="65" t="s">
        <v>9</v>
      </c>
      <c r="G35" s="66"/>
      <c r="H35" s="66"/>
      <c r="I35" s="67"/>
      <c r="J35" s="67"/>
      <c r="K35" s="67"/>
      <c r="L35" s="68"/>
      <c r="M35" s="169">
        <f>SUM(M30:P34)</f>
        <v>0</v>
      </c>
      <c r="N35" s="163"/>
      <c r="O35" s="163"/>
      <c r="P35" s="163"/>
      <c r="Q35" s="163">
        <f>SUM(Q30:T34)</f>
        <v>0</v>
      </c>
      <c r="R35" s="163"/>
      <c r="S35" s="163"/>
      <c r="T35" s="163"/>
      <c r="U35" s="163">
        <f t="shared" ref="U35" si="4">SUM(U30:X34)</f>
        <v>0</v>
      </c>
      <c r="V35" s="163"/>
      <c r="W35" s="163"/>
      <c r="X35" s="163"/>
      <c r="Y35" s="163">
        <f t="shared" ref="Y35" si="5">SUM(Y30:AB34)</f>
        <v>0</v>
      </c>
      <c r="Z35" s="163"/>
      <c r="AA35" s="163"/>
      <c r="AB35" s="208"/>
      <c r="AC35" s="169">
        <f t="shared" ref="AC35" si="6">SUM(AC30:AF34)</f>
        <v>0</v>
      </c>
      <c r="AD35" s="163"/>
      <c r="AE35" s="163"/>
      <c r="AF35" s="163"/>
      <c r="AG35" s="163">
        <f t="shared" ref="AG35" si="7">SUM(AG30:AJ34)</f>
        <v>0</v>
      </c>
      <c r="AH35" s="163"/>
      <c r="AI35" s="163"/>
      <c r="AJ35" s="163"/>
      <c r="AK35" s="163">
        <f t="shared" ref="AK35" si="8">SUM(AK30:AN34)</f>
        <v>0</v>
      </c>
      <c r="AL35" s="163"/>
      <c r="AM35" s="163"/>
      <c r="AN35" s="163"/>
      <c r="AO35" s="163">
        <f t="shared" ref="AO35" si="9">SUM(AO30:AR34)</f>
        <v>0</v>
      </c>
      <c r="AP35" s="163"/>
      <c r="AQ35" s="163"/>
      <c r="AR35" s="208"/>
      <c r="AS35" s="169">
        <f t="shared" ref="AS35" si="10">SUM(AS30:AV34)</f>
        <v>0</v>
      </c>
      <c r="AT35" s="163"/>
      <c r="AU35" s="163"/>
      <c r="AV35" s="163"/>
      <c r="AW35" s="216">
        <f t="shared" ref="AW35:AW42" si="11">IFERROR(AG35/AC35,0)</f>
        <v>0</v>
      </c>
      <c r="AX35" s="217"/>
      <c r="AY35" s="217"/>
      <c r="AZ35" s="217"/>
      <c r="BA35" s="217"/>
      <c r="BB35" s="217"/>
      <c r="BC35" s="217"/>
      <c r="BD35" s="2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</row>
    <row r="36" spans="2:90" s="6" customFormat="1" ht="15" customHeight="1" x14ac:dyDescent="0.3">
      <c r="B36" s="155" t="s">
        <v>10</v>
      </c>
      <c r="C36" s="155"/>
      <c r="D36" s="155"/>
      <c r="E36" s="156"/>
      <c r="F36" s="53" t="s">
        <v>183</v>
      </c>
      <c r="G36" s="54"/>
      <c r="H36" s="54"/>
      <c r="I36" s="55"/>
      <c r="J36" s="55"/>
      <c r="K36" s="55"/>
      <c r="L36" s="56"/>
      <c r="M36" s="168">
        <f>SUM(Q36:AB36)</f>
        <v>0</v>
      </c>
      <c r="N36" s="161"/>
      <c r="O36" s="161"/>
      <c r="P36" s="161"/>
      <c r="Q36" s="161">
        <f>COUNTIFS(NPS관리활동_RAW!$D:$D, $B$36, NPS관리활동_RAW!$I:$I, $F36, NPS관리활동_RAW!$G:$G, "긍정")</f>
        <v>0</v>
      </c>
      <c r="R36" s="161"/>
      <c r="S36" s="161"/>
      <c r="T36" s="161"/>
      <c r="U36" s="161">
        <f>COUNTIFS(NPS관리활동_RAW!$D:$D, $B$36, NPS관리활동_RAW!$I:$I, $F36, NPS관리활동_RAW!$G:$G, "부정")</f>
        <v>0</v>
      </c>
      <c r="V36" s="161"/>
      <c r="W36" s="161"/>
      <c r="X36" s="161"/>
      <c r="Y36" s="161">
        <f>COUNTIFS(NPS관리활동_RAW!$D:$D, $B$36, NPS관리활동_RAW!$I:$I, $F36, NPS관리활동_RAW!$G:$G, "중립")</f>
        <v>0</v>
      </c>
      <c r="Z36" s="161"/>
      <c r="AA36" s="161"/>
      <c r="AB36" s="162"/>
      <c r="AC36" s="176">
        <f>COUNTIFS(NPS관리활동_RAW!$D:$D, "영업점", NPS관리활동_RAW!$I:$I, "영업기획그룹", NPS관리활동_RAW!$K:$K, "배분")</f>
        <v>0</v>
      </c>
      <c r="AD36" s="177"/>
      <c r="AE36" s="177"/>
      <c r="AF36" s="187"/>
      <c r="AG36" s="168">
        <f>SUM(AK36:AV36)</f>
        <v>0</v>
      </c>
      <c r="AH36" s="161"/>
      <c r="AI36" s="161"/>
      <c r="AJ36" s="161"/>
      <c r="AK36" s="161">
        <f>COUNTIFS(NPS관리활동_RAW!$D:$D, B36, NPS관리활동_RAW!$I:$I, F36, NPS관리활동_RAW!$L:$L, "현행유지")</f>
        <v>0</v>
      </c>
      <c r="AL36" s="161"/>
      <c r="AM36" s="161"/>
      <c r="AN36" s="161"/>
      <c r="AO36" s="161">
        <f>COUNTIFS(NPS관리활동_RAW!$D:$D, B36, NPS관리활동_RAW!$I:$I, F36, NPS관리활동_RAW!$L:$L, "개선불가")</f>
        <v>0</v>
      </c>
      <c r="AP36" s="161"/>
      <c r="AQ36" s="161"/>
      <c r="AR36" s="161"/>
      <c r="AS36" s="161">
        <f>COUNTIFS(NPS관리활동_RAW!$D:$D, B36, NPS관리활동_RAW!$I:$I, F36, NPS관리활동_RAW!$L:$L, "개선예정")</f>
        <v>0</v>
      </c>
      <c r="AT36" s="161"/>
      <c r="AU36" s="161"/>
      <c r="AV36" s="162"/>
      <c r="AW36" s="233">
        <f t="shared" si="11"/>
        <v>0</v>
      </c>
      <c r="AX36" s="231"/>
      <c r="AY36" s="231"/>
      <c r="AZ36" s="231"/>
      <c r="BA36" s="231"/>
      <c r="BB36" s="231"/>
      <c r="BC36" s="231"/>
      <c r="BD36" s="231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</row>
    <row r="37" spans="2:90" s="6" customFormat="1" ht="15" customHeight="1" x14ac:dyDescent="0.3">
      <c r="B37" s="157"/>
      <c r="C37" s="157"/>
      <c r="D37" s="157"/>
      <c r="E37" s="158"/>
      <c r="F37" s="61" t="s">
        <v>8</v>
      </c>
      <c r="G37" s="62"/>
      <c r="H37" s="62"/>
      <c r="I37" s="63"/>
      <c r="J37" s="63"/>
      <c r="K37" s="63"/>
      <c r="L37" s="64"/>
      <c r="M37" s="168">
        <f>SUM(Q37:AB37)</f>
        <v>0</v>
      </c>
      <c r="N37" s="161"/>
      <c r="O37" s="161"/>
      <c r="P37" s="161"/>
      <c r="Q37" s="161">
        <f>SUM(COUNTIFS(NPS관리활동_RAW!$D:$D, $B$36, NPS관리활동_RAW!$G:$G, "긍정")) - SUM(COUNTIFS(NPS관리활동_RAW!$D:$D, $B$36, NPS관리활동_RAW!$I:$I, F36, NPS관리활동_RAW!$G:$G, "긍정"))</f>
        <v>0</v>
      </c>
      <c r="R37" s="161"/>
      <c r="S37" s="161"/>
      <c r="T37" s="161"/>
      <c r="U37" s="161">
        <f>SUM(COUNTIFS(NPS관리활동_RAW!$D:$D, $B$36, NPS관리활동_RAW!$G:$G, "부정")) - SUM(COUNTIFS(NPS관리활동_RAW!$D:$D, $B$36, NPS관리활동_RAW!$I:$I, F36, NPS관리활동_RAW!$G:$G, "부정"))</f>
        <v>0</v>
      </c>
      <c r="V37" s="161"/>
      <c r="W37" s="161"/>
      <c r="X37" s="161"/>
      <c r="Y37" s="161">
        <f>SUM(COUNTIFS(NPS관리활동_RAW!$D:$D, $B$36, NPS관리활동_RAW!$G:$G, "중립")) - SUM(COUNTIFS(NPS관리활동_RAW!$D:$D, $B$36, NPS관리활동_RAW!$I:$I, F36, NPS관리활동_RAW!$G:$G, "중립"))</f>
        <v>0</v>
      </c>
      <c r="Z37" s="161"/>
      <c r="AA37" s="161"/>
      <c r="AB37" s="162"/>
      <c r="AC37" s="176">
        <f>COUNTIFS(NPS관리활동_RAW!$D:$D, "영업점", NPS관리활동_RAW!$I:$I, "&lt;&gt;영업기획그룹", NPS관리활동_RAW!$K:$K, "배분")</f>
        <v>0</v>
      </c>
      <c r="AD37" s="177"/>
      <c r="AE37" s="177"/>
      <c r="AF37" s="187"/>
      <c r="AG37" s="168">
        <f>SUM(AK37:AV37)</f>
        <v>0</v>
      </c>
      <c r="AH37" s="161"/>
      <c r="AI37" s="161"/>
      <c r="AJ37" s="161"/>
      <c r="AK37" s="161">
        <f>SUM(COUNTIFS(NPS관리활동_RAW!$D:$D, B36, NPS관리활동_RAW!$L:$L, "현행유지")) - SUM(COUNTIFS(NPS관리활동_RAW!$D:$D, B36, NPS관리활동_RAW!$I:$I, F36, NPS관리활동_RAW!$L:$L, "현행유지"))</f>
        <v>0</v>
      </c>
      <c r="AL37" s="161"/>
      <c r="AM37" s="161"/>
      <c r="AN37" s="161"/>
      <c r="AO37" s="161">
        <f>SUM(COUNTIFS(NPS관리활동_RAW!$D:$D, B36, NPS관리활동_RAW!$L:$L, "개선불가")) - SUM(COUNTIFS(NPS관리활동_RAW!$D:$D, B36, NPS관리활동_RAW!$I:$I, F36, NPS관리활동_RAW!$L:$L, "개선불가"))</f>
        <v>0</v>
      </c>
      <c r="AP37" s="161"/>
      <c r="AQ37" s="161"/>
      <c r="AR37" s="161"/>
      <c r="AS37" s="161">
        <f>SUM(COUNTIFS(NPS관리활동_RAW!$D:$D, B36, NPS관리활동_RAW!$L:$L, "개선예정")) - SUM(COUNTIFS(NPS관리활동_RAW!$D:$D, B36, NPS관리활동_RAW!$I:$I, F36, NPS관리활동_RAW!$L:$L, "개선예정"))</f>
        <v>0</v>
      </c>
      <c r="AT37" s="161"/>
      <c r="AU37" s="161"/>
      <c r="AV37" s="162"/>
      <c r="AW37" s="219">
        <f t="shared" si="11"/>
        <v>0</v>
      </c>
      <c r="AX37" s="220"/>
      <c r="AY37" s="220"/>
      <c r="AZ37" s="220"/>
      <c r="BA37" s="220"/>
      <c r="BB37" s="220"/>
      <c r="BC37" s="220"/>
      <c r="BD37" s="220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</row>
    <row r="38" spans="2:90" s="6" customFormat="1" ht="15" customHeight="1" x14ac:dyDescent="0.3">
      <c r="B38" s="159"/>
      <c r="C38" s="159"/>
      <c r="D38" s="159"/>
      <c r="E38" s="160"/>
      <c r="F38" s="65" t="s">
        <v>9</v>
      </c>
      <c r="G38" s="66"/>
      <c r="H38" s="66"/>
      <c r="I38" s="67"/>
      <c r="J38" s="67"/>
      <c r="K38" s="67"/>
      <c r="L38" s="68"/>
      <c r="M38" s="169">
        <f>SUM(M36:P37)</f>
        <v>0</v>
      </c>
      <c r="N38" s="163"/>
      <c r="O38" s="163"/>
      <c r="P38" s="163"/>
      <c r="Q38" s="163">
        <f t="shared" ref="Q38" si="12">SUM(Q36:T37)</f>
        <v>0</v>
      </c>
      <c r="R38" s="163"/>
      <c r="S38" s="163"/>
      <c r="T38" s="163"/>
      <c r="U38" s="163">
        <f t="shared" ref="U38" si="13">SUM(U36:X37)</f>
        <v>0</v>
      </c>
      <c r="V38" s="163"/>
      <c r="W38" s="163"/>
      <c r="X38" s="163"/>
      <c r="Y38" s="163">
        <f t="shared" ref="Y38" si="14">SUM(Y36:AB37)</f>
        <v>0</v>
      </c>
      <c r="Z38" s="163"/>
      <c r="AA38" s="163"/>
      <c r="AB38" s="208"/>
      <c r="AC38" s="169">
        <f>SUM(AC36,AC37)</f>
        <v>0</v>
      </c>
      <c r="AD38" s="163"/>
      <c r="AE38" s="163"/>
      <c r="AF38" s="163"/>
      <c r="AG38" s="163">
        <f t="shared" ref="AG38" si="15">SUM(AG36,AG37)</f>
        <v>0</v>
      </c>
      <c r="AH38" s="163"/>
      <c r="AI38" s="163"/>
      <c r="AJ38" s="163"/>
      <c r="AK38" s="163">
        <f t="shared" ref="AK38" si="16">SUM(AK36,AK37)</f>
        <v>0</v>
      </c>
      <c r="AL38" s="163"/>
      <c r="AM38" s="163"/>
      <c r="AN38" s="163"/>
      <c r="AO38" s="163">
        <f t="shared" ref="AO38" si="17">SUM(AO36,AO37)</f>
        <v>0</v>
      </c>
      <c r="AP38" s="163"/>
      <c r="AQ38" s="163"/>
      <c r="AR38" s="208"/>
      <c r="AS38" s="169">
        <f t="shared" ref="AS38" si="18">SUM(AS36,AS37)</f>
        <v>0</v>
      </c>
      <c r="AT38" s="163"/>
      <c r="AU38" s="163"/>
      <c r="AV38" s="163"/>
      <c r="AW38" s="216">
        <f t="shared" si="11"/>
        <v>0</v>
      </c>
      <c r="AX38" s="217"/>
      <c r="AY38" s="217"/>
      <c r="AZ38" s="217"/>
      <c r="BA38" s="217"/>
      <c r="BB38" s="217"/>
      <c r="BC38" s="217"/>
      <c r="BD38" s="218"/>
      <c r="BH38" s="99"/>
      <c r="BI38" s="99"/>
      <c r="BJ38" s="99"/>
      <c r="BK38" s="99"/>
      <c r="BL38" s="99"/>
      <c r="BM38" s="99"/>
      <c r="BN38" s="99"/>
      <c r="BO38" s="99"/>
      <c r="BP38" s="99"/>
      <c r="BQ38" s="99"/>
      <c r="BR38" s="99"/>
      <c r="BS38" s="99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</row>
    <row r="39" spans="2:90" s="6" customFormat="1" ht="15" customHeight="1" x14ac:dyDescent="0.3">
      <c r="B39" s="155" t="s">
        <v>86</v>
      </c>
      <c r="C39" s="155"/>
      <c r="D39" s="155"/>
      <c r="E39" s="156"/>
      <c r="F39" s="57" t="s">
        <v>12</v>
      </c>
      <c r="G39" s="58"/>
      <c r="H39" s="58"/>
      <c r="I39" s="59"/>
      <c r="J39" s="59"/>
      <c r="K39" s="59"/>
      <c r="L39" s="60"/>
      <c r="M39" s="168">
        <f>SUM(Q39:AB39)</f>
        <v>0</v>
      </c>
      <c r="N39" s="161"/>
      <c r="O39" s="161"/>
      <c r="P39" s="161"/>
      <c r="Q39" s="161">
        <f>COUNTIFS(NPS관리활동_RAW!$D:$D, $B$39, NPS관리활동_RAW!$I:$I, $F39, NPS관리활동_RAW!$G:$G, "긍정")</f>
        <v>0</v>
      </c>
      <c r="R39" s="161"/>
      <c r="S39" s="161"/>
      <c r="T39" s="161"/>
      <c r="U39" s="161">
        <f>COUNTIFS(NPS관리활동_RAW!$D:$D, $B$39, NPS관리활동_RAW!$I:$I, $F39, NPS관리활동_RAW!$G:$G, "부정")</f>
        <v>0</v>
      </c>
      <c r="V39" s="161"/>
      <c r="W39" s="161"/>
      <c r="X39" s="161"/>
      <c r="Y39" s="161">
        <f>COUNTIFS(NPS관리활동_RAW!$D:$D, $B$39, NPS관리활동_RAW!$I:$I, $F39, NPS관리활동_RAW!$G:$G, "중립")</f>
        <v>0</v>
      </c>
      <c r="Z39" s="161"/>
      <c r="AA39" s="161"/>
      <c r="AB39" s="162"/>
      <c r="AC39" s="176">
        <f>COUNTIFS(NPS관리활동_RAW!$D:$D, "고객센터", NPS관리활동_RAW!$I:$I, F39, NPS관리활동_RAW!$K:$K, "배분")</f>
        <v>0</v>
      </c>
      <c r="AD39" s="177"/>
      <c r="AE39" s="177"/>
      <c r="AF39" s="187"/>
      <c r="AG39" s="168">
        <f>SUM(AK39:AV39)</f>
        <v>0</v>
      </c>
      <c r="AH39" s="161"/>
      <c r="AI39" s="161"/>
      <c r="AJ39" s="161"/>
      <c r="AK39" s="161">
        <f>COUNTIFS(NPS관리활동_RAW!$D:$D, "고객센터", NPS관리활동_RAW!$I:$I, F39, NPS관리활동_RAW!$L:$L, "현행유지")</f>
        <v>0</v>
      </c>
      <c r="AL39" s="161"/>
      <c r="AM39" s="161"/>
      <c r="AN39" s="161"/>
      <c r="AO39" s="161">
        <f>COUNTIFS(NPS관리활동_RAW!$D:$D, "고객센터", NPS관리활동_RAW!$I:$I, F39, NPS관리활동_RAW!$L:$L, "개선불가")</f>
        <v>0</v>
      </c>
      <c r="AP39" s="161"/>
      <c r="AQ39" s="161"/>
      <c r="AR39" s="161"/>
      <c r="AS39" s="161">
        <f>COUNTIFS(NPS관리활동_RAW!$D:$D, "고객센터", NPS관리활동_RAW!$I:$I, F39, NPS관리활동_RAW!$L:$L, "개선예정")</f>
        <v>0</v>
      </c>
      <c r="AT39" s="161"/>
      <c r="AU39" s="161"/>
      <c r="AV39" s="162"/>
      <c r="AW39" s="233">
        <f t="shared" si="11"/>
        <v>0</v>
      </c>
      <c r="AX39" s="231"/>
      <c r="AY39" s="231"/>
      <c r="AZ39" s="231"/>
      <c r="BA39" s="231"/>
      <c r="BB39" s="231"/>
      <c r="BC39" s="231"/>
      <c r="BD39" s="231"/>
      <c r="BH39" s="99"/>
      <c r="BI39" s="99"/>
      <c r="BJ39" s="99"/>
      <c r="BK39" s="99"/>
      <c r="BL39" s="99"/>
      <c r="BM39" s="99"/>
      <c r="BN39" s="99"/>
      <c r="BO39" s="99"/>
      <c r="BP39" s="99"/>
      <c r="BQ39" s="99"/>
      <c r="BR39" s="99"/>
      <c r="BS39" s="99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</row>
    <row r="40" spans="2:90" s="6" customFormat="1" ht="15" customHeight="1" x14ac:dyDescent="0.3">
      <c r="B40" s="157"/>
      <c r="C40" s="157"/>
      <c r="D40" s="157"/>
      <c r="E40" s="158"/>
      <c r="F40" s="57" t="s">
        <v>182</v>
      </c>
      <c r="G40" s="58"/>
      <c r="H40" s="58"/>
      <c r="I40" s="59"/>
      <c r="J40" s="59"/>
      <c r="K40" s="59"/>
      <c r="L40" s="60"/>
      <c r="M40" s="181">
        <f>SUM(Q40:AB40)</f>
        <v>0</v>
      </c>
      <c r="N40" s="182"/>
      <c r="O40" s="182"/>
      <c r="P40" s="183"/>
      <c r="Q40" s="188">
        <f>SUM(COUNTIFS(NPS관리활동_RAW!$D:$D, $B$39, NPS관리활동_RAW!$G:$G, "긍정")) - SUM(COUNTIFS(NPS관리활동_RAW!$D:$D, $B$39, NPS관리활동_RAW!$I:$I, F39, NPS관리활동_RAW!$G:$G, "긍정"))</f>
        <v>0</v>
      </c>
      <c r="R40" s="182"/>
      <c r="S40" s="182"/>
      <c r="T40" s="183"/>
      <c r="U40" s="188">
        <f>SUM(COUNTIFS(NPS관리활동_RAW!$D:$D, $B$39, NPS관리활동_RAW!$G:$G, "부정")) - SUM(COUNTIFS(NPS관리활동_RAW!$D:$D, $B$39, NPS관리활동_RAW!$I:$I, F39, NPS관리활동_RAW!$G:$G, "부정"))</f>
        <v>0</v>
      </c>
      <c r="V40" s="182"/>
      <c r="W40" s="182"/>
      <c r="X40" s="183"/>
      <c r="Y40" s="188">
        <f>SUM(COUNTIFS(NPS관리활동_RAW!$D:$D, $B$39, NPS관리활동_RAW!$G:$G, "중립")) - SUM(COUNTIFS(NPS관리활동_RAW!$D:$D, $B$39, NPS관리활동_RAW!$I:$I, F39, NPS관리활동_RAW!$G:$G, "중립"))</f>
        <v>0</v>
      </c>
      <c r="Z40" s="182"/>
      <c r="AA40" s="182"/>
      <c r="AB40" s="189"/>
      <c r="AC40" s="181">
        <f>COUNTIFS(NPS관리활동_RAW!$D:$D, "고객센터", NPS관리활동_RAW!$I:$I, "&lt;&gt;고객컨택영업그룹", NPS관리활동_RAW!$K:$K, "배분")</f>
        <v>0</v>
      </c>
      <c r="AD40" s="182"/>
      <c r="AE40" s="182"/>
      <c r="AF40" s="189"/>
      <c r="AG40" s="181">
        <f>SUM(AK40:AV40)</f>
        <v>0</v>
      </c>
      <c r="AH40" s="182"/>
      <c r="AI40" s="182"/>
      <c r="AJ40" s="183"/>
      <c r="AK40" s="188">
        <f>SUM(COUNTIFS(NPS관리활동_RAW!$D:$D, B39, NPS관리활동_RAW!$L:$L, "현행유지")) - SUM(COUNTIFS(NPS관리활동_RAW!$D:$D, B39, NPS관리활동_RAW!$I:$I, F39, NPS관리활동_RAW!$L:$L, "현행유지"))</f>
        <v>0</v>
      </c>
      <c r="AL40" s="182"/>
      <c r="AM40" s="182"/>
      <c r="AN40" s="183"/>
      <c r="AO40" s="188">
        <f>SUM(COUNTIFS(NPS관리활동_RAW!$D:$D, B39, NPS관리활동_RAW!$L:$L, "개선불가")) - SUM(COUNTIFS(NPS관리활동_RAW!$D:$D, B39, NPS관리활동_RAW!$I:$I, F39, NPS관리활동_RAW!$L:$L, "개선불가"))</f>
        <v>0</v>
      </c>
      <c r="AP40" s="182"/>
      <c r="AQ40" s="182"/>
      <c r="AR40" s="183"/>
      <c r="AS40" s="188">
        <f>SUM(COUNTIFS(NPS관리활동_RAW!$D:$D, B39, NPS관리활동_RAW!$L:$L, "개선예정")) - SUM(COUNTIFS(NPS관리활동_RAW!$D:$D, B39, NPS관리활동_RAW!$I:$I, F39, NPS관리활동_RAW!$L:$L, "개선예정"))</f>
        <v>0</v>
      </c>
      <c r="AT40" s="182"/>
      <c r="AU40" s="182"/>
      <c r="AV40" s="189"/>
      <c r="AW40" s="219">
        <f t="shared" si="11"/>
        <v>0</v>
      </c>
      <c r="AX40" s="220"/>
      <c r="AY40" s="220"/>
      <c r="AZ40" s="220"/>
      <c r="BA40" s="220"/>
      <c r="BB40" s="220"/>
      <c r="BC40" s="220"/>
      <c r="BD40" s="220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</row>
    <row r="41" spans="2:90" s="6" customFormat="1" ht="15" customHeight="1" x14ac:dyDescent="0.3">
      <c r="B41" s="159"/>
      <c r="C41" s="159"/>
      <c r="D41" s="159"/>
      <c r="E41" s="160"/>
      <c r="F41" s="65" t="s">
        <v>9</v>
      </c>
      <c r="G41" s="66"/>
      <c r="H41" s="66"/>
      <c r="I41" s="67"/>
      <c r="J41" s="67"/>
      <c r="K41" s="67"/>
      <c r="L41" s="68"/>
      <c r="M41" s="170">
        <f>SUM(M39:P40)</f>
        <v>0</v>
      </c>
      <c r="N41" s="171"/>
      <c r="O41" s="171"/>
      <c r="P41" s="172"/>
      <c r="Q41" s="221">
        <f t="shared" ref="Q41" si="19">SUM(Q39:T40)</f>
        <v>0</v>
      </c>
      <c r="R41" s="171"/>
      <c r="S41" s="171"/>
      <c r="T41" s="172"/>
      <c r="U41" s="221">
        <f t="shared" ref="U41" si="20">SUM(U39:X40)</f>
        <v>0</v>
      </c>
      <c r="V41" s="171"/>
      <c r="W41" s="171"/>
      <c r="X41" s="172"/>
      <c r="Y41" s="221">
        <f t="shared" ref="Y41" si="21">SUM(Y39:AB40)</f>
        <v>0</v>
      </c>
      <c r="Z41" s="171"/>
      <c r="AA41" s="171"/>
      <c r="AB41" s="234"/>
      <c r="AC41" s="170">
        <f t="shared" ref="AC41" si="22">SUM(AC39:AF40)</f>
        <v>0</v>
      </c>
      <c r="AD41" s="171"/>
      <c r="AE41" s="171"/>
      <c r="AF41" s="172"/>
      <c r="AG41" s="221">
        <f t="shared" ref="AG41" si="23">SUM(AG39:AJ40)</f>
        <v>0</v>
      </c>
      <c r="AH41" s="171"/>
      <c r="AI41" s="171"/>
      <c r="AJ41" s="172"/>
      <c r="AK41" s="221">
        <f t="shared" ref="AK41" si="24">SUM(AK39:AN40)</f>
        <v>0</v>
      </c>
      <c r="AL41" s="171"/>
      <c r="AM41" s="171"/>
      <c r="AN41" s="172"/>
      <c r="AO41" s="221">
        <f t="shared" ref="AO41" si="25">SUM(AO39:AR40)</f>
        <v>0</v>
      </c>
      <c r="AP41" s="171"/>
      <c r="AQ41" s="171"/>
      <c r="AR41" s="234"/>
      <c r="AS41" s="170">
        <f t="shared" ref="AS41" si="26">SUM(AS39:AV40)</f>
        <v>0</v>
      </c>
      <c r="AT41" s="171"/>
      <c r="AU41" s="171"/>
      <c r="AV41" s="172"/>
      <c r="AW41" s="216">
        <f t="shared" si="11"/>
        <v>0</v>
      </c>
      <c r="AX41" s="217"/>
      <c r="AY41" s="217"/>
      <c r="AZ41" s="217"/>
      <c r="BA41" s="217"/>
      <c r="BB41" s="217"/>
      <c r="BC41" s="217"/>
      <c r="BD41" s="2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</row>
    <row r="42" spans="2:90" s="6" customFormat="1" ht="15" customHeight="1" x14ac:dyDescent="0.3">
      <c r="B42" s="155" t="s">
        <v>13</v>
      </c>
      <c r="C42" s="155"/>
      <c r="D42" s="155"/>
      <c r="E42" s="156"/>
      <c r="F42" s="53" t="s">
        <v>4</v>
      </c>
      <c r="G42" s="54"/>
      <c r="H42" s="54"/>
      <c r="I42" s="55"/>
      <c r="J42" s="55"/>
      <c r="K42" s="55"/>
      <c r="L42" s="56"/>
      <c r="M42" s="173">
        <f>SUM(Q42:AB42)</f>
        <v>0</v>
      </c>
      <c r="N42" s="174"/>
      <c r="O42" s="174"/>
      <c r="P42" s="175"/>
      <c r="Q42" s="184">
        <f>COUNTIFS(NPS관리활동_RAW!$D:$D, $B$42, NPS관리활동_RAW!$I:$I, $F42, NPS관리활동_RAW!$G:$G, "긍정")</f>
        <v>0</v>
      </c>
      <c r="R42" s="174"/>
      <c r="S42" s="174"/>
      <c r="T42" s="175"/>
      <c r="U42" s="184">
        <f>COUNTIFS(NPS관리활동_RAW!$D:$D, $B$42, NPS관리활동_RAW!$I:$I, $F42, NPS관리활동_RAW!$G:$G, "부정")</f>
        <v>0</v>
      </c>
      <c r="V42" s="174"/>
      <c r="W42" s="174"/>
      <c r="X42" s="175"/>
      <c r="Y42" s="184">
        <f>COUNTIFS(NPS관리활동_RAW!$D:$D, $B$42, NPS관리활동_RAW!$I:$I, $F42, NPS관리활동_RAW!$G:$G, "중립")</f>
        <v>0</v>
      </c>
      <c r="Z42" s="174"/>
      <c r="AA42" s="174"/>
      <c r="AB42" s="185"/>
      <c r="AC42" s="173">
        <f>COUNTIFS(NPS관리활동_RAW!$D:$D, B42, NPS관리활동_RAW!$I:$I, F42, NPS관리활동_RAW!$K:$K, "배분")</f>
        <v>0</v>
      </c>
      <c r="AD42" s="174"/>
      <c r="AE42" s="174"/>
      <c r="AF42" s="175"/>
      <c r="AG42" s="184">
        <f>SUM(AK42:AV42)</f>
        <v>0</v>
      </c>
      <c r="AH42" s="174"/>
      <c r="AI42" s="174"/>
      <c r="AJ42" s="175"/>
      <c r="AK42" s="184">
        <f>COUNTIFS(NPS관리활동_RAW!$D:$D, B42, NPS관리활동_RAW!$I:$I, F42, NPS관리활동_RAW!$L:$L, "현행유지")</f>
        <v>0</v>
      </c>
      <c r="AL42" s="174"/>
      <c r="AM42" s="174"/>
      <c r="AN42" s="175"/>
      <c r="AO42" s="184">
        <f>COUNTIFS(NPS관리활동_RAW!$D:$D, B42, NPS관리활동_RAW!$I:$I, F42, NPS관리활동_RAW!$L:$L, "개선불가")</f>
        <v>0</v>
      </c>
      <c r="AP42" s="174"/>
      <c r="AQ42" s="174"/>
      <c r="AR42" s="185"/>
      <c r="AS42" s="173">
        <f>COUNTIFS(NPS관리활동_RAW!$D:$D, B42, NPS관리활동_RAW!$I:$I, F42, NPS관리활동_RAW!$L:$L, "개선예정")</f>
        <v>0</v>
      </c>
      <c r="AT42" s="174"/>
      <c r="AU42" s="174"/>
      <c r="AV42" s="175"/>
      <c r="AW42" s="230">
        <f t="shared" si="11"/>
        <v>0</v>
      </c>
      <c r="AX42" s="231"/>
      <c r="AY42" s="231"/>
      <c r="AZ42" s="231"/>
      <c r="BA42" s="231"/>
      <c r="BB42" s="231"/>
      <c r="BC42" s="231"/>
      <c r="BD42" s="232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</row>
    <row r="43" spans="2:90" s="6" customFormat="1" ht="15" customHeight="1" x14ac:dyDescent="0.3">
      <c r="B43" s="157"/>
      <c r="C43" s="157"/>
      <c r="D43" s="157"/>
      <c r="E43" s="158"/>
      <c r="F43" s="57" t="s">
        <v>6</v>
      </c>
      <c r="G43" s="58"/>
      <c r="H43" s="58"/>
      <c r="I43" s="59"/>
      <c r="J43" s="59"/>
      <c r="K43" s="59"/>
      <c r="L43" s="60"/>
      <c r="M43" s="176">
        <f t="shared" ref="M43:M45" si="27">SUM(Q43:AB43)</f>
        <v>0</v>
      </c>
      <c r="N43" s="177"/>
      <c r="O43" s="177"/>
      <c r="P43" s="178"/>
      <c r="Q43" s="186">
        <f>COUNTIFS(NPS관리활동_RAW!$D:$D, $B$42, NPS관리활동_RAW!$I:$I, $F43, NPS관리활동_RAW!$G:$G, "긍정")</f>
        <v>0</v>
      </c>
      <c r="R43" s="177"/>
      <c r="S43" s="177"/>
      <c r="T43" s="178"/>
      <c r="U43" s="186">
        <f>COUNTIFS(NPS관리활동_RAW!$D:$D, $B$42, NPS관리활동_RAW!$I:$I, $F43, NPS관리활동_RAW!$G:$G, "부정")</f>
        <v>0</v>
      </c>
      <c r="V43" s="177"/>
      <c r="W43" s="177"/>
      <c r="X43" s="178"/>
      <c r="Y43" s="186">
        <f>COUNTIFS(NPS관리활동_RAW!$D:$D, $B$42, NPS관리활동_RAW!$I:$I, $F43, NPS관리활동_RAW!$G:$G, "중립")</f>
        <v>0</v>
      </c>
      <c r="Z43" s="177"/>
      <c r="AA43" s="177"/>
      <c r="AB43" s="187"/>
      <c r="AC43" s="176">
        <f>COUNTIFS(NPS관리활동_RAW!$D:$D, B42, NPS관리활동_RAW!$I:$I, F43, NPS관리활동_RAW!$K:$K, "배분")</f>
        <v>0</v>
      </c>
      <c r="AD43" s="177"/>
      <c r="AE43" s="177"/>
      <c r="AF43" s="178"/>
      <c r="AG43" s="186">
        <f t="shared" ref="AG43:AG45" si="28">SUM(AK43:AV43)</f>
        <v>0</v>
      </c>
      <c r="AH43" s="177"/>
      <c r="AI43" s="177"/>
      <c r="AJ43" s="178"/>
      <c r="AK43" s="186">
        <f>COUNTIFS(NPS관리활동_RAW!$D:$D, B42, NPS관리활동_RAW!$I:$I, F43, NPS관리활동_RAW!$L:$L, "현행유지")</f>
        <v>0</v>
      </c>
      <c r="AL43" s="177"/>
      <c r="AM43" s="177"/>
      <c r="AN43" s="178"/>
      <c r="AO43" s="186">
        <f>COUNTIFS(NPS관리활동_RAW!$D:$D, B42, NPS관리활동_RAW!$I:$I, F43, NPS관리활동_RAW!$L:$L, "개선불가")</f>
        <v>0</v>
      </c>
      <c r="AP43" s="177"/>
      <c r="AQ43" s="177"/>
      <c r="AR43" s="187"/>
      <c r="AS43" s="176">
        <f>COUNTIFS(NPS관리활동_RAW!$D:$D, B42, NPS관리활동_RAW!$I:$I, F43, NPS관리활동_RAW!$L:$L, "개선예정")</f>
        <v>0</v>
      </c>
      <c r="AT43" s="177"/>
      <c r="AU43" s="177"/>
      <c r="AV43" s="178"/>
      <c r="AW43" s="228">
        <f t="shared" ref="AW43:AW45" si="29">IFERROR(AG43/AC43,0)</f>
        <v>0</v>
      </c>
      <c r="AX43" s="210"/>
      <c r="AY43" s="210"/>
      <c r="AZ43" s="210"/>
      <c r="BA43" s="210"/>
      <c r="BB43" s="210"/>
      <c r="BC43" s="210"/>
      <c r="BD43" s="229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</row>
    <row r="44" spans="2:90" s="6" customFormat="1" ht="15" customHeight="1" x14ac:dyDescent="0.3">
      <c r="B44" s="157"/>
      <c r="C44" s="157"/>
      <c r="D44" s="157"/>
      <c r="E44" s="158"/>
      <c r="F44" s="57" t="s">
        <v>7</v>
      </c>
      <c r="G44" s="58"/>
      <c r="H44" s="58"/>
      <c r="I44" s="59"/>
      <c r="J44" s="59"/>
      <c r="K44" s="59"/>
      <c r="L44" s="60"/>
      <c r="M44" s="176">
        <f t="shared" si="27"/>
        <v>0</v>
      </c>
      <c r="N44" s="177"/>
      <c r="O44" s="177"/>
      <c r="P44" s="178"/>
      <c r="Q44" s="186">
        <f>COUNTIFS(NPS관리활동_RAW!$D:$D, $B$42, NPS관리활동_RAW!$I:$I, $F44, NPS관리활동_RAW!$G:$G, "긍정")</f>
        <v>0</v>
      </c>
      <c r="R44" s="177"/>
      <c r="S44" s="177"/>
      <c r="T44" s="178"/>
      <c r="U44" s="186">
        <f>COUNTIFS(NPS관리활동_RAW!$D:$D, $B$42, NPS관리활동_RAW!$I:$I, $F44, NPS관리활동_RAW!$G:$G, "부정")</f>
        <v>0</v>
      </c>
      <c r="V44" s="177"/>
      <c r="W44" s="177"/>
      <c r="X44" s="178"/>
      <c r="Y44" s="186">
        <f>COUNTIFS(NPS관리활동_RAW!$D:$D, $B$42, NPS관리활동_RAW!$I:$I, $F44, NPS관리활동_RAW!$G:$G, "중립")</f>
        <v>0</v>
      </c>
      <c r="Z44" s="177"/>
      <c r="AA44" s="177"/>
      <c r="AB44" s="187"/>
      <c r="AC44" s="176">
        <f>COUNTIFS(NPS관리활동_RAW!$D:$D, B42, NPS관리활동_RAW!$I:$I, F44, NPS관리활동_RAW!$K:$K, "배분")</f>
        <v>0</v>
      </c>
      <c r="AD44" s="177"/>
      <c r="AE44" s="177"/>
      <c r="AF44" s="178"/>
      <c r="AG44" s="186">
        <f t="shared" si="28"/>
        <v>0</v>
      </c>
      <c r="AH44" s="177"/>
      <c r="AI44" s="177"/>
      <c r="AJ44" s="178"/>
      <c r="AK44" s="186">
        <f>COUNTIFS(NPS관리활동_RAW!$D:$D, B42, NPS관리활동_RAW!$I:$I, F44, NPS관리활동_RAW!$L:$L, "현행유지")</f>
        <v>0</v>
      </c>
      <c r="AL44" s="177"/>
      <c r="AM44" s="177"/>
      <c r="AN44" s="178"/>
      <c r="AO44" s="186">
        <f>COUNTIFS(NPS관리활동_RAW!$D:$D, B42, NPS관리활동_RAW!$I:$I, F44, NPS관리활동_RAW!$L:$L, "개선불가")</f>
        <v>0</v>
      </c>
      <c r="AP44" s="177"/>
      <c r="AQ44" s="177"/>
      <c r="AR44" s="187"/>
      <c r="AS44" s="176">
        <f>COUNTIFS(NPS관리활동_RAW!$D:$D, B42, NPS관리활동_RAW!$I:$I, F44, NPS관리활동_RAW!$L:$L, "개선예정")</f>
        <v>0</v>
      </c>
      <c r="AT44" s="177"/>
      <c r="AU44" s="177"/>
      <c r="AV44" s="178"/>
      <c r="AW44" s="228">
        <f t="shared" si="29"/>
        <v>0</v>
      </c>
      <c r="AX44" s="210"/>
      <c r="AY44" s="210"/>
      <c r="AZ44" s="210"/>
      <c r="BA44" s="210"/>
      <c r="BB44" s="210"/>
      <c r="BC44" s="210"/>
      <c r="BD44" s="229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</row>
    <row r="45" spans="2:90" s="6" customFormat="1" ht="15" customHeight="1" thickBot="1" x14ac:dyDescent="0.35">
      <c r="B45" s="157"/>
      <c r="C45" s="157"/>
      <c r="D45" s="157"/>
      <c r="E45" s="158"/>
      <c r="F45" s="57" t="s">
        <v>182</v>
      </c>
      <c r="G45" s="58"/>
      <c r="H45" s="58"/>
      <c r="I45" s="59"/>
      <c r="J45" s="59"/>
      <c r="K45" s="59"/>
      <c r="L45" s="60"/>
      <c r="M45" s="168">
        <f t="shared" si="27"/>
        <v>0</v>
      </c>
      <c r="N45" s="161"/>
      <c r="O45" s="161"/>
      <c r="P45" s="161"/>
      <c r="Q45" s="161" cm="1">
        <f t="array" ref="Q45">SUM(COUNTIFS(NPS관리활동_RAW!$D:$D, $B$42, NPS관리활동_RAW!$G:$G, "긍정")) - SUM(COUNTIFS(NPS관리활동_RAW!$D:$D, $B$42, NPS관리활동_RAW!$I:$I, F42:F44, NPS관리활동_RAW!$G:$G, "긍정"))</f>
        <v>0</v>
      </c>
      <c r="R45" s="161"/>
      <c r="S45" s="161"/>
      <c r="T45" s="161"/>
      <c r="U45" s="161" cm="1">
        <f t="array" ref="U45">SUM(COUNTIFS(NPS관리활동_RAW!$D:$D, $B$42, NPS관리활동_RAW!$G:$G, "부정")) - SUM(COUNTIFS(NPS관리활동_RAW!$D:$D, $B$42, NPS관리활동_RAW!$I:$I, F42:F44, NPS관리활동_RAW!$G:$G, "부정"))</f>
        <v>0</v>
      </c>
      <c r="V45" s="161"/>
      <c r="W45" s="161"/>
      <c r="X45" s="161"/>
      <c r="Y45" s="161" cm="1">
        <f t="array" ref="Y45">SUM(COUNTIFS(NPS관리활동_RAW!$D:$D, $B$42, NPS관리활동_RAW!$G:$G, "중립")) - SUM(COUNTIFS(NPS관리활동_RAW!$D:$D, $B$42, NPS관리활동_RAW!$I:$I, F42:F44, NPS관리활동_RAW!$G:$G, "중립"))</f>
        <v>0</v>
      </c>
      <c r="Z45" s="161"/>
      <c r="AA45" s="161"/>
      <c r="AB45" s="162"/>
      <c r="AC45" s="168">
        <f>COUNTIFS(NPS관리활동_RAW!$D:$D, B42, NPS관리활동_RAW!$I:$I, "&lt;&gt;개인고객그룹", NPS관리활동_RAW!$I:$I, "&lt;&gt;WM고객그룹", NPS관리활동_RAW!$I:$I, "&lt;&gt;기업고객그룹", NPS관리활동_RAW!$K:$K, "배분")</f>
        <v>0</v>
      </c>
      <c r="AD45" s="161"/>
      <c r="AE45" s="161"/>
      <c r="AF45" s="161"/>
      <c r="AG45" s="161">
        <f t="shared" si="28"/>
        <v>0</v>
      </c>
      <c r="AH45" s="161"/>
      <c r="AI45" s="161"/>
      <c r="AJ45" s="161"/>
      <c r="AK45" s="161" cm="1">
        <f t="array" ref="AK45">SUM(COUNTIFS(NPS관리활동_RAW!$D:$D, B42, NPS관리활동_RAW!$L:$L, "현행유지")) - SUM(COUNTIFS(NPS관리활동_RAW!$D:$D, B42, NPS관리활동_RAW!$I:$I, F42:F44, NPS관리활동_RAW!$L:$L, "현행유지"))</f>
        <v>0</v>
      </c>
      <c r="AL45" s="161"/>
      <c r="AM45" s="161"/>
      <c r="AN45" s="161"/>
      <c r="AO45" s="161" cm="1">
        <f t="array" ref="AO45">SUM(COUNTIFS(NPS관리활동_RAW!$D:$D, B42, NPS관리활동_RAW!$L:$L, "개선불가")) - SUM(COUNTIFS(NPS관리활동_RAW!$D:$D, B42, NPS관리활동_RAW!$I:$I, F42:F44, NPS관리활동_RAW!$L:$L, "개선불가"))</f>
        <v>0</v>
      </c>
      <c r="AP45" s="161"/>
      <c r="AQ45" s="161"/>
      <c r="AR45" s="162"/>
      <c r="AS45" s="168" cm="1">
        <f t="array" ref="AS45">SUM(COUNTIFS(NPS관리활동_RAW!$D:$D, B42, NPS관리활동_RAW!$L:$L, "개선예정")) - SUM(COUNTIFS(NPS관리활동_RAW!$D:$D, B42, NPS관리활동_RAW!$I:$I, F42:F44, NPS관리활동_RAW!$L:$L, "개선예정"))</f>
        <v>0</v>
      </c>
      <c r="AT45" s="161"/>
      <c r="AU45" s="161"/>
      <c r="AV45" s="161"/>
      <c r="AW45" s="225">
        <f t="shared" si="29"/>
        <v>0</v>
      </c>
      <c r="AX45" s="226"/>
      <c r="AY45" s="226"/>
      <c r="AZ45" s="226"/>
      <c r="BA45" s="226"/>
      <c r="BB45" s="226"/>
      <c r="BC45" s="226"/>
      <c r="BD45" s="227"/>
      <c r="BH45" s="33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</row>
    <row r="46" spans="2:90" s="6" customFormat="1" ht="15" customHeight="1" thickBot="1" x14ac:dyDescent="0.35">
      <c r="B46" s="164"/>
      <c r="C46" s="164"/>
      <c r="D46" s="164"/>
      <c r="E46" s="165"/>
      <c r="F46" s="69" t="s">
        <v>9</v>
      </c>
      <c r="G46" s="70"/>
      <c r="H46" s="70"/>
      <c r="I46" s="71"/>
      <c r="J46" s="71"/>
      <c r="K46" s="71"/>
      <c r="L46" s="72"/>
      <c r="M46" s="179">
        <f>SUM(M42:P45)</f>
        <v>0</v>
      </c>
      <c r="N46" s="180"/>
      <c r="O46" s="180"/>
      <c r="P46" s="180"/>
      <c r="Q46" s="180">
        <f t="shared" ref="Q46" si="30">SUM(Q42:T45)</f>
        <v>0</v>
      </c>
      <c r="R46" s="180"/>
      <c r="S46" s="180"/>
      <c r="T46" s="180"/>
      <c r="U46" s="180">
        <f t="shared" ref="U46" si="31">SUM(U42:X45)</f>
        <v>0</v>
      </c>
      <c r="V46" s="180"/>
      <c r="W46" s="180"/>
      <c r="X46" s="180"/>
      <c r="Y46" s="180">
        <f t="shared" ref="Y46" si="32">SUM(Y42:AB45)</f>
        <v>0</v>
      </c>
      <c r="Z46" s="180"/>
      <c r="AA46" s="180"/>
      <c r="AB46" s="235"/>
      <c r="AC46" s="211">
        <f t="shared" ref="AC46" si="33">SUM(AC42:AF45)</f>
        <v>0</v>
      </c>
      <c r="AD46" s="212"/>
      <c r="AE46" s="212"/>
      <c r="AF46" s="213"/>
      <c r="AG46" s="211">
        <f t="shared" ref="AG46" si="34">SUM(AG42:AJ45)</f>
        <v>0</v>
      </c>
      <c r="AH46" s="212"/>
      <c r="AI46" s="212"/>
      <c r="AJ46" s="214"/>
      <c r="AK46" s="215">
        <f t="shared" ref="AK46" si="35">SUM(AK42:AN45)</f>
        <v>0</v>
      </c>
      <c r="AL46" s="212"/>
      <c r="AM46" s="212"/>
      <c r="AN46" s="214"/>
      <c r="AO46" s="215">
        <f t="shared" ref="AO46" si="36">SUM(AO42:AR45)</f>
        <v>0</v>
      </c>
      <c r="AP46" s="212"/>
      <c r="AQ46" s="212"/>
      <c r="AR46" s="214"/>
      <c r="AS46" s="215">
        <f t="shared" ref="AS46" si="37">SUM(AS42:AV45)</f>
        <v>0</v>
      </c>
      <c r="AT46" s="212"/>
      <c r="AU46" s="212"/>
      <c r="AV46" s="213"/>
      <c r="AW46" s="223">
        <f>IFERROR(AG46/AC46,0)</f>
        <v>0</v>
      </c>
      <c r="AX46" s="224"/>
      <c r="AY46" s="224"/>
      <c r="AZ46" s="224"/>
      <c r="BA46" s="224"/>
      <c r="BB46" s="224"/>
      <c r="BC46" s="224"/>
      <c r="BD46" s="224"/>
      <c r="BH46" s="81"/>
      <c r="BI46" s="81"/>
      <c r="BJ46" s="81"/>
      <c r="BK46" s="81"/>
      <c r="BL46" s="81"/>
      <c r="BM46" s="81"/>
      <c r="BN46" s="81"/>
      <c r="BO46" s="81"/>
      <c r="BP46" s="81"/>
      <c r="BQ46" s="81"/>
      <c r="BR46" s="81"/>
      <c r="BS46" s="81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</row>
    <row r="47" spans="2:90" s="6" customFormat="1" ht="15" customHeight="1" thickBot="1" x14ac:dyDescent="0.35">
      <c r="B47" s="73" t="s">
        <v>88</v>
      </c>
      <c r="C47" s="73"/>
      <c r="D47" s="73"/>
      <c r="E47" s="73"/>
      <c r="F47" s="73"/>
      <c r="G47" s="73"/>
      <c r="H47" s="73"/>
      <c r="I47" s="73"/>
      <c r="J47" s="73"/>
      <c r="K47" s="73"/>
      <c r="L47" s="74"/>
      <c r="M47" s="198">
        <f>SUM(M35,M38,M41,M46)</f>
        <v>0</v>
      </c>
      <c r="N47" s="196"/>
      <c r="O47" s="196"/>
      <c r="P47" s="196"/>
      <c r="Q47" s="196">
        <f t="shared" ref="Q47" si="38">SUM(Q35,Q38,Q41,Q46)</f>
        <v>0</v>
      </c>
      <c r="R47" s="196"/>
      <c r="S47" s="196"/>
      <c r="T47" s="196"/>
      <c r="U47" s="196">
        <f t="shared" ref="U47" si="39">SUM(U35,U38,U41,U46)</f>
        <v>0</v>
      </c>
      <c r="V47" s="196"/>
      <c r="W47" s="196"/>
      <c r="X47" s="196"/>
      <c r="Y47" s="196">
        <f t="shared" ref="Y47" si="40">SUM(Y35,Y38,Y41,Y46)</f>
        <v>0</v>
      </c>
      <c r="Z47" s="196"/>
      <c r="AA47" s="196"/>
      <c r="AB47" s="197"/>
      <c r="AC47" s="211">
        <f t="shared" ref="AC47" si="41">SUM(AC35,AC38,AC41,AC46)</f>
        <v>0</v>
      </c>
      <c r="AD47" s="212"/>
      <c r="AE47" s="212"/>
      <c r="AF47" s="213"/>
      <c r="AG47" s="211">
        <f t="shared" ref="AG47" si="42">SUM(AG35,AG38,AG41,AG46)</f>
        <v>0</v>
      </c>
      <c r="AH47" s="212"/>
      <c r="AI47" s="212"/>
      <c r="AJ47" s="214"/>
      <c r="AK47" s="215">
        <f t="shared" ref="AK47" si="43">SUM(AK35,AK38,AK41,AK46)</f>
        <v>0</v>
      </c>
      <c r="AL47" s="212"/>
      <c r="AM47" s="212"/>
      <c r="AN47" s="214"/>
      <c r="AO47" s="215">
        <f t="shared" ref="AO47" si="44">SUM(AO35,AO38,AO41,AO46)</f>
        <v>0</v>
      </c>
      <c r="AP47" s="212"/>
      <c r="AQ47" s="212"/>
      <c r="AR47" s="214"/>
      <c r="AS47" s="215">
        <f t="shared" ref="AS47" si="45">SUM(AS35,AS38,AS41,AS46)</f>
        <v>0</v>
      </c>
      <c r="AT47" s="212"/>
      <c r="AU47" s="212"/>
      <c r="AV47" s="213"/>
      <c r="AW47" s="223">
        <f>IFERROR(AG47/AC47,0)</f>
        <v>0</v>
      </c>
      <c r="AX47" s="224"/>
      <c r="AY47" s="224"/>
      <c r="AZ47" s="224"/>
      <c r="BA47" s="224"/>
      <c r="BB47" s="224"/>
      <c r="BC47" s="224"/>
      <c r="BD47" s="224"/>
      <c r="BH47" s="81"/>
      <c r="BI47" s="81"/>
      <c r="BJ47" s="81"/>
      <c r="BK47" s="81"/>
      <c r="BL47" s="81"/>
      <c r="BM47" s="81"/>
      <c r="BN47" s="81"/>
      <c r="BO47" s="81"/>
      <c r="BP47" s="81"/>
      <c r="BQ47" s="81"/>
      <c r="BR47" s="81"/>
      <c r="BS47" s="81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</row>
    <row r="48" spans="2:90" ht="8.1" customHeight="1" x14ac:dyDescent="0.3">
      <c r="BE48" s="6"/>
      <c r="BF48" s="6"/>
    </row>
    <row r="49" spans="2:90" s="6" customFormat="1" ht="12" customHeight="1" x14ac:dyDescent="0.3">
      <c r="B49" s="90" t="s">
        <v>165</v>
      </c>
      <c r="E49" s="7"/>
      <c r="F49" s="7"/>
      <c r="G49" s="7"/>
      <c r="H49" s="7"/>
      <c r="I49" s="7"/>
      <c r="J49" s="7"/>
      <c r="K49" s="7"/>
      <c r="L49" s="7"/>
      <c r="M49" s="7"/>
      <c r="N49" s="8"/>
      <c r="O49" s="8"/>
      <c r="P49" s="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</row>
    <row r="50" spans="2:90" ht="15" customHeight="1" x14ac:dyDescent="0.3"/>
    <row r="51" spans="2:90" ht="15" customHeight="1" x14ac:dyDescent="0.25">
      <c r="B51" s="11" t="s">
        <v>14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3"/>
      <c r="Q51" s="3"/>
      <c r="R51" s="3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2:90" ht="8.1" customHeight="1" thickBot="1" x14ac:dyDescent="0.3">
      <c r="B52" s="4"/>
      <c r="P52" s="5"/>
      <c r="Q52" s="5"/>
      <c r="R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2:90" s="113" customFormat="1" ht="15" customHeight="1" thickBot="1" x14ac:dyDescent="0.35">
      <c r="B53" s="112" t="s">
        <v>15</v>
      </c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P53" s="112" t="s">
        <v>64</v>
      </c>
      <c r="Q53" s="112"/>
      <c r="R53" s="112"/>
      <c r="S53" s="112"/>
      <c r="T53" s="112"/>
      <c r="U53" s="112"/>
      <c r="V53" s="112"/>
      <c r="W53" s="112"/>
      <c r="X53" s="112"/>
      <c r="Y53" s="112"/>
      <c r="Z53" s="112"/>
      <c r="AA53" s="112"/>
      <c r="AB53" s="112"/>
      <c r="AD53" s="112" t="s">
        <v>16</v>
      </c>
      <c r="AE53" s="112"/>
      <c r="AF53" s="112"/>
      <c r="AG53" s="112"/>
      <c r="AH53" s="112"/>
      <c r="AI53" s="112"/>
      <c r="AJ53" s="112"/>
      <c r="AK53" s="112"/>
      <c r="AL53" s="112"/>
      <c r="AM53" s="112"/>
      <c r="AN53" s="112"/>
      <c r="AO53" s="112"/>
      <c r="AP53" s="112"/>
      <c r="AR53" s="112" t="s">
        <v>17</v>
      </c>
      <c r="AS53" s="112"/>
      <c r="AT53" s="112"/>
      <c r="AU53" s="112"/>
      <c r="AV53" s="112"/>
      <c r="AW53" s="112"/>
      <c r="AX53" s="112"/>
      <c r="AY53" s="112"/>
      <c r="AZ53" s="112"/>
      <c r="BA53" s="112"/>
      <c r="BB53" s="112"/>
      <c r="BC53" s="112"/>
      <c r="BD53" s="112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</row>
    <row r="54" spans="2:90" s="140" customFormat="1" ht="15" customHeight="1" x14ac:dyDescent="0.3">
      <c r="B54" s="86" t="s">
        <v>19</v>
      </c>
      <c r="C54" s="137"/>
      <c r="D54" s="137"/>
      <c r="E54" s="137"/>
      <c r="F54" s="137"/>
      <c r="G54" s="137"/>
      <c r="H54" s="138"/>
      <c r="I54" s="87" t="s">
        <v>87</v>
      </c>
      <c r="J54" s="137"/>
      <c r="K54" s="138"/>
      <c r="L54" s="139" t="s">
        <v>18</v>
      </c>
      <c r="M54" s="137"/>
      <c r="N54" s="137"/>
      <c r="O54" s="18"/>
      <c r="P54" s="86" t="s">
        <v>19</v>
      </c>
      <c r="Q54" s="137"/>
      <c r="R54" s="137"/>
      <c r="S54" s="137"/>
      <c r="T54" s="137"/>
      <c r="U54" s="137"/>
      <c r="V54" s="138"/>
      <c r="W54" s="87" t="s">
        <v>87</v>
      </c>
      <c r="X54" s="137"/>
      <c r="Y54" s="138"/>
      <c r="Z54" s="139" t="s">
        <v>18</v>
      </c>
      <c r="AA54" s="137"/>
      <c r="AB54" s="137"/>
      <c r="AC54" s="18"/>
      <c r="AD54" s="86" t="s">
        <v>19</v>
      </c>
      <c r="AE54" s="137"/>
      <c r="AF54" s="137"/>
      <c r="AG54" s="137"/>
      <c r="AH54" s="137"/>
      <c r="AI54" s="137"/>
      <c r="AJ54" s="138"/>
      <c r="AK54" s="87" t="s">
        <v>87</v>
      </c>
      <c r="AL54" s="137"/>
      <c r="AM54" s="138"/>
      <c r="AN54" s="139" t="s">
        <v>18</v>
      </c>
      <c r="AO54" s="137"/>
      <c r="AP54" s="137"/>
      <c r="AQ54" s="18"/>
      <c r="AR54" s="86" t="s">
        <v>19</v>
      </c>
      <c r="AS54" s="137"/>
      <c r="AT54" s="137"/>
      <c r="AU54" s="137"/>
      <c r="AV54" s="137"/>
      <c r="AW54" s="137"/>
      <c r="AX54" s="138"/>
      <c r="AY54" s="87" t="s">
        <v>87</v>
      </c>
      <c r="AZ54" s="137"/>
      <c r="BA54" s="138"/>
      <c r="BB54" s="139" t="s">
        <v>18</v>
      </c>
      <c r="BC54" s="137"/>
      <c r="BD54" s="137"/>
      <c r="BE54" s="18"/>
      <c r="BF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</row>
    <row r="55" spans="2:90" ht="15" customHeight="1" x14ac:dyDescent="0.3">
      <c r="B55" s="95" t="s">
        <v>51</v>
      </c>
      <c r="C55" s="89"/>
      <c r="D55" s="89"/>
      <c r="E55" s="89"/>
      <c r="F55" s="89"/>
      <c r="G55" s="89"/>
      <c r="H55" s="88"/>
      <c r="I55" s="194" cm="1">
        <f t="array" ref="I55">SUMPRODUCT((고객경험단계별NPS_RAW!$A:$A="KB 스타뱅킹") * (고객경험단계별NPS_RAW!$B:$B=TRIM(B55)) * IFERROR(--고객경험단계별NPS_RAW!$C:$C,0))</f>
        <v>0</v>
      </c>
      <c r="J55" s="194"/>
      <c r="K55" s="194"/>
      <c r="L55" s="194" cm="1">
        <f t="array" ref="L55">SUMPRODUCT((고객경험단계별NPS_RAW!$A:$A="KB 스타뱅킹") * (고객경험단계별NPS_RAW!$B:$B=TRIM(B55)) * IFERROR(--고객경험단계별NPS_RAW!$D:$D,0))</f>
        <v>0</v>
      </c>
      <c r="M55" s="194"/>
      <c r="N55" s="195"/>
      <c r="O55" s="122"/>
      <c r="P55" s="95" t="s">
        <v>20</v>
      </c>
      <c r="Q55" s="89"/>
      <c r="R55" s="89"/>
      <c r="S55" s="89"/>
      <c r="T55" s="89"/>
      <c r="U55" s="89"/>
      <c r="V55" s="88"/>
      <c r="W55" s="194" cm="1">
        <f t="array" ref="W55">SUMPRODUCT((고객경험단계별NPS_RAW!$A:$A=TRIM(P$53)) * (고객경험단계별NPS_RAW!$B:$B=TRIM(P55)) * IFERROR(--고객경험단계별NPS_RAW!$C:$C,0))</f>
        <v>0</v>
      </c>
      <c r="X55" s="194"/>
      <c r="Y55" s="194"/>
      <c r="Z55" s="195" cm="1">
        <f t="array" ref="Z55">SUMPRODUCT((고객경험단계별NPS_RAW!$A:$A=TRIM(P$53)) * (고객경험단계별NPS_RAW!$B:$B=TRIM(P55)) * IFERROR(--고객경험단계별NPS_RAW!$D:$D,0))</f>
        <v>0</v>
      </c>
      <c r="AA55" s="202"/>
      <c r="AB55" s="202"/>
      <c r="AD55" s="95" t="s">
        <v>21</v>
      </c>
      <c r="AE55" s="89"/>
      <c r="AF55" s="89"/>
      <c r="AG55" s="89"/>
      <c r="AH55" s="89"/>
      <c r="AI55" s="89"/>
      <c r="AJ55" s="88"/>
      <c r="AK55" s="194" cm="1">
        <f t="array" ref="AK55">SUMPRODUCT((고객경험단계별NPS_RAW!$A:$A=TRIM(AD$53)) * (고객경험단계별NPS_RAW!$B:$B=TRIM(AD55)) * IFERROR(--고객경험단계별NPS_RAW!$C:$C,0))</f>
        <v>0</v>
      </c>
      <c r="AL55" s="194"/>
      <c r="AM55" s="194"/>
      <c r="AN55" s="195" cm="1">
        <f t="array" ref="AN55">SUMPRODUCT((고객경험단계별NPS_RAW!$A:$A=TRIM(AD$53)) * (고객경험단계별NPS_RAW!$B:$B=TRIM(AD55)) * IFERROR(--고객경험단계별NPS_RAW!$D:$D,0))</f>
        <v>0</v>
      </c>
      <c r="AO55" s="202"/>
      <c r="AP55" s="202"/>
      <c r="AR55" s="95" t="s">
        <v>22</v>
      </c>
      <c r="AS55" s="89"/>
      <c r="AT55" s="89"/>
      <c r="AU55" s="89"/>
      <c r="AV55" s="89"/>
      <c r="AW55" s="89"/>
      <c r="AX55" s="88"/>
      <c r="AY55" s="194" cm="1">
        <f t="array" ref="AY55">SUMPRODUCT((고객경험단계별NPS_RAW!$A:$A=TRIM(AR$53)) * (고객경험단계별NPS_RAW!$B:$B=TRIM(AR55)) * IFERROR(--고객경험단계별NPS_RAW!$C:$C,0))</f>
        <v>0</v>
      </c>
      <c r="AZ55" s="194"/>
      <c r="BA55" s="194"/>
      <c r="BB55" s="195" cm="1">
        <f t="array" ref="BB55">SUMPRODUCT((고객경험단계별NPS_RAW!$A:$A=TRIM(AR$53)) * (고객경험단계별NPS_RAW!$B:$B=TRIM(AR55)) * IFERROR(--고객경험단계별NPS_RAW!$D:$D,0))</f>
        <v>0</v>
      </c>
      <c r="BC55" s="202"/>
      <c r="BD55" s="202"/>
    </row>
    <row r="56" spans="2:90" ht="15" customHeight="1" x14ac:dyDescent="0.3">
      <c r="B56" s="96" t="s">
        <v>52</v>
      </c>
      <c r="C56" s="92"/>
      <c r="D56" s="92"/>
      <c r="E56" s="92"/>
      <c r="F56" s="92"/>
      <c r="G56" s="92"/>
      <c r="H56" s="91"/>
      <c r="I56" s="190" cm="1">
        <f t="array" ref="I56">SUMPRODUCT((고객경험단계별NPS_RAW!$A:$A="KB 스타뱅킹") * (고객경험단계별NPS_RAW!$B:$B=TRIM(B56)) * IFERROR(--고객경험단계별NPS_RAW!$C:$C,0))</f>
        <v>0</v>
      </c>
      <c r="J56" s="191"/>
      <c r="K56" s="192"/>
      <c r="L56" s="193" cm="1">
        <f t="array" ref="L56">SUMPRODUCT((고객경험단계별NPS_RAW!$A:$A="KB 스타뱅킹") * (고객경험단계별NPS_RAW!$B:$B=TRIM(B56)) * IFERROR(--고객경험단계별NPS_RAW!$D:$D,0))</f>
        <v>0</v>
      </c>
      <c r="M56" s="193"/>
      <c r="N56" s="190"/>
      <c r="O56" s="122"/>
      <c r="P56" s="96" t="s">
        <v>23</v>
      </c>
      <c r="Q56" s="92"/>
      <c r="R56" s="92"/>
      <c r="S56" s="92"/>
      <c r="T56" s="92"/>
      <c r="U56" s="92"/>
      <c r="V56" s="91"/>
      <c r="W56" s="193" cm="1">
        <f t="array" ref="W56">SUMPRODUCT((고객경험단계별NPS_RAW!$A:$A=TRIM(P$53)) * (고객경험단계별NPS_RAW!$B:$B=TRIM(P56)) * IFERROR(--고객경험단계별NPS_RAW!$C:$C,0))</f>
        <v>0</v>
      </c>
      <c r="X56" s="193"/>
      <c r="Y56" s="193"/>
      <c r="Z56" s="190" cm="1">
        <f t="array" ref="Z56">SUMPRODUCT((고객경험단계별NPS_RAW!$A:$A=TRIM(P$53)) * (고객경험단계별NPS_RAW!$B:$B=TRIM(P56)) * IFERROR(--고객경험단계별NPS_RAW!$D:$D,0))</f>
        <v>0</v>
      </c>
      <c r="AA56" s="191"/>
      <c r="AB56" s="191"/>
      <c r="AD56" s="96" t="s">
        <v>24</v>
      </c>
      <c r="AE56" s="92"/>
      <c r="AF56" s="92"/>
      <c r="AG56" s="92"/>
      <c r="AH56" s="92"/>
      <c r="AI56" s="92"/>
      <c r="AJ56" s="91"/>
      <c r="AK56" s="193" cm="1">
        <f t="array" ref="AK56">SUMPRODUCT((고객경험단계별NPS_RAW!$A:$A=TRIM(AD$53)) * (고객경험단계별NPS_RAW!$B:$B=TRIM(AD56)) * IFERROR(--고객경험단계별NPS_RAW!$C:$C,0))</f>
        <v>0</v>
      </c>
      <c r="AL56" s="193"/>
      <c r="AM56" s="193"/>
      <c r="AN56" s="190" cm="1">
        <f t="array" ref="AN56">SUMPRODUCT((고객경험단계별NPS_RAW!$A:$A=TRIM(AD$53)) * (고객경험단계별NPS_RAW!$B:$B=TRIM(AD56)) * IFERROR(--고객경험단계별NPS_RAW!$D:$D,0))</f>
        <v>0</v>
      </c>
      <c r="AO56" s="191"/>
      <c r="AP56" s="191"/>
      <c r="AR56" s="96" t="s">
        <v>25</v>
      </c>
      <c r="AS56" s="92"/>
      <c r="AT56" s="92"/>
      <c r="AU56" s="92"/>
      <c r="AV56" s="92"/>
      <c r="AW56" s="92"/>
      <c r="AX56" s="91"/>
      <c r="AY56" s="193" cm="1">
        <f t="array" ref="AY56">SUMPRODUCT((고객경험단계별NPS_RAW!$A:$A=TRIM(AR$53)) * (고객경험단계별NPS_RAW!$B:$B=TRIM(AR56)) * IFERROR(--고객경험단계별NPS_RAW!$C:$C,0))</f>
        <v>0</v>
      </c>
      <c r="AZ56" s="193"/>
      <c r="BA56" s="193"/>
      <c r="BB56" s="190" cm="1">
        <f t="array" ref="BB56">SUMPRODUCT((고객경험단계별NPS_RAW!$A:$A=TRIM(AR$53)) * (고객경험단계별NPS_RAW!$B:$B=TRIM(AR56)) * IFERROR(--고객경험단계별NPS_RAW!$D:$D,0))</f>
        <v>0</v>
      </c>
      <c r="BC56" s="191"/>
      <c r="BD56" s="191"/>
    </row>
    <row r="57" spans="2:90" ht="15" customHeight="1" x14ac:dyDescent="0.3">
      <c r="B57" s="96" t="s">
        <v>53</v>
      </c>
      <c r="C57" s="92"/>
      <c r="D57" s="92"/>
      <c r="E57" s="92"/>
      <c r="F57" s="92"/>
      <c r="G57" s="92"/>
      <c r="H57" s="91"/>
      <c r="I57" s="190" cm="1">
        <f t="array" ref="I57">SUMPRODUCT((고객경험단계별NPS_RAW!$A:$A="KB 스타뱅킹") * (고객경험단계별NPS_RAW!$B:$B=TRIM(B57)) * IFERROR(--고객경험단계별NPS_RAW!$C:$C,0))</f>
        <v>0</v>
      </c>
      <c r="J57" s="191"/>
      <c r="K57" s="192"/>
      <c r="L57" s="193" cm="1">
        <f t="array" ref="L57">SUMPRODUCT((고객경험단계별NPS_RAW!$A:$A="KB 스타뱅킹") * (고객경험단계별NPS_RAW!$B:$B=TRIM(B57)) * IFERROR(--고객경험단계별NPS_RAW!$D:$D,0))</f>
        <v>0</v>
      </c>
      <c r="M57" s="193"/>
      <c r="N57" s="190"/>
      <c r="O57" s="122"/>
      <c r="P57" s="96" t="s">
        <v>26</v>
      </c>
      <c r="Q57" s="92"/>
      <c r="R57" s="92"/>
      <c r="S57" s="92"/>
      <c r="T57" s="92"/>
      <c r="U57" s="92"/>
      <c r="V57" s="91"/>
      <c r="W57" s="193" cm="1">
        <f t="array" ref="W57">SUMPRODUCT((고객경험단계별NPS_RAW!$A:$A=TRIM(P$53)) * (고객경험단계별NPS_RAW!$B:$B=TRIM(P57)) * IFERROR(--고객경험단계별NPS_RAW!$C:$C,0))</f>
        <v>0</v>
      </c>
      <c r="X57" s="193"/>
      <c r="Y57" s="193"/>
      <c r="Z57" s="190" cm="1">
        <f t="array" ref="Z57">SUMPRODUCT((고객경험단계별NPS_RAW!$A:$A=TRIM(P$53)) * (고객경험단계별NPS_RAW!$B:$B=TRIM(P57)) * IFERROR(--고객경험단계별NPS_RAW!$D:$D,0))</f>
        <v>0</v>
      </c>
      <c r="AA57" s="191"/>
      <c r="AB57" s="191"/>
      <c r="AD57" s="96" t="s">
        <v>23</v>
      </c>
      <c r="AE57" s="92"/>
      <c r="AF57" s="92"/>
      <c r="AG57" s="92"/>
      <c r="AH57" s="92"/>
      <c r="AI57" s="92"/>
      <c r="AJ57" s="91"/>
      <c r="AK57" s="193" cm="1">
        <f t="array" ref="AK57">SUMPRODUCT((고객경험단계별NPS_RAW!$A:$A=TRIM(AD$53)) * (고객경험단계별NPS_RAW!$B:$B=TRIM(AD57)) * IFERROR(--고객경험단계별NPS_RAW!$C:$C,0))</f>
        <v>0</v>
      </c>
      <c r="AL57" s="193"/>
      <c r="AM57" s="193"/>
      <c r="AN57" s="190" cm="1">
        <f t="array" ref="AN57">SUMPRODUCT((고객경험단계별NPS_RAW!$A:$A=TRIM(AD$53)) * (고객경험단계별NPS_RAW!$B:$B=TRIM(AD57)) * IFERROR(--고객경험단계별NPS_RAW!$D:$D,0))</f>
        <v>0</v>
      </c>
      <c r="AO57" s="191"/>
      <c r="AP57" s="191"/>
      <c r="AR57" s="96" t="s">
        <v>27</v>
      </c>
      <c r="AS57" s="92"/>
      <c r="AT57" s="92"/>
      <c r="AU57" s="92"/>
      <c r="AV57" s="92"/>
      <c r="AW57" s="92"/>
      <c r="AX57" s="91"/>
      <c r="AY57" s="193" cm="1">
        <f t="array" ref="AY57">SUMPRODUCT((고객경험단계별NPS_RAW!$A:$A=TRIM(AR$53)) * (고객경험단계별NPS_RAW!$B:$B=TRIM(AR57)) * IFERROR(--고객경험단계별NPS_RAW!$C:$C,0))</f>
        <v>0</v>
      </c>
      <c r="AZ57" s="193"/>
      <c r="BA57" s="193"/>
      <c r="BB57" s="190" cm="1">
        <f t="array" ref="BB57">SUMPRODUCT((고객경험단계별NPS_RAW!$A:$A=TRIM(AR$53)) * (고객경험단계별NPS_RAW!$B:$B=TRIM(AR57)) * IFERROR(--고객경험단계별NPS_RAW!$D:$D,0))</f>
        <v>0</v>
      </c>
      <c r="BC57" s="191"/>
      <c r="BD57" s="191"/>
    </row>
    <row r="58" spans="2:90" ht="15" customHeight="1" x14ac:dyDescent="0.3">
      <c r="B58" s="96" t="s">
        <v>54</v>
      </c>
      <c r="C58" s="92"/>
      <c r="D58" s="92"/>
      <c r="E58" s="92"/>
      <c r="F58" s="92"/>
      <c r="G58" s="92"/>
      <c r="H58" s="91"/>
      <c r="I58" s="190" cm="1">
        <f t="array" ref="I58">SUMPRODUCT((고객경험단계별NPS_RAW!$A:$A="KB 스타뱅킹") * (고객경험단계별NPS_RAW!$B:$B=TRIM(B58)) * IFERROR(--고객경험단계별NPS_RAW!$C:$C,0))</f>
        <v>0</v>
      </c>
      <c r="J58" s="191"/>
      <c r="K58" s="192"/>
      <c r="L58" s="193" cm="1">
        <f t="array" ref="L58">SUMPRODUCT((고객경험단계별NPS_RAW!$A:$A="KB 스타뱅킹") * (고객경험단계별NPS_RAW!$B:$B=TRIM(B58)) * IFERROR(--고객경험단계별NPS_RAW!$D:$D,0))</f>
        <v>0</v>
      </c>
      <c r="M58" s="193"/>
      <c r="N58" s="190"/>
      <c r="O58" s="122"/>
      <c r="P58" s="96" t="s">
        <v>33</v>
      </c>
      <c r="Q58" s="92"/>
      <c r="R58" s="92"/>
      <c r="S58" s="92"/>
      <c r="T58" s="92"/>
      <c r="U58" s="92"/>
      <c r="V58" s="91"/>
      <c r="W58" s="193" cm="1">
        <f t="array" ref="W58">SUMPRODUCT((고객경험단계별NPS_RAW!$A:$A=TRIM(P$53)) * (고객경험단계별NPS_RAW!$B:$B=TRIM(P58)) * IFERROR(--고객경험단계별NPS_RAW!$C:$C,0))</f>
        <v>0</v>
      </c>
      <c r="X58" s="193"/>
      <c r="Y58" s="193"/>
      <c r="Z58" s="190" cm="1">
        <f t="array" ref="Z58">SUMPRODUCT((고객경험단계별NPS_RAW!$A:$A=TRIM(P$53)) * (고객경험단계별NPS_RAW!$B:$B=TRIM(P58)) * IFERROR(--고객경험단계별NPS_RAW!$D:$D,0))</f>
        <v>0</v>
      </c>
      <c r="AA58" s="191"/>
      <c r="AB58" s="191"/>
      <c r="AD58" s="96" t="s">
        <v>28</v>
      </c>
      <c r="AE58" s="92"/>
      <c r="AF58" s="92"/>
      <c r="AG58" s="92"/>
      <c r="AH58" s="92"/>
      <c r="AI58" s="92"/>
      <c r="AJ58" s="91"/>
      <c r="AK58" s="193" cm="1">
        <f t="array" ref="AK58">SUMPRODUCT((고객경험단계별NPS_RAW!$A:$A=TRIM(AD$53)) * (고객경험단계별NPS_RAW!$B:$B=TRIM(AD58)) * IFERROR(--고객경험단계별NPS_RAW!$C:$C,0))</f>
        <v>0</v>
      </c>
      <c r="AL58" s="193"/>
      <c r="AM58" s="193"/>
      <c r="AN58" s="190" cm="1">
        <f t="array" ref="AN58">SUMPRODUCT((고객경험단계별NPS_RAW!$A:$A=TRIM(AD$53)) * (고객경험단계별NPS_RAW!$B:$B=TRIM(AD58)) * IFERROR(--고객경험단계별NPS_RAW!$D:$D,0))</f>
        <v>0</v>
      </c>
      <c r="AO58" s="191"/>
      <c r="AP58" s="191"/>
      <c r="AR58" s="96" t="s">
        <v>29</v>
      </c>
      <c r="AS58" s="92"/>
      <c r="AT58" s="92"/>
      <c r="AU58" s="92"/>
      <c r="AV58" s="92"/>
      <c r="AW58" s="92"/>
      <c r="AX58" s="91"/>
      <c r="AY58" s="193" cm="1">
        <f t="array" ref="AY58">SUMPRODUCT((고객경험단계별NPS_RAW!$A:$A=TRIM(AR$53)) * (고객경험단계별NPS_RAW!$B:$B=TRIM(AR58)) * IFERROR(--고객경험단계별NPS_RAW!$C:$C,0))</f>
        <v>0</v>
      </c>
      <c r="AZ58" s="193"/>
      <c r="BA58" s="193"/>
      <c r="BB58" s="190" cm="1">
        <f t="array" ref="BB58">SUMPRODUCT((고객경험단계별NPS_RAW!$A:$A=TRIM(AR$53)) * (고객경험단계별NPS_RAW!$B:$B=TRIM(AR58)) * IFERROR(--고객경험단계별NPS_RAW!$D:$D,0))</f>
        <v>0</v>
      </c>
      <c r="BC58" s="191"/>
      <c r="BD58" s="191"/>
    </row>
    <row r="59" spans="2:90" ht="15" customHeight="1" x14ac:dyDescent="0.3">
      <c r="B59" s="96" t="s">
        <v>55</v>
      </c>
      <c r="C59" s="92"/>
      <c r="D59" s="92"/>
      <c r="E59" s="92"/>
      <c r="F59" s="92"/>
      <c r="G59" s="92"/>
      <c r="H59" s="91"/>
      <c r="I59" s="190" cm="1">
        <f t="array" ref="I59">SUMPRODUCT((고객경험단계별NPS_RAW!$A:$A="KB 스타뱅킹") * (고객경험단계별NPS_RAW!$B:$B=TRIM(B59)) * IFERROR(--고객경험단계별NPS_RAW!$C:$C,0))</f>
        <v>0</v>
      </c>
      <c r="J59" s="191"/>
      <c r="K59" s="192"/>
      <c r="L59" s="193" cm="1">
        <f t="array" ref="L59">SUMPRODUCT((고객경험단계별NPS_RAW!$A:$A="KB 스타뱅킹") * (고객경험단계별NPS_RAW!$B:$B=TRIM(B59)) * IFERROR(--고객경험단계별NPS_RAW!$D:$D,0))</f>
        <v>0</v>
      </c>
      <c r="M59" s="193"/>
      <c r="N59" s="190"/>
      <c r="O59" s="122"/>
      <c r="P59" s="96" t="s">
        <v>30</v>
      </c>
      <c r="Q59" s="92"/>
      <c r="R59" s="92"/>
      <c r="S59" s="92"/>
      <c r="T59" s="92"/>
      <c r="U59" s="92"/>
      <c r="V59" s="91"/>
      <c r="W59" s="193" cm="1">
        <f t="array" ref="W59">SUMPRODUCT((고객경험단계별NPS_RAW!$A:$A=TRIM(P$53)) * (고객경험단계별NPS_RAW!$B:$B=TRIM(P59)) * IFERROR(--고객경험단계별NPS_RAW!$C:$C,0))</f>
        <v>0</v>
      </c>
      <c r="X59" s="193"/>
      <c r="Y59" s="193"/>
      <c r="Z59" s="190" cm="1">
        <f t="array" ref="Z59">SUMPRODUCT((고객경험단계별NPS_RAW!$A:$A=TRIM(P$53)) * (고객경험단계별NPS_RAW!$B:$B=TRIM(P59)) * IFERROR(--고객경험단계별NPS_RAW!$D:$D,0))</f>
        <v>0</v>
      </c>
      <c r="AA59" s="191"/>
      <c r="AB59" s="191"/>
      <c r="AD59" s="96" t="s">
        <v>31</v>
      </c>
      <c r="AE59" s="92"/>
      <c r="AF59" s="92"/>
      <c r="AG59" s="92"/>
      <c r="AH59" s="92"/>
      <c r="AI59" s="92"/>
      <c r="AJ59" s="91"/>
      <c r="AK59" s="193" cm="1">
        <f t="array" ref="AK59">SUMPRODUCT((고객경험단계별NPS_RAW!$A:$A=TRIM(AD$53)) * (고객경험단계별NPS_RAW!$B:$B=TRIM(AD59)) * IFERROR(--고객경험단계별NPS_RAW!$C:$C,0))</f>
        <v>0</v>
      </c>
      <c r="AL59" s="193"/>
      <c r="AM59" s="193"/>
      <c r="AN59" s="190" cm="1">
        <f t="array" ref="AN59">SUMPRODUCT((고객경험단계별NPS_RAW!$A:$A=TRIM(AD$53)) * (고객경험단계별NPS_RAW!$B:$B=TRIM(AD59)) * IFERROR(--고객경험단계별NPS_RAW!$D:$D,0))</f>
        <v>0</v>
      </c>
      <c r="AO59" s="191"/>
      <c r="AP59" s="191"/>
      <c r="AR59" s="96" t="s">
        <v>32</v>
      </c>
      <c r="AS59" s="92"/>
      <c r="AT59" s="92"/>
      <c r="AU59" s="92"/>
      <c r="AV59" s="92"/>
      <c r="AW59" s="92"/>
      <c r="AX59" s="91"/>
      <c r="AY59" s="193" cm="1">
        <f t="array" ref="AY59">SUMPRODUCT((고객경험단계별NPS_RAW!$A:$A=TRIM(AR$53)) * (고객경험단계별NPS_RAW!$B:$B=TRIM(AR59)) * IFERROR(--고객경험단계별NPS_RAW!$C:$C,0))</f>
        <v>0</v>
      </c>
      <c r="AZ59" s="193"/>
      <c r="BA59" s="193"/>
      <c r="BB59" s="190" cm="1">
        <f t="array" ref="BB59">SUMPRODUCT((고객경험단계별NPS_RAW!$A:$A=TRIM(AR$53)) * (고객경험단계별NPS_RAW!$B:$B=TRIM(AR59)) * IFERROR(--고객경험단계별NPS_RAW!$D:$D,0))</f>
        <v>0</v>
      </c>
      <c r="BC59" s="191"/>
      <c r="BD59" s="191"/>
    </row>
    <row r="60" spans="2:90" ht="15" customHeight="1" x14ac:dyDescent="0.3">
      <c r="B60" s="96" t="s">
        <v>56</v>
      </c>
      <c r="C60" s="92"/>
      <c r="D60" s="92"/>
      <c r="E60" s="92"/>
      <c r="F60" s="92"/>
      <c r="G60" s="92"/>
      <c r="H60" s="91"/>
      <c r="I60" s="190" cm="1">
        <f t="array" ref="I60">SUMPRODUCT((고객경험단계별NPS_RAW!$A:$A="KB 스타뱅킹") * (고객경험단계별NPS_RAW!$B:$B=TRIM(B60)) * IFERROR(--고객경험단계별NPS_RAW!$C:$C,0))</f>
        <v>0</v>
      </c>
      <c r="J60" s="191"/>
      <c r="K60" s="192"/>
      <c r="L60" s="193" cm="1">
        <f t="array" ref="L60">SUMPRODUCT((고객경험단계별NPS_RAW!$A:$A="KB 스타뱅킹") * (고객경험단계별NPS_RAW!$B:$B=TRIM(B60)) * IFERROR(--고객경험단계별NPS_RAW!$D:$D,0))</f>
        <v>0</v>
      </c>
      <c r="M60" s="193"/>
      <c r="N60" s="190"/>
      <c r="O60" s="122"/>
      <c r="P60" s="96"/>
      <c r="Q60" s="92"/>
      <c r="R60" s="92"/>
      <c r="S60" s="92"/>
      <c r="T60" s="92"/>
      <c r="U60" s="92"/>
      <c r="V60" s="91"/>
      <c r="W60" s="193"/>
      <c r="X60" s="193"/>
      <c r="Y60" s="193"/>
      <c r="Z60" s="190"/>
      <c r="AA60" s="191"/>
      <c r="AB60" s="191"/>
      <c r="AD60" s="96" t="s">
        <v>33</v>
      </c>
      <c r="AE60" s="92"/>
      <c r="AF60" s="92"/>
      <c r="AG60" s="92"/>
      <c r="AH60" s="92"/>
      <c r="AI60" s="92"/>
      <c r="AJ60" s="91"/>
      <c r="AK60" s="193" cm="1">
        <f t="array" ref="AK60">SUMPRODUCT((고객경험단계별NPS_RAW!$A:$A=TRIM(AD$53)) * (고객경험단계별NPS_RAW!$B:$B=TRIM(AD60)) * IFERROR(--고객경험단계별NPS_RAW!$C:$C,0))</f>
        <v>0</v>
      </c>
      <c r="AL60" s="193"/>
      <c r="AM60" s="193"/>
      <c r="AN60" s="190" cm="1">
        <f t="array" ref="AN60">SUMPRODUCT((고객경험단계별NPS_RAW!$A:$A=TRIM(AD$53)) * (고객경험단계별NPS_RAW!$B:$B=TRIM(AD60)) * IFERROR(--고객경험단계별NPS_RAW!$D:$D,0))</f>
        <v>0</v>
      </c>
      <c r="AO60" s="191"/>
      <c r="AP60" s="191"/>
      <c r="AR60" s="96" t="s">
        <v>34</v>
      </c>
      <c r="AS60" s="92"/>
      <c r="AT60" s="92"/>
      <c r="AU60" s="92"/>
      <c r="AV60" s="92"/>
      <c r="AW60" s="92"/>
      <c r="AX60" s="91"/>
      <c r="AY60" s="193" cm="1">
        <f t="array" ref="AY60">SUMPRODUCT((고객경험단계별NPS_RAW!$A:$A=TRIM(AR$53)) * (고객경험단계별NPS_RAW!$B:$B=TRIM(AR60)) * IFERROR(--고객경험단계별NPS_RAW!$C:$C,0))</f>
        <v>0</v>
      </c>
      <c r="AZ60" s="193"/>
      <c r="BA60" s="193"/>
      <c r="BB60" s="190" cm="1">
        <f t="array" ref="BB60">SUMPRODUCT((고객경험단계별NPS_RAW!$A:$A=TRIM(AR$53)) * (고객경험단계별NPS_RAW!$B:$B=TRIM(AR60)) * IFERROR(--고객경험단계별NPS_RAW!$D:$D,0))</f>
        <v>0</v>
      </c>
      <c r="BC60" s="191"/>
      <c r="BD60" s="191"/>
    </row>
    <row r="61" spans="2:90" ht="15" customHeight="1" x14ac:dyDescent="0.3">
      <c r="B61" s="96" t="s">
        <v>57</v>
      </c>
      <c r="C61" s="92"/>
      <c r="D61" s="92"/>
      <c r="E61" s="92"/>
      <c r="F61" s="92"/>
      <c r="G61" s="92"/>
      <c r="H61" s="91"/>
      <c r="I61" s="190" cm="1">
        <f t="array" ref="I61">SUMPRODUCT((고객경험단계별NPS_RAW!$A:$A="KB 스타뱅킹") * (고객경험단계별NPS_RAW!$B:$B=TRIM(B61)) * IFERROR(--고객경험단계별NPS_RAW!$C:$C,0))</f>
        <v>0</v>
      </c>
      <c r="J61" s="191"/>
      <c r="K61" s="192"/>
      <c r="L61" s="193" cm="1">
        <f t="array" ref="L61">SUMPRODUCT((고객경험단계별NPS_RAW!$A:$A="KB 스타뱅킹") * (고객경험단계별NPS_RAW!$B:$B=TRIM(B61)) * IFERROR(--고객경험단계별NPS_RAW!$D:$D,0))</f>
        <v>0</v>
      </c>
      <c r="M61" s="193"/>
      <c r="N61" s="190"/>
      <c r="P61" s="96"/>
      <c r="Q61" s="92"/>
      <c r="R61" s="92"/>
      <c r="S61" s="92"/>
      <c r="T61" s="92"/>
      <c r="U61" s="92"/>
      <c r="V61" s="91"/>
      <c r="W61" s="193"/>
      <c r="X61" s="193"/>
      <c r="Y61" s="193"/>
      <c r="Z61" s="190"/>
      <c r="AA61" s="191"/>
      <c r="AB61" s="191"/>
      <c r="AD61" s="96"/>
      <c r="AE61" s="92"/>
      <c r="AF61" s="92"/>
      <c r="AG61" s="92"/>
      <c r="AH61" s="92"/>
      <c r="AI61" s="92"/>
      <c r="AJ61" s="91"/>
      <c r="AK61" s="193"/>
      <c r="AL61" s="193"/>
      <c r="AM61" s="193"/>
      <c r="AN61" s="190"/>
      <c r="AO61" s="191"/>
      <c r="AP61" s="191"/>
      <c r="AR61" s="96"/>
      <c r="AS61" s="92"/>
      <c r="AT61" s="92"/>
      <c r="AU61" s="92"/>
      <c r="AV61" s="92"/>
      <c r="AW61" s="92"/>
      <c r="AX61" s="91"/>
      <c r="AY61" s="193"/>
      <c r="AZ61" s="193"/>
      <c r="BA61" s="193"/>
      <c r="BB61" s="190"/>
      <c r="BC61" s="191"/>
      <c r="BD61" s="191"/>
    </row>
    <row r="62" spans="2:90" ht="15" customHeight="1" thickBot="1" x14ac:dyDescent="0.35">
      <c r="B62" s="97" t="s">
        <v>58</v>
      </c>
      <c r="C62" s="94"/>
      <c r="D62" s="94"/>
      <c r="E62" s="94"/>
      <c r="F62" s="94"/>
      <c r="G62" s="94"/>
      <c r="H62" s="93"/>
      <c r="I62" s="199" cm="1">
        <f t="array" ref="I62">SUMPRODUCT((고객경험단계별NPS_RAW!$A:$A="KB 스타뱅킹") * (고객경험단계별NPS_RAW!$B:$B=TRIM(B62)) * IFERROR(--고객경험단계별NPS_RAW!$C:$C,0))</f>
        <v>0</v>
      </c>
      <c r="J62" s="200"/>
      <c r="K62" s="201"/>
      <c r="L62" s="199" cm="1">
        <f t="array" ref="L62">SUMPRODUCT((고객경험단계별NPS_RAW!$A:$A="KB 스타뱅킹") * (고객경험단계별NPS_RAW!$B:$B=TRIM(B62)) * IFERROR(--고객경험단계별NPS_RAW!$D:$D,0))</f>
        <v>0</v>
      </c>
      <c r="M62" s="200"/>
      <c r="N62" s="200"/>
      <c r="P62" s="97"/>
      <c r="Q62" s="94"/>
      <c r="R62" s="94"/>
      <c r="S62" s="94"/>
      <c r="T62" s="94"/>
      <c r="U62" s="94"/>
      <c r="V62" s="93"/>
      <c r="W62" s="205"/>
      <c r="X62" s="205"/>
      <c r="Y62" s="205"/>
      <c r="Z62" s="199"/>
      <c r="AA62" s="200"/>
      <c r="AB62" s="200"/>
      <c r="AD62" s="97"/>
      <c r="AE62" s="94"/>
      <c r="AF62" s="94"/>
      <c r="AG62" s="94"/>
      <c r="AH62" s="94"/>
      <c r="AI62" s="94"/>
      <c r="AJ62" s="93"/>
      <c r="AK62" s="205"/>
      <c r="AL62" s="205"/>
      <c r="AM62" s="205"/>
      <c r="AN62" s="199"/>
      <c r="AO62" s="200"/>
      <c r="AP62" s="200"/>
      <c r="AR62" s="97"/>
      <c r="AS62" s="94"/>
      <c r="AT62" s="94"/>
      <c r="AU62" s="94"/>
      <c r="AV62" s="94"/>
      <c r="AW62" s="94"/>
      <c r="AX62" s="93"/>
      <c r="AY62" s="205"/>
      <c r="AZ62" s="205"/>
      <c r="BA62" s="205"/>
      <c r="BB62" s="199"/>
      <c r="BC62" s="200"/>
      <c r="BD62" s="200"/>
    </row>
  </sheetData>
  <mergeCells count="257">
    <mergeCell ref="AO46:AR46"/>
    <mergeCell ref="U44:X44"/>
    <mergeCell ref="Y44:AB44"/>
    <mergeCell ref="Q44:T44"/>
    <mergeCell ref="AW36:BD36"/>
    <mergeCell ref="AW35:BD35"/>
    <mergeCell ref="AW34:BD34"/>
    <mergeCell ref="Q46:T46"/>
    <mergeCell ref="U46:X46"/>
    <mergeCell ref="Y46:AB46"/>
    <mergeCell ref="Q43:T43"/>
    <mergeCell ref="U43:X43"/>
    <mergeCell ref="Y43:AB43"/>
    <mergeCell ref="U42:X42"/>
    <mergeCell ref="Y42:AB42"/>
    <mergeCell ref="Q42:T42"/>
    <mergeCell ref="Q41:T41"/>
    <mergeCell ref="U41:X41"/>
    <mergeCell ref="Y41:AB41"/>
    <mergeCell ref="U39:X39"/>
    <mergeCell ref="Y39:AB39"/>
    <mergeCell ref="Q39:T39"/>
    <mergeCell ref="Y35:AB35"/>
    <mergeCell ref="Q35:T35"/>
    <mergeCell ref="AW33:BD33"/>
    <mergeCell ref="AW32:BD32"/>
    <mergeCell ref="Q45:T45"/>
    <mergeCell ref="U45:X45"/>
    <mergeCell ref="Y45:AB45"/>
    <mergeCell ref="AC45:AF45"/>
    <mergeCell ref="AG45:AJ45"/>
    <mergeCell ref="AK45:AN45"/>
    <mergeCell ref="AO45:AR45"/>
    <mergeCell ref="AS45:AV45"/>
    <mergeCell ref="AS40:AV40"/>
    <mergeCell ref="AG37:AJ37"/>
    <mergeCell ref="AK37:AN37"/>
    <mergeCell ref="AO37:AR37"/>
    <mergeCell ref="AS37:AV37"/>
    <mergeCell ref="AC38:AF38"/>
    <mergeCell ref="AG38:AJ38"/>
    <mergeCell ref="Q36:T36"/>
    <mergeCell ref="U36:X36"/>
    <mergeCell ref="Q40:T40"/>
    <mergeCell ref="U40:X40"/>
    <mergeCell ref="Y40:AB40"/>
    <mergeCell ref="U38:X38"/>
    <mergeCell ref="Y38:AB38"/>
    <mergeCell ref="AK12:AR12"/>
    <mergeCell ref="AV12:BC12"/>
    <mergeCell ref="AK30:AN30"/>
    <mergeCell ref="AO30:AR30"/>
    <mergeCell ref="AS30:AV30"/>
    <mergeCell ref="AW47:BD47"/>
    <mergeCell ref="AW46:BD46"/>
    <mergeCell ref="AW45:BD45"/>
    <mergeCell ref="AW44:BD44"/>
    <mergeCell ref="AW43:BD43"/>
    <mergeCell ref="AW42:BD42"/>
    <mergeCell ref="AW41:BD41"/>
    <mergeCell ref="AW40:BD40"/>
    <mergeCell ref="AW39:BD39"/>
    <mergeCell ref="AS46:AV46"/>
    <mergeCell ref="AK41:AN41"/>
    <mergeCell ref="AO41:AR41"/>
    <mergeCell ref="AS41:AV41"/>
    <mergeCell ref="AK43:AN43"/>
    <mergeCell ref="AO43:AR43"/>
    <mergeCell ref="AS43:AV43"/>
    <mergeCell ref="AK44:AN44"/>
    <mergeCell ref="AO40:AR40"/>
    <mergeCell ref="AK46:AN46"/>
    <mergeCell ref="AC47:AF47"/>
    <mergeCell ref="AG47:AJ47"/>
    <mergeCell ref="AK47:AN47"/>
    <mergeCell ref="AO47:AR47"/>
    <mergeCell ref="AS47:AV47"/>
    <mergeCell ref="AW38:BD38"/>
    <mergeCell ref="AW37:BD37"/>
    <mergeCell ref="AG41:AJ41"/>
    <mergeCell ref="AC43:AF43"/>
    <mergeCell ref="AG43:AJ43"/>
    <mergeCell ref="AC44:AF44"/>
    <mergeCell ref="AG44:AJ44"/>
    <mergeCell ref="AC40:AF40"/>
    <mergeCell ref="AG40:AJ40"/>
    <mergeCell ref="AC46:AF46"/>
    <mergeCell ref="AG46:AJ46"/>
    <mergeCell ref="AS38:AV38"/>
    <mergeCell ref="AC39:AF39"/>
    <mergeCell ref="AG39:AJ39"/>
    <mergeCell ref="AK39:AN39"/>
    <mergeCell ref="AO39:AR39"/>
    <mergeCell ref="AS39:AV39"/>
    <mergeCell ref="AC41:AF41"/>
    <mergeCell ref="AK38:AN38"/>
    <mergeCell ref="AF23:AO23"/>
    <mergeCell ref="AT23:BC23"/>
    <mergeCell ref="AO44:AR44"/>
    <mergeCell ref="AS44:AV44"/>
    <mergeCell ref="AC42:AF42"/>
    <mergeCell ref="AG42:AJ42"/>
    <mergeCell ref="AK42:AN42"/>
    <mergeCell ref="AO42:AR42"/>
    <mergeCell ref="AS42:AV42"/>
    <mergeCell ref="AC35:AF35"/>
    <mergeCell ref="AG35:AJ35"/>
    <mergeCell ref="AK35:AN35"/>
    <mergeCell ref="AO35:AR35"/>
    <mergeCell ref="AS35:AV35"/>
    <mergeCell ref="AC36:AF36"/>
    <mergeCell ref="AG36:AJ36"/>
    <mergeCell ref="AK36:AN36"/>
    <mergeCell ref="AO36:AR36"/>
    <mergeCell ref="AS36:AV36"/>
    <mergeCell ref="AC37:AF37"/>
    <mergeCell ref="AW31:BD31"/>
    <mergeCell ref="AW30:BD30"/>
    <mergeCell ref="AK40:AN40"/>
    <mergeCell ref="AO38:AR38"/>
    <mergeCell ref="D12:K12"/>
    <mergeCell ref="O12:V12"/>
    <mergeCell ref="Z12:AG12"/>
    <mergeCell ref="AY62:BA62"/>
    <mergeCell ref="BB62:BD62"/>
    <mergeCell ref="AK62:AM62"/>
    <mergeCell ref="AN62:AP62"/>
    <mergeCell ref="AY55:BA55"/>
    <mergeCell ref="BB55:BD55"/>
    <mergeCell ref="AY56:BA56"/>
    <mergeCell ref="BB56:BD56"/>
    <mergeCell ref="AY57:BA57"/>
    <mergeCell ref="BB57:BD57"/>
    <mergeCell ref="AY58:BA58"/>
    <mergeCell ref="BB58:BD58"/>
    <mergeCell ref="AY59:BA59"/>
    <mergeCell ref="BB59:BD59"/>
    <mergeCell ref="AY60:BA60"/>
    <mergeCell ref="BB60:BD60"/>
    <mergeCell ref="AY61:BA61"/>
    <mergeCell ref="BB61:BD61"/>
    <mergeCell ref="W62:Y62"/>
    <mergeCell ref="D23:M23"/>
    <mergeCell ref="R23:AA23"/>
    <mergeCell ref="Z62:AB62"/>
    <mergeCell ref="AK55:AM55"/>
    <mergeCell ref="AN55:AP55"/>
    <mergeCell ref="AK56:AM56"/>
    <mergeCell ref="AN56:AP56"/>
    <mergeCell ref="AK57:AM57"/>
    <mergeCell ref="AN57:AP57"/>
    <mergeCell ref="AK58:AM58"/>
    <mergeCell ref="AN58:AP58"/>
    <mergeCell ref="AK59:AM59"/>
    <mergeCell ref="AN59:AP59"/>
    <mergeCell ref="AK60:AM60"/>
    <mergeCell ref="AN60:AP60"/>
    <mergeCell ref="AK61:AM61"/>
    <mergeCell ref="AN61:AP61"/>
    <mergeCell ref="I62:K62"/>
    <mergeCell ref="L62:N62"/>
    <mergeCell ref="W55:Y55"/>
    <mergeCell ref="Z55:AB55"/>
    <mergeCell ref="W56:Y56"/>
    <mergeCell ref="Z56:AB56"/>
    <mergeCell ref="W57:Y57"/>
    <mergeCell ref="Z57:AB57"/>
    <mergeCell ref="W58:Y58"/>
    <mergeCell ref="Z58:AB58"/>
    <mergeCell ref="W59:Y59"/>
    <mergeCell ref="Z59:AB59"/>
    <mergeCell ref="W60:Y60"/>
    <mergeCell ref="Z60:AB60"/>
    <mergeCell ref="W61:Y61"/>
    <mergeCell ref="Z61:AB61"/>
    <mergeCell ref="I59:K59"/>
    <mergeCell ref="L59:N59"/>
    <mergeCell ref="I60:K60"/>
    <mergeCell ref="L60:N60"/>
    <mergeCell ref="I61:K61"/>
    <mergeCell ref="L61:N61"/>
    <mergeCell ref="I56:K56"/>
    <mergeCell ref="L56:N56"/>
    <mergeCell ref="I57:K57"/>
    <mergeCell ref="L57:N57"/>
    <mergeCell ref="I58:K58"/>
    <mergeCell ref="L58:N58"/>
    <mergeCell ref="I55:K55"/>
    <mergeCell ref="L55:N55"/>
    <mergeCell ref="U47:X47"/>
    <mergeCell ref="Y47:AB47"/>
    <mergeCell ref="M47:P47"/>
    <mergeCell ref="Q47:T47"/>
    <mergeCell ref="AG34:AJ34"/>
    <mergeCell ref="AK34:AN34"/>
    <mergeCell ref="AO34:AR34"/>
    <mergeCell ref="AS34:AV34"/>
    <mergeCell ref="U33:X33"/>
    <mergeCell ref="Y33:AB33"/>
    <mergeCell ref="AC33:AF33"/>
    <mergeCell ref="AG33:AJ33"/>
    <mergeCell ref="AK33:AN33"/>
    <mergeCell ref="AO33:AR33"/>
    <mergeCell ref="AS32:AV32"/>
    <mergeCell ref="U31:X31"/>
    <mergeCell ref="Y31:AB31"/>
    <mergeCell ref="AC31:AF31"/>
    <mergeCell ref="AG31:AJ31"/>
    <mergeCell ref="AK31:AN31"/>
    <mergeCell ref="Q31:T31"/>
    <mergeCell ref="AG30:AJ30"/>
    <mergeCell ref="AS33:AV33"/>
    <mergeCell ref="Q33:T33"/>
    <mergeCell ref="AO31:AR31"/>
    <mergeCell ref="AS31:AV31"/>
    <mergeCell ref="AC32:AF32"/>
    <mergeCell ref="AG32:AJ32"/>
    <mergeCell ref="AK32:AN32"/>
    <mergeCell ref="AO32:AR32"/>
    <mergeCell ref="Q30:T30"/>
    <mergeCell ref="M45:P45"/>
    <mergeCell ref="U30:X30"/>
    <mergeCell ref="Y30:AB30"/>
    <mergeCell ref="Y36:AB36"/>
    <mergeCell ref="U35:X35"/>
    <mergeCell ref="Q32:T32"/>
    <mergeCell ref="U32:X32"/>
    <mergeCell ref="Y32:AB32"/>
    <mergeCell ref="AC30:AF30"/>
    <mergeCell ref="Q34:T34"/>
    <mergeCell ref="U34:X34"/>
    <mergeCell ref="Y34:AB34"/>
    <mergeCell ref="AC34:AF34"/>
    <mergeCell ref="B30:E35"/>
    <mergeCell ref="B36:E38"/>
    <mergeCell ref="B39:E41"/>
    <mergeCell ref="U37:X37"/>
    <mergeCell ref="Y37:AB37"/>
    <mergeCell ref="Q37:T37"/>
    <mergeCell ref="Q38:T38"/>
    <mergeCell ref="B42:E46"/>
    <mergeCell ref="M30:P30"/>
    <mergeCell ref="M31:P31"/>
    <mergeCell ref="M32:P32"/>
    <mergeCell ref="M33:P33"/>
    <mergeCell ref="M34:P34"/>
    <mergeCell ref="M35:P35"/>
    <mergeCell ref="M36:P36"/>
    <mergeCell ref="M37:P37"/>
    <mergeCell ref="M38:P38"/>
    <mergeCell ref="M39:P39"/>
    <mergeCell ref="M41:P41"/>
    <mergeCell ref="M42:P42"/>
    <mergeCell ref="M43:P43"/>
    <mergeCell ref="M44:P44"/>
    <mergeCell ref="M46:P46"/>
    <mergeCell ref="M40:P40"/>
  </mergeCells>
  <phoneticPr fontId="2" type="noConversion"/>
  <printOptions horizontalCentered="1"/>
  <pageMargins left="0.51181102362204722" right="0.51181102362204722" top="0.55118110236220474" bottom="0.55118110236220474" header="0.31496062992125984" footer="0.31496062992125984"/>
  <pageSetup paperSize="9"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C887F-1C99-4910-9545-8B9A3BE1DF9B}">
  <sheetPr>
    <tabColor rgb="FFFFC000"/>
    <pageSetUpPr fitToPage="1"/>
  </sheetPr>
  <dimension ref="B1:BN70"/>
  <sheetViews>
    <sheetView showGridLines="0" view="pageBreakPreview" zoomScaleNormal="85" zoomScaleSheetLayoutView="100" workbookViewId="0">
      <selection activeCell="BF3" sqref="BF3"/>
    </sheetView>
  </sheetViews>
  <sheetFormatPr defaultColWidth="9.625" defaultRowHeight="15" x14ac:dyDescent="0.3"/>
  <cols>
    <col min="1" max="57" width="1.625" style="18" customWidth="1"/>
    <col min="58" max="16384" width="9.625" style="18"/>
  </cols>
  <sheetData>
    <row r="1" spans="2:57" ht="8.1" customHeight="1" x14ac:dyDescent="0.3"/>
    <row r="2" spans="2:57" ht="24" customHeight="1" x14ac:dyDescent="0.35">
      <c r="B2" s="9" t="s">
        <v>89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"/>
      <c r="Q2" s="1"/>
      <c r="R2" s="2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"/>
      <c r="AG2" s="1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10" t="s">
        <v>65</v>
      </c>
    </row>
    <row r="3" spans="2:57" ht="15" customHeight="1" x14ac:dyDescent="0.3"/>
    <row r="4" spans="2:57" ht="15" customHeight="1" x14ac:dyDescent="0.25">
      <c r="B4" s="11" t="s">
        <v>90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3"/>
      <c r="Q4" s="3"/>
      <c r="R4" s="3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2:57" ht="8.1" customHeight="1" x14ac:dyDescent="0.25">
      <c r="B5" s="4"/>
      <c r="P5" s="5"/>
      <c r="Q5" s="5"/>
      <c r="R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2:57" s="99" customFormat="1" ht="15" customHeight="1" x14ac:dyDescent="0.2">
      <c r="B6" s="98" t="s">
        <v>123</v>
      </c>
      <c r="P6" s="100"/>
      <c r="AF6" s="100"/>
    </row>
    <row r="7" spans="2:57" s="99" customFormat="1" ht="15" customHeight="1" x14ac:dyDescent="0.2">
      <c r="B7" s="98" t="s">
        <v>119</v>
      </c>
      <c r="P7" s="100"/>
      <c r="AF7" s="100"/>
    </row>
    <row r="8" spans="2:57" ht="8.1" customHeight="1" x14ac:dyDescent="0.3"/>
    <row r="9" spans="2:57" ht="8.1" customHeight="1" x14ac:dyDescent="0.3">
      <c r="C9" s="20"/>
      <c r="D9" s="21"/>
      <c r="E9" s="21"/>
      <c r="F9" s="21"/>
      <c r="G9" s="21"/>
      <c r="H9" s="21"/>
      <c r="I9" s="21"/>
      <c r="J9" s="21"/>
      <c r="K9" s="21"/>
      <c r="L9" s="22"/>
      <c r="M9" s="23"/>
      <c r="N9" s="20"/>
      <c r="O9" s="21"/>
      <c r="P9" s="21"/>
      <c r="Q9" s="21"/>
      <c r="R9" s="21"/>
      <c r="S9" s="21"/>
      <c r="T9" s="21"/>
      <c r="U9" s="21"/>
      <c r="V9" s="21"/>
      <c r="W9" s="22"/>
      <c r="X9" s="23"/>
      <c r="Y9" s="20"/>
      <c r="Z9" s="21"/>
      <c r="AA9" s="21"/>
      <c r="AB9" s="21"/>
      <c r="AC9" s="21"/>
      <c r="AD9" s="21"/>
      <c r="AE9" s="21"/>
      <c r="AF9" s="21"/>
      <c r="AG9" s="21"/>
      <c r="AH9" s="22"/>
      <c r="AI9" s="23"/>
      <c r="AJ9" s="20"/>
      <c r="AK9" s="21"/>
      <c r="AL9" s="21"/>
      <c r="AM9" s="21"/>
      <c r="AN9" s="21"/>
      <c r="AO9" s="21"/>
      <c r="AP9" s="21"/>
      <c r="AQ9" s="21"/>
      <c r="AR9" s="21"/>
      <c r="AS9" s="22"/>
      <c r="AU9" s="20"/>
      <c r="AV9" s="21"/>
      <c r="AW9" s="21"/>
      <c r="AX9" s="21"/>
      <c r="AY9" s="21"/>
      <c r="AZ9" s="21"/>
      <c r="BA9" s="21"/>
      <c r="BB9" s="21"/>
      <c r="BC9" s="21"/>
      <c r="BD9" s="22"/>
    </row>
    <row r="10" spans="2:57" s="24" customFormat="1" ht="16.5" customHeight="1" x14ac:dyDescent="0.3">
      <c r="C10" s="13" t="s">
        <v>42</v>
      </c>
      <c r="D10" s="14"/>
      <c r="E10" s="14"/>
      <c r="F10" s="14"/>
      <c r="G10" s="14"/>
      <c r="H10" s="14"/>
      <c r="I10" s="14"/>
      <c r="J10" s="14"/>
      <c r="K10" s="25"/>
      <c r="L10" s="26"/>
      <c r="M10" s="27"/>
      <c r="N10" s="13" t="s">
        <v>43</v>
      </c>
      <c r="O10" s="14"/>
      <c r="P10" s="14"/>
      <c r="Q10" s="14"/>
      <c r="R10" s="14"/>
      <c r="S10" s="14"/>
      <c r="T10" s="14"/>
      <c r="U10" s="14"/>
      <c r="V10" s="25"/>
      <c r="W10" s="26"/>
      <c r="X10" s="27"/>
      <c r="Y10" s="13" t="s">
        <v>44</v>
      </c>
      <c r="Z10" s="14"/>
      <c r="AA10" s="14"/>
      <c r="AB10" s="14"/>
      <c r="AC10" s="14"/>
      <c r="AD10" s="14"/>
      <c r="AE10" s="14"/>
      <c r="AF10" s="14"/>
      <c r="AG10" s="25"/>
      <c r="AH10" s="26"/>
      <c r="AI10" s="27"/>
      <c r="AJ10" s="13" t="s">
        <v>92</v>
      </c>
      <c r="AK10" s="14"/>
      <c r="AL10" s="14"/>
      <c r="AM10" s="14"/>
      <c r="AN10" s="14"/>
      <c r="AO10" s="14"/>
      <c r="AP10" s="14"/>
      <c r="AQ10" s="14"/>
      <c r="AR10" s="25"/>
      <c r="AS10" s="26"/>
      <c r="AU10" s="13" t="s">
        <v>45</v>
      </c>
      <c r="AV10" s="14"/>
      <c r="AW10" s="14"/>
      <c r="AX10" s="14"/>
      <c r="AY10" s="14"/>
      <c r="AZ10" s="14"/>
      <c r="BA10" s="14"/>
      <c r="BB10" s="14"/>
      <c r="BC10" s="25"/>
      <c r="BD10" s="26"/>
    </row>
    <row r="11" spans="2:57" ht="8.1" customHeight="1" x14ac:dyDescent="0.3">
      <c r="C11" s="28"/>
      <c r="D11" s="29"/>
      <c r="E11" s="29"/>
      <c r="F11" s="29"/>
      <c r="G11" s="29"/>
      <c r="H11" s="29"/>
      <c r="I11" s="29"/>
      <c r="J11" s="29"/>
      <c r="K11" s="29"/>
      <c r="L11" s="30"/>
      <c r="M11" s="23"/>
      <c r="N11" s="28"/>
      <c r="O11" s="29"/>
      <c r="P11" s="29"/>
      <c r="Q11" s="29"/>
      <c r="R11" s="29"/>
      <c r="S11" s="29"/>
      <c r="T11" s="29"/>
      <c r="U11" s="29"/>
      <c r="V11" s="29"/>
      <c r="W11" s="30"/>
      <c r="X11" s="23"/>
      <c r="Y11" s="28"/>
      <c r="Z11" s="29"/>
      <c r="AA11" s="29"/>
      <c r="AB11" s="29"/>
      <c r="AC11" s="29"/>
      <c r="AD11" s="29"/>
      <c r="AE11" s="29"/>
      <c r="AF11" s="29"/>
      <c r="AG11" s="29"/>
      <c r="AH11" s="30"/>
      <c r="AI11" s="23"/>
      <c r="AJ11" s="28"/>
      <c r="AK11" s="29"/>
      <c r="AL11" s="29"/>
      <c r="AM11" s="29"/>
      <c r="AN11" s="29"/>
      <c r="AO11" s="29"/>
      <c r="AP11" s="29"/>
      <c r="AQ11" s="29"/>
      <c r="AR11" s="29"/>
      <c r="AS11" s="30"/>
      <c r="AU11" s="28"/>
      <c r="AV11" s="29"/>
      <c r="AW11" s="29"/>
      <c r="AX11" s="29"/>
      <c r="AY11" s="29"/>
      <c r="AZ11" s="29"/>
      <c r="BA11" s="29"/>
      <c r="BB11" s="29"/>
      <c r="BC11" s="29"/>
      <c r="BD11" s="30"/>
    </row>
    <row r="12" spans="2:57" s="31" customFormat="1" ht="16.5" customHeight="1" x14ac:dyDescent="0.3">
      <c r="C12" s="15"/>
      <c r="D12" s="203" t="e">
        <f>(IFERROR(COUNTIFS(NPS관리활동_RAW!$G:$G, "*긍정*"),0)-IFERROR(COUNTIFS(NPS관리활동_RAW!$G:$G, "*부정*"),0))/IFERROR(COUNTA(NPS관리활동_RAW!$D:$D), 1)*100</f>
        <v>#DIV/0!</v>
      </c>
      <c r="E12" s="203"/>
      <c r="F12" s="203"/>
      <c r="G12" s="203"/>
      <c r="H12" s="203"/>
      <c r="I12" s="203"/>
      <c r="J12" s="203"/>
      <c r="K12" s="203"/>
      <c r="L12" s="16"/>
      <c r="M12" s="32"/>
      <c r="N12" s="15"/>
      <c r="O12" s="203" t="e">
        <f>I42</f>
        <v>#DIV/0!</v>
      </c>
      <c r="P12" s="203"/>
      <c r="Q12" s="203"/>
      <c r="R12" s="203"/>
      <c r="S12" s="203"/>
      <c r="T12" s="203"/>
      <c r="U12" s="203"/>
      <c r="V12" s="203"/>
      <c r="W12" s="16" t="s">
        <v>170</v>
      </c>
      <c r="X12" s="32"/>
      <c r="Y12" s="15"/>
      <c r="Z12" s="203" t="e">
        <f>I51</f>
        <v>#DIV/0!</v>
      </c>
      <c r="AA12" s="203"/>
      <c r="AB12" s="203"/>
      <c r="AC12" s="203"/>
      <c r="AD12" s="203"/>
      <c r="AE12" s="203"/>
      <c r="AF12" s="203"/>
      <c r="AG12" s="203"/>
      <c r="AH12" s="16" t="s">
        <v>171</v>
      </c>
      <c r="AI12" s="32"/>
      <c r="AJ12" s="15"/>
      <c r="AK12" s="203" t="e">
        <f>I57</f>
        <v>#DIV/0!</v>
      </c>
      <c r="AL12" s="203"/>
      <c r="AM12" s="203"/>
      <c r="AN12" s="203"/>
      <c r="AO12" s="203"/>
      <c r="AP12" s="203"/>
      <c r="AQ12" s="203"/>
      <c r="AR12" s="203"/>
      <c r="AS12" s="16" t="s">
        <v>172</v>
      </c>
      <c r="AU12" s="15"/>
      <c r="AV12" s="203" t="e">
        <f>I64</f>
        <v>#DIV/0!</v>
      </c>
      <c r="AW12" s="203"/>
      <c r="AX12" s="203"/>
      <c r="AY12" s="203"/>
      <c r="AZ12" s="203"/>
      <c r="BA12" s="203"/>
      <c r="BB12" s="203"/>
      <c r="BC12" s="203"/>
      <c r="BD12" s="16" t="s">
        <v>173</v>
      </c>
    </row>
    <row r="13" spans="2:57" s="33" customFormat="1" ht="8.1" customHeight="1" x14ac:dyDescent="0.3">
      <c r="C13" s="34"/>
      <c r="D13" s="35"/>
      <c r="E13" s="35"/>
      <c r="F13" s="35"/>
      <c r="G13" s="35"/>
      <c r="H13" s="35"/>
      <c r="I13" s="35"/>
      <c r="J13" s="36"/>
      <c r="K13" s="36"/>
      <c r="L13" s="37"/>
      <c r="M13" s="23"/>
      <c r="N13" s="34"/>
      <c r="O13" s="35"/>
      <c r="P13" s="35"/>
      <c r="Q13" s="35"/>
      <c r="R13" s="35"/>
      <c r="S13" s="35"/>
      <c r="T13" s="35"/>
      <c r="U13" s="36"/>
      <c r="V13" s="36"/>
      <c r="W13" s="37"/>
      <c r="X13" s="23"/>
      <c r="Y13" s="34"/>
      <c r="Z13" s="35"/>
      <c r="AA13" s="35"/>
      <c r="AB13" s="35"/>
      <c r="AC13" s="35"/>
      <c r="AD13" s="35"/>
      <c r="AE13" s="35"/>
      <c r="AF13" s="36"/>
      <c r="AG13" s="36"/>
      <c r="AH13" s="37"/>
      <c r="AI13" s="23"/>
      <c r="AJ13" s="34"/>
      <c r="AK13" s="35"/>
      <c r="AL13" s="35"/>
      <c r="AM13" s="35"/>
      <c r="AN13" s="35"/>
      <c r="AO13" s="35"/>
      <c r="AP13" s="35"/>
      <c r="AQ13" s="36"/>
      <c r="AR13" s="36"/>
      <c r="AS13" s="37"/>
      <c r="AU13" s="34"/>
      <c r="AV13" s="35"/>
      <c r="AW13" s="35"/>
      <c r="AX13" s="35"/>
      <c r="AY13" s="35"/>
      <c r="AZ13" s="35"/>
      <c r="BA13" s="35"/>
      <c r="BB13" s="36"/>
      <c r="BC13" s="36"/>
      <c r="BD13" s="37"/>
    </row>
    <row r="14" spans="2:57" s="81" customFormat="1" ht="16.5" customHeight="1" x14ac:dyDescent="0.3">
      <c r="C14" s="82" t="s">
        <v>1</v>
      </c>
      <c r="D14" s="83"/>
      <c r="E14" s="83"/>
      <c r="F14" s="83"/>
      <c r="G14" s="83"/>
      <c r="H14" s="83"/>
      <c r="I14" s="154" t="e" cm="1">
        <f t="array" ref="I14">ROUND(D12-(SUMPRODUCT(--(NPS관리활동_RAW!A:A&lt;=$BH$43)*(NPS관리활동_RAW!$G:$G="긍정"))-SUMPRODUCT(--(NPS관리활동_RAW!A:A&lt;=$BH$43)*(NPS관리활동_RAW!$G:$G="부정")))/SUMPRODUCT(--(NPS관리활동_RAW!A:A&lt;=$BH$43)*(NPS관리활동_RAW!A:A &lt;&gt;""))*100,1)</f>
        <v>#DIV/0!</v>
      </c>
      <c r="J14" s="83"/>
      <c r="K14" s="83"/>
      <c r="L14" s="84"/>
      <c r="M14" s="85"/>
      <c r="N14" s="82" t="s">
        <v>1</v>
      </c>
      <c r="O14" s="83"/>
      <c r="P14" s="83"/>
      <c r="Q14" s="83"/>
      <c r="R14" s="83"/>
      <c r="S14" s="83"/>
      <c r="T14" s="154" t="e">
        <f>O42</f>
        <v>#DIV/0!</v>
      </c>
      <c r="U14" s="83"/>
      <c r="V14" s="83"/>
      <c r="W14" s="84"/>
      <c r="X14" s="85"/>
      <c r="Y14" s="82" t="s">
        <v>1</v>
      </c>
      <c r="Z14" s="83"/>
      <c r="AA14" s="83"/>
      <c r="AB14" s="83"/>
      <c r="AC14" s="83"/>
      <c r="AD14" s="83"/>
      <c r="AE14" s="154" t="e">
        <f>O51</f>
        <v>#DIV/0!</v>
      </c>
      <c r="AF14" s="83"/>
      <c r="AG14" s="83"/>
      <c r="AH14" s="84"/>
      <c r="AI14" s="85"/>
      <c r="AJ14" s="82" t="s">
        <v>1</v>
      </c>
      <c r="AK14" s="83"/>
      <c r="AL14" s="83"/>
      <c r="AM14" s="83"/>
      <c r="AN14" s="83"/>
      <c r="AO14" s="83"/>
      <c r="AP14" s="154" t="e">
        <f>O57</f>
        <v>#DIV/0!</v>
      </c>
      <c r="AQ14" s="83"/>
      <c r="AR14" s="83"/>
      <c r="AS14" s="84"/>
      <c r="AU14" s="82" t="s">
        <v>1</v>
      </c>
      <c r="AV14" s="83"/>
      <c r="AW14" s="83"/>
      <c r="AX14" s="83"/>
      <c r="AY14" s="83"/>
      <c r="AZ14" s="83"/>
      <c r="BA14" s="154" t="e">
        <f>O64</f>
        <v>#DIV/0!</v>
      </c>
      <c r="BB14" s="83"/>
      <c r="BC14" s="83"/>
      <c r="BD14" s="84"/>
    </row>
    <row r="15" spans="2:57" s="81" customFormat="1" ht="16.5" customHeight="1" x14ac:dyDescent="0.3">
      <c r="C15" s="82" t="s">
        <v>2</v>
      </c>
      <c r="D15" s="83"/>
      <c r="E15" s="83"/>
      <c r="F15" s="83"/>
      <c r="G15" s="83"/>
      <c r="H15" s="83"/>
      <c r="I15" s="154" t="e" cm="1">
        <f t="array" ref="I15">ROUND(D12-(SUMPRODUCT(--(NPS관리활동_RAW!A:A&lt;=$BH$44)*(NPS관리활동_RAW!$G:$G="긍정"))-SUMPRODUCT(--(NPS관리활동_RAW!A:A&lt;=$BH$44)*(NPS관리활동_RAW!$G:$G="부정")))/SUMPRODUCT(--(NPS관리활동_RAW!A:A&lt;=$BH$44)*(NPS관리활동_RAW!A:A &lt;&gt;""))*100,1)</f>
        <v>#DIV/0!</v>
      </c>
      <c r="J15" s="83"/>
      <c r="K15" s="83"/>
      <c r="L15" s="84"/>
      <c r="M15" s="85"/>
      <c r="N15" s="82" t="s">
        <v>2</v>
      </c>
      <c r="O15" s="83"/>
      <c r="P15" s="83"/>
      <c r="Q15" s="83"/>
      <c r="R15" s="83"/>
      <c r="S15" s="83"/>
      <c r="T15" s="154" t="e" cm="1">
        <f t="array" ref="T15">ROUND(O12-(SUMPRODUCT(--(NPS관리활동_RAW!A:A&lt;=$BH$44)*(NPS관리활동_RAW!$D:$D="KB 스타뱅킹")*(NPS관리활동_RAW!$G:$G="긍정"))-SUMPRODUCT(--(NPS관리활동_RAW!A:A&lt;=$BH$44)*(NPS관리활동_RAW!$D:$D="KB 스타뱅킹")*(NPS관리활동_RAW!$G:$G="부정")))/SUMPRODUCT(--(NPS관리활동_RAW!A:A&lt;=$BH$44)*(NPS관리활동_RAW!$D:$D="KB 스타뱅킹"))*100,1)</f>
        <v>#DIV/0!</v>
      </c>
      <c r="U15" s="83"/>
      <c r="V15" s="83"/>
      <c r="W15" s="84"/>
      <c r="X15" s="85"/>
      <c r="Y15" s="82" t="s">
        <v>2</v>
      </c>
      <c r="Z15" s="83"/>
      <c r="AA15" s="83"/>
      <c r="AB15" s="83"/>
      <c r="AC15" s="83"/>
      <c r="AD15" s="83"/>
      <c r="AE15" s="154" t="e" cm="1">
        <f t="array" ref="AE15">ROUND(Z12-(SUMPRODUCT(--(NPS관리활동_RAW!A:A&lt;=$BH$44)*(NPS관리활동_RAW!$D:$D="영업점")*(NPS관리활동_RAW!$G:$G="긍정"))-SUMPRODUCT(--(NPS관리활동_RAW!A:A&lt;=$BH$44)*(NPS관리활동_RAW!$D:$D="영업점")*(NPS관리활동_RAW!$G:$G="부정")))/SUMPRODUCT(--(NPS관리활동_RAW!A:A&lt;=$BH$44)*(NPS관리활동_RAW!$D:$D="영업점"))*100,1)</f>
        <v>#DIV/0!</v>
      </c>
      <c r="AF15" s="83"/>
      <c r="AG15" s="83"/>
      <c r="AH15" s="84"/>
      <c r="AI15" s="85"/>
      <c r="AJ15" s="82" t="s">
        <v>2</v>
      </c>
      <c r="AK15" s="83"/>
      <c r="AL15" s="83"/>
      <c r="AM15" s="83"/>
      <c r="AN15" s="83"/>
      <c r="AO15" s="83"/>
      <c r="AP15" s="154" t="e" cm="1">
        <f t="array" ref="AP15">ROUND(AK12-(SUMPRODUCT(--(NPS관리활동_RAW!A:A&lt;=$BH$44)*(NPS관리활동_RAW!$D:$D="고객센터")*(NPS관리활동_RAW!$G:$G="긍정"))-SUMPRODUCT(--(NPS관리활동_RAW!A:A&lt;=$BH$44)*(NPS관리활동_RAW!$D:$D="고객센터")*(NPS관리활동_RAW!$G:$G="부정")))/SUMPRODUCT(--(NPS관리활동_RAW!A:A&lt;=$BH$44)*(NPS관리활동_RAW!$D:$D="고객센터"))*100,1)</f>
        <v>#DIV/0!</v>
      </c>
      <c r="AQ15" s="83"/>
      <c r="AR15" s="83"/>
      <c r="AS15" s="84"/>
      <c r="AU15" s="82" t="s">
        <v>2</v>
      </c>
      <c r="AV15" s="83"/>
      <c r="AW15" s="83"/>
      <c r="AX15" s="83"/>
      <c r="AY15" s="83"/>
      <c r="AZ15" s="83"/>
      <c r="BA15" s="154" t="e" cm="1">
        <f t="array" ref="BA15">ROUND(AV12-(SUMPRODUCT(--(NPS관리활동_RAW!A:A&lt;=$BH$44)*(NPS관리활동_RAW!$D:$D="상품")*(NPS관리활동_RAW!$G:$G="긍정"))-SUMPRODUCT(--(NPS관리활동_RAW!A:A&lt;=$BH$44)*(NPS관리활동_RAW!$D:$D="상품")*(NPS관리활동_RAW!$G:$G="부정")))/SUMPRODUCT(--(NPS관리활동_RAW!A:A&lt;=$BH$44)*(NPS관리활동_RAW!$D:$D="상품"))*100,1)</f>
        <v>#DIV/0!</v>
      </c>
      <c r="BB15" s="83"/>
      <c r="BC15" s="83"/>
      <c r="BD15" s="84"/>
    </row>
    <row r="16" spans="2:57" ht="8.1" customHeight="1" x14ac:dyDescent="0.3">
      <c r="C16" s="38"/>
      <c r="D16" s="39"/>
      <c r="E16" s="39"/>
      <c r="F16" s="39"/>
      <c r="G16" s="39"/>
      <c r="H16" s="39"/>
      <c r="I16" s="39"/>
      <c r="J16" s="39"/>
      <c r="K16" s="39"/>
      <c r="L16" s="40"/>
      <c r="M16" s="23"/>
      <c r="N16" s="38"/>
      <c r="O16" s="39"/>
      <c r="P16" s="39"/>
      <c r="Q16" s="39"/>
      <c r="R16" s="39"/>
      <c r="S16" s="39"/>
      <c r="T16" s="39"/>
      <c r="U16" s="39"/>
      <c r="V16" s="39"/>
      <c r="W16" s="40"/>
      <c r="X16" s="23"/>
      <c r="Y16" s="38"/>
      <c r="Z16" s="39"/>
      <c r="AA16" s="39"/>
      <c r="AB16" s="39"/>
      <c r="AC16" s="39"/>
      <c r="AD16" s="39"/>
      <c r="AE16" s="39"/>
      <c r="AF16" s="39"/>
      <c r="AG16" s="39"/>
      <c r="AH16" s="40"/>
      <c r="AI16" s="23"/>
      <c r="AJ16" s="38"/>
      <c r="AK16" s="39"/>
      <c r="AL16" s="39"/>
      <c r="AM16" s="39"/>
      <c r="AN16" s="39"/>
      <c r="AO16" s="39"/>
      <c r="AP16" s="39"/>
      <c r="AQ16" s="39"/>
      <c r="AR16" s="39"/>
      <c r="AS16" s="40"/>
      <c r="AU16" s="38"/>
      <c r="AV16" s="39"/>
      <c r="AW16" s="39"/>
      <c r="AX16" s="39"/>
      <c r="AY16" s="39"/>
      <c r="AZ16" s="39"/>
      <c r="BA16" s="39"/>
      <c r="BB16" s="39"/>
      <c r="BC16" s="39"/>
      <c r="BD16" s="40"/>
    </row>
    <row r="17" spans="2:57" ht="8.1" customHeight="1" x14ac:dyDescent="0.3"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</row>
    <row r="18" spans="2:57" s="81" customFormat="1" ht="12" customHeight="1" x14ac:dyDescent="0.3">
      <c r="B18" s="81" t="s">
        <v>40</v>
      </c>
      <c r="E18" s="106"/>
      <c r="F18" s="106"/>
      <c r="G18" s="106"/>
      <c r="H18" s="106"/>
      <c r="I18" s="106"/>
      <c r="J18" s="106"/>
      <c r="K18" s="106"/>
      <c r="L18" s="106"/>
      <c r="M18" s="106"/>
      <c r="N18" s="107"/>
      <c r="O18" s="107"/>
      <c r="P18" s="107"/>
    </row>
    <row r="19" spans="2:57" s="81" customFormat="1" ht="12" customHeight="1" x14ac:dyDescent="0.3">
      <c r="E19" s="106"/>
      <c r="F19" s="106"/>
      <c r="G19" s="106"/>
      <c r="H19" s="106"/>
      <c r="I19" s="106"/>
      <c r="J19" s="106"/>
      <c r="K19" s="106"/>
      <c r="L19" s="106"/>
      <c r="M19" s="106"/>
      <c r="N19" s="107"/>
      <c r="O19" s="107"/>
      <c r="P19" s="107"/>
    </row>
    <row r="20" spans="2:57" ht="15" customHeight="1" x14ac:dyDescent="0.3"/>
    <row r="21" spans="2:57" ht="15" customHeight="1" x14ac:dyDescent="0.25">
      <c r="B21" s="11" t="s">
        <v>91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3"/>
      <c r="Q21" s="3"/>
      <c r="R21" s="3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2:57" ht="8.1" customHeight="1" x14ac:dyDescent="0.25">
      <c r="B22" s="4"/>
      <c r="P22" s="5"/>
      <c r="Q22" s="5"/>
      <c r="R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2:57" s="99" customFormat="1" ht="15" customHeight="1" x14ac:dyDescent="0.2">
      <c r="B23" s="98" t="s">
        <v>120</v>
      </c>
      <c r="P23" s="100"/>
      <c r="AF23" s="100"/>
    </row>
    <row r="24" spans="2:57" s="99" customFormat="1" ht="15" customHeight="1" x14ac:dyDescent="0.2">
      <c r="B24" s="98" t="s">
        <v>124</v>
      </c>
      <c r="P24" s="100"/>
      <c r="AF24" s="100"/>
    </row>
    <row r="25" spans="2:57" ht="8.1" customHeight="1" x14ac:dyDescent="0.3"/>
    <row r="26" spans="2:57" ht="8.1" customHeight="1" x14ac:dyDescent="0.3">
      <c r="C26" s="20"/>
      <c r="D26" s="21"/>
      <c r="E26" s="21"/>
      <c r="F26" s="21"/>
      <c r="G26" s="21"/>
      <c r="H26" s="21"/>
      <c r="I26" s="21"/>
      <c r="J26" s="21"/>
      <c r="K26" s="21"/>
      <c r="L26" s="22"/>
      <c r="M26" s="23"/>
      <c r="N26" s="20"/>
      <c r="O26" s="21"/>
      <c r="P26" s="21"/>
      <c r="Q26" s="21"/>
      <c r="R26" s="21"/>
      <c r="S26" s="21"/>
      <c r="T26" s="21"/>
      <c r="U26" s="21"/>
      <c r="V26" s="21"/>
      <c r="W26" s="22"/>
      <c r="X26" s="23"/>
      <c r="Y26" s="20"/>
      <c r="Z26" s="21"/>
      <c r="AA26" s="21"/>
      <c r="AB26" s="21"/>
      <c r="AC26" s="21"/>
      <c r="AD26" s="21"/>
      <c r="AE26" s="21"/>
      <c r="AF26" s="21"/>
      <c r="AG26" s="21"/>
      <c r="AH26" s="22"/>
      <c r="AI26" s="23"/>
      <c r="AJ26" s="20"/>
      <c r="AK26" s="21"/>
      <c r="AL26" s="21"/>
      <c r="AM26" s="21"/>
      <c r="AN26" s="21"/>
      <c r="AO26" s="21"/>
      <c r="AP26" s="21"/>
      <c r="AQ26" s="21"/>
      <c r="AR26" s="21"/>
      <c r="AS26" s="22"/>
      <c r="AU26" s="20"/>
      <c r="AV26" s="21"/>
      <c r="AW26" s="21"/>
      <c r="AX26" s="21"/>
      <c r="AY26" s="21"/>
      <c r="AZ26" s="21"/>
      <c r="BA26" s="21"/>
      <c r="BB26" s="21"/>
      <c r="BC26" s="21"/>
      <c r="BD26" s="22"/>
    </row>
    <row r="27" spans="2:57" s="24" customFormat="1" ht="16.5" customHeight="1" x14ac:dyDescent="0.3">
      <c r="C27" s="13" t="s">
        <v>46</v>
      </c>
      <c r="D27" s="14"/>
      <c r="E27" s="14"/>
      <c r="F27" s="14"/>
      <c r="G27" s="14"/>
      <c r="H27" s="14"/>
      <c r="I27" s="14"/>
      <c r="J27" s="14"/>
      <c r="K27" s="25"/>
      <c r="L27" s="26"/>
      <c r="M27" s="27"/>
      <c r="N27" s="13" t="s">
        <v>47</v>
      </c>
      <c r="O27" s="14"/>
      <c r="P27" s="14"/>
      <c r="Q27" s="14"/>
      <c r="R27" s="14"/>
      <c r="S27" s="14"/>
      <c r="T27" s="14"/>
      <c r="U27" s="14"/>
      <c r="V27" s="25"/>
      <c r="W27" s="26"/>
      <c r="X27" s="27"/>
      <c r="Y27" s="13" t="s">
        <v>48</v>
      </c>
      <c r="Z27" s="14"/>
      <c r="AA27" s="14"/>
      <c r="AB27" s="14"/>
      <c r="AC27" s="14"/>
      <c r="AD27" s="14"/>
      <c r="AE27" s="14"/>
      <c r="AF27" s="14"/>
      <c r="AG27" s="25"/>
      <c r="AH27" s="26"/>
      <c r="AI27" s="27"/>
      <c r="AJ27" s="13" t="s">
        <v>93</v>
      </c>
      <c r="AK27" s="14"/>
      <c r="AL27" s="14"/>
      <c r="AM27" s="14"/>
      <c r="AN27" s="14"/>
      <c r="AO27" s="14"/>
      <c r="AP27" s="14"/>
      <c r="AQ27" s="14"/>
      <c r="AR27" s="25"/>
      <c r="AS27" s="26"/>
      <c r="AU27" s="13" t="s">
        <v>49</v>
      </c>
      <c r="AV27" s="14"/>
      <c r="AW27" s="14"/>
      <c r="AX27" s="14"/>
      <c r="AY27" s="14"/>
      <c r="AZ27" s="14"/>
      <c r="BA27" s="14"/>
      <c r="BB27" s="14"/>
      <c r="BC27" s="25"/>
      <c r="BD27" s="26"/>
    </row>
    <row r="28" spans="2:57" ht="8.1" customHeight="1" x14ac:dyDescent="0.3">
      <c r="C28" s="28"/>
      <c r="D28" s="29"/>
      <c r="E28" s="29"/>
      <c r="F28" s="29"/>
      <c r="G28" s="29"/>
      <c r="H28" s="29"/>
      <c r="I28" s="29"/>
      <c r="J28" s="29"/>
      <c r="K28" s="29"/>
      <c r="L28" s="30"/>
      <c r="M28" s="23"/>
      <c r="N28" s="28"/>
      <c r="O28" s="29"/>
      <c r="P28" s="29"/>
      <c r="Q28" s="29"/>
      <c r="R28" s="29"/>
      <c r="S28" s="29"/>
      <c r="T28" s="29"/>
      <c r="U28" s="29"/>
      <c r="V28" s="29"/>
      <c r="W28" s="30"/>
      <c r="X28" s="23"/>
      <c r="Y28" s="28"/>
      <c r="Z28" s="29"/>
      <c r="AA28" s="29"/>
      <c r="AB28" s="29"/>
      <c r="AC28" s="29"/>
      <c r="AD28" s="29"/>
      <c r="AE28" s="29"/>
      <c r="AF28" s="29"/>
      <c r="AG28" s="29"/>
      <c r="AH28" s="30"/>
      <c r="AI28" s="23"/>
      <c r="AJ28" s="28"/>
      <c r="AK28" s="29"/>
      <c r="AL28" s="29"/>
      <c r="AM28" s="29"/>
      <c r="AN28" s="29"/>
      <c r="AO28" s="29"/>
      <c r="AP28" s="29"/>
      <c r="AQ28" s="29"/>
      <c r="AR28" s="29"/>
      <c r="AS28" s="30"/>
      <c r="AU28" s="28"/>
      <c r="AV28" s="29"/>
      <c r="AW28" s="29"/>
      <c r="AX28" s="29"/>
      <c r="AY28" s="29"/>
      <c r="AZ28" s="29"/>
      <c r="BA28" s="29"/>
      <c r="BB28" s="29"/>
      <c r="BC28" s="29"/>
      <c r="BD28" s="30"/>
    </row>
    <row r="29" spans="2:57" s="31" customFormat="1" ht="16.5" customHeight="1" x14ac:dyDescent="0.3">
      <c r="C29" s="15"/>
      <c r="D29" s="203" t="e">
        <f>IFERROR(COUNTIF(NPS관리활동_RAW!$H:$H, "*불만*"),0)/IFERROR(COUNTA(NPS관리활동_RAW!$D:$D), 1) * 100</f>
        <v>#DIV/0!</v>
      </c>
      <c r="E29" s="203"/>
      <c r="F29" s="203"/>
      <c r="G29" s="203"/>
      <c r="H29" s="203"/>
      <c r="I29" s="203"/>
      <c r="J29" s="203"/>
      <c r="K29" s="203"/>
      <c r="L29" s="16"/>
      <c r="M29" s="32"/>
      <c r="N29" s="15"/>
      <c r="O29" s="203" t="e">
        <f>AG42</f>
        <v>#DIV/0!</v>
      </c>
      <c r="P29" s="203"/>
      <c r="Q29" s="203"/>
      <c r="R29" s="203"/>
      <c r="S29" s="203"/>
      <c r="T29" s="203"/>
      <c r="U29" s="203"/>
      <c r="V29" s="203"/>
      <c r="W29" s="16" t="s">
        <v>174</v>
      </c>
      <c r="X29" s="32"/>
      <c r="Y29" s="15"/>
      <c r="Z29" s="203" t="e">
        <f>AG51</f>
        <v>#DIV/0!</v>
      </c>
      <c r="AA29" s="203"/>
      <c r="AB29" s="203"/>
      <c r="AC29" s="203"/>
      <c r="AD29" s="203"/>
      <c r="AE29" s="203"/>
      <c r="AF29" s="203"/>
      <c r="AG29" s="203"/>
      <c r="AH29" s="16" t="s">
        <v>175</v>
      </c>
      <c r="AI29" s="32"/>
      <c r="AJ29" s="15"/>
      <c r="AK29" s="203" t="e">
        <f>AG57</f>
        <v>#DIV/0!</v>
      </c>
      <c r="AL29" s="203"/>
      <c r="AM29" s="203"/>
      <c r="AN29" s="203"/>
      <c r="AO29" s="203"/>
      <c r="AP29" s="203"/>
      <c r="AQ29" s="203"/>
      <c r="AR29" s="203"/>
      <c r="AS29" s="16" t="s">
        <v>176</v>
      </c>
      <c r="AU29" s="15"/>
      <c r="AV29" s="203" t="e">
        <f>AG64</f>
        <v>#DIV/0!</v>
      </c>
      <c r="AW29" s="203"/>
      <c r="AX29" s="203"/>
      <c r="AY29" s="203"/>
      <c r="AZ29" s="203"/>
      <c r="BA29" s="203"/>
      <c r="BB29" s="203"/>
      <c r="BC29" s="203"/>
      <c r="BD29" s="16" t="s">
        <v>177</v>
      </c>
    </row>
    <row r="30" spans="2:57" s="33" customFormat="1" ht="8.1" customHeight="1" x14ac:dyDescent="0.3">
      <c r="C30" s="34"/>
      <c r="D30" s="35"/>
      <c r="E30" s="35"/>
      <c r="F30" s="35"/>
      <c r="G30" s="35"/>
      <c r="H30" s="35"/>
      <c r="I30" s="35"/>
      <c r="J30" s="36"/>
      <c r="K30" s="36"/>
      <c r="L30" s="37"/>
      <c r="M30" s="23"/>
      <c r="N30" s="34"/>
      <c r="O30" s="35"/>
      <c r="P30" s="35"/>
      <c r="Q30" s="35"/>
      <c r="R30" s="35"/>
      <c r="S30" s="35"/>
      <c r="T30" s="35"/>
      <c r="U30" s="36"/>
      <c r="V30" s="36"/>
      <c r="W30" s="37"/>
      <c r="X30" s="23"/>
      <c r="Y30" s="34"/>
      <c r="Z30" s="35"/>
      <c r="AA30" s="35"/>
      <c r="AB30" s="35"/>
      <c r="AC30" s="35"/>
      <c r="AD30" s="35"/>
      <c r="AE30" s="35"/>
      <c r="AF30" s="36"/>
      <c r="AG30" s="36"/>
      <c r="AH30" s="37"/>
      <c r="AI30" s="23"/>
      <c r="AJ30" s="34"/>
      <c r="AK30" s="35"/>
      <c r="AL30" s="35"/>
      <c r="AM30" s="35"/>
      <c r="AN30" s="35"/>
      <c r="AO30" s="35"/>
      <c r="AP30" s="35"/>
      <c r="AQ30" s="36"/>
      <c r="AR30" s="36"/>
      <c r="AS30" s="37"/>
      <c r="AU30" s="34"/>
      <c r="AV30" s="35"/>
      <c r="AW30" s="35"/>
      <c r="AX30" s="35"/>
      <c r="AY30" s="35"/>
      <c r="AZ30" s="35"/>
      <c r="BA30" s="35"/>
      <c r="BB30" s="36"/>
      <c r="BC30" s="36"/>
      <c r="BD30" s="37"/>
    </row>
    <row r="31" spans="2:57" s="81" customFormat="1" ht="16.5" customHeight="1" x14ac:dyDescent="0.3">
      <c r="C31" s="82" t="s">
        <v>1</v>
      </c>
      <c r="D31" s="83"/>
      <c r="E31" s="83"/>
      <c r="F31" s="83"/>
      <c r="G31" s="83"/>
      <c r="H31" s="83"/>
      <c r="I31" s="154" t="e" cm="1">
        <f t="array" ref="I31">ROUND(D29-(SUMPRODUCT(--(NPS관리활동_RAW!A:A&lt;=$BH$43)*(NPS관리활동_RAW!$H:$H="불만"))/SUMPRODUCT(--(NPS관리활동_RAW!A:A&lt;=$BH$43)*(NPS관리활동_RAW!A:A &lt;&gt;""))*100), 1)</f>
        <v>#DIV/0!</v>
      </c>
      <c r="J31" s="83"/>
      <c r="K31" s="83"/>
      <c r="L31" s="84"/>
      <c r="M31" s="85"/>
      <c r="N31" s="82" t="s">
        <v>1</v>
      </c>
      <c r="O31" s="83"/>
      <c r="P31" s="83"/>
      <c r="Q31" s="83"/>
      <c r="R31" s="83"/>
      <c r="S31" s="83"/>
      <c r="T31" s="154" t="e">
        <f>AM42</f>
        <v>#DIV/0!</v>
      </c>
      <c r="U31" s="83"/>
      <c r="V31" s="83"/>
      <c r="W31" s="84"/>
      <c r="X31" s="85"/>
      <c r="Y31" s="82" t="s">
        <v>1</v>
      </c>
      <c r="Z31" s="83"/>
      <c r="AA31" s="83"/>
      <c r="AB31" s="83"/>
      <c r="AC31" s="83"/>
      <c r="AD31" s="83"/>
      <c r="AE31" s="154" t="e">
        <f>AM51</f>
        <v>#DIV/0!</v>
      </c>
      <c r="AF31" s="83"/>
      <c r="AG31" s="83"/>
      <c r="AH31" s="84"/>
      <c r="AI31" s="85"/>
      <c r="AJ31" s="82" t="s">
        <v>1</v>
      </c>
      <c r="AK31" s="83"/>
      <c r="AL31" s="83"/>
      <c r="AM31" s="83"/>
      <c r="AN31" s="83"/>
      <c r="AO31" s="83"/>
      <c r="AP31" s="154" t="e">
        <f>AM57</f>
        <v>#DIV/0!</v>
      </c>
      <c r="AQ31" s="83"/>
      <c r="AR31" s="83"/>
      <c r="AS31" s="84"/>
      <c r="AU31" s="82" t="s">
        <v>1</v>
      </c>
      <c r="AV31" s="83"/>
      <c r="AW31" s="83"/>
      <c r="AX31" s="83"/>
      <c r="AY31" s="83"/>
      <c r="AZ31" s="83"/>
      <c r="BA31" s="154" t="e">
        <f>AM64</f>
        <v>#DIV/0!</v>
      </c>
      <c r="BB31" s="83"/>
      <c r="BC31" s="83"/>
      <c r="BD31" s="84"/>
    </row>
    <row r="32" spans="2:57" s="81" customFormat="1" ht="16.5" customHeight="1" x14ac:dyDescent="0.3">
      <c r="C32" s="82" t="s">
        <v>2</v>
      </c>
      <c r="D32" s="83"/>
      <c r="E32" s="83"/>
      <c r="F32" s="83"/>
      <c r="G32" s="83"/>
      <c r="H32" s="83"/>
      <c r="I32" s="154" t="e" cm="1">
        <f t="array" ref="I32">ROUND(D29-(SUMPRODUCT(--(NPS관리활동_RAW!A:A&lt;=$BH$44)*(NPS관리활동_RAW!$H:$H="불만"))/SUMPRODUCT(--(NPS관리활동_RAW!A:A&lt;=$BH$44)*(NPS관리활동_RAW!A:A &lt;&gt;""))*100),1)</f>
        <v>#DIV/0!</v>
      </c>
      <c r="J32" s="83"/>
      <c r="K32" s="83"/>
      <c r="L32" s="84"/>
      <c r="M32" s="85"/>
      <c r="N32" s="82" t="s">
        <v>2</v>
      </c>
      <c r="O32" s="83"/>
      <c r="P32" s="83"/>
      <c r="Q32" s="83"/>
      <c r="R32" s="83"/>
      <c r="S32" s="83"/>
      <c r="T32" s="154" t="e" cm="1">
        <f t="array" ref="T32">ROUND(AG42-(SUMPRODUCT(--(NPS관리활동_RAW!A:A&lt;=$BH$44)*(NPS관리활동_RAW!$D:$D="KB 스타뱅킹")*(NPS관리활동_RAW!$H:$H="불만"))/SUMPRODUCT(--(NPS관리활동_RAW!A:A&lt;=$BH$44)*(NPS관리활동_RAW!$D:$D="KB 스타뱅킹"))*100),1)</f>
        <v>#DIV/0!</v>
      </c>
      <c r="U32" s="83"/>
      <c r="V32" s="83"/>
      <c r="W32" s="84"/>
      <c r="X32" s="85"/>
      <c r="Y32" s="82" t="s">
        <v>2</v>
      </c>
      <c r="Z32" s="83"/>
      <c r="AA32" s="83"/>
      <c r="AB32" s="83"/>
      <c r="AC32" s="83"/>
      <c r="AD32" s="83"/>
      <c r="AE32" s="154" t="e" cm="1">
        <f t="array" ref="AE32">ROUND(AG51-(SUMPRODUCT(--(NPS관리활동_RAW!A:A&lt;=$BH$44)*(NPS관리활동_RAW!$D:$D="영업점")*(NPS관리활동_RAW!$H:$H="불만"))/SUMPRODUCT(--(NPS관리활동_RAW!A:A&lt;=$BH$44)*(NPS관리활동_RAW!$D:$D="영업점"))*100),1)</f>
        <v>#DIV/0!</v>
      </c>
      <c r="AF32" s="83"/>
      <c r="AG32" s="83"/>
      <c r="AH32" s="84"/>
      <c r="AI32" s="85"/>
      <c r="AJ32" s="82" t="s">
        <v>2</v>
      </c>
      <c r="AK32" s="83"/>
      <c r="AL32" s="83"/>
      <c r="AM32" s="83"/>
      <c r="AN32" s="83"/>
      <c r="AO32" s="83"/>
      <c r="AP32" s="154" t="e" cm="1">
        <f t="array" ref="AP32">ROUND(AG57-(SUMPRODUCT(--(NPS관리활동_RAW!A:A&lt;=$BH$44)*(NPS관리활동_RAW!$D:$D="고객센터")*(NPS관리활동_RAW!$H:$H="불만"))/SUMPRODUCT(--(NPS관리활동_RAW!A:A&lt;=$BH$44)*(NPS관리활동_RAW!$D:$D="고객센터"))*100),1)</f>
        <v>#DIV/0!</v>
      </c>
      <c r="AQ32" s="83"/>
      <c r="AR32" s="83"/>
      <c r="AS32" s="84"/>
      <c r="AU32" s="82" t="s">
        <v>2</v>
      </c>
      <c r="AV32" s="83"/>
      <c r="AW32" s="83"/>
      <c r="AX32" s="83"/>
      <c r="AY32" s="83"/>
      <c r="AZ32" s="83"/>
      <c r="BA32" s="154" t="e" cm="1">
        <f t="array" ref="BA32">ROUND(AG64-(SUMPRODUCT(--(NPS관리활동_RAW!A:A&lt;=$BH$44)*(NPS관리활동_RAW!$D:$D="상품")*(NPS관리활동_RAW!$H:$H="불만"))/SUMPRODUCT(--(NPS관리활동_RAW!A:A&lt;=$BH$44)*(NPS관리활동_RAW!$D:$D="상품"))*100),1)</f>
        <v>#DIV/0!</v>
      </c>
      <c r="BB32" s="83"/>
      <c r="BC32" s="83"/>
      <c r="BD32" s="84"/>
    </row>
    <row r="33" spans="2:66" ht="8.1" customHeight="1" x14ac:dyDescent="0.3">
      <c r="C33" s="38"/>
      <c r="D33" s="39"/>
      <c r="E33" s="39"/>
      <c r="F33" s="39"/>
      <c r="G33" s="39"/>
      <c r="H33" s="39"/>
      <c r="I33" s="39"/>
      <c r="J33" s="39"/>
      <c r="K33" s="39"/>
      <c r="L33" s="40"/>
      <c r="M33" s="23"/>
      <c r="N33" s="38"/>
      <c r="O33" s="39"/>
      <c r="P33" s="39"/>
      <c r="Q33" s="39"/>
      <c r="R33" s="39"/>
      <c r="S33" s="39"/>
      <c r="T33" s="39"/>
      <c r="U33" s="39"/>
      <c r="V33" s="39"/>
      <c r="W33" s="40"/>
      <c r="X33" s="23"/>
      <c r="Y33" s="38"/>
      <c r="Z33" s="39"/>
      <c r="AA33" s="39"/>
      <c r="AB33" s="39"/>
      <c r="AC33" s="39"/>
      <c r="AD33" s="39"/>
      <c r="AE33" s="39"/>
      <c r="AF33" s="39"/>
      <c r="AG33" s="39"/>
      <c r="AH33" s="40"/>
      <c r="AI33" s="23"/>
      <c r="AJ33" s="38"/>
      <c r="AK33" s="39"/>
      <c r="AL33" s="39"/>
      <c r="AM33" s="39"/>
      <c r="AN33" s="39"/>
      <c r="AO33" s="39"/>
      <c r="AP33" s="39"/>
      <c r="AQ33" s="39"/>
      <c r="AR33" s="39"/>
      <c r="AS33" s="40"/>
      <c r="AU33" s="38"/>
      <c r="AV33" s="39"/>
      <c r="AW33" s="39"/>
      <c r="AX33" s="39"/>
      <c r="AY33" s="39"/>
      <c r="AZ33" s="39"/>
      <c r="BA33" s="39"/>
      <c r="BB33" s="39"/>
      <c r="BC33" s="39"/>
      <c r="BD33" s="40"/>
    </row>
    <row r="34" spans="2:66" ht="8.1" customHeight="1" x14ac:dyDescent="0.3"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</row>
    <row r="35" spans="2:66" s="81" customFormat="1" ht="12" customHeight="1" x14ac:dyDescent="0.3">
      <c r="B35" s="81" t="s">
        <v>41</v>
      </c>
      <c r="E35" s="106"/>
      <c r="F35" s="106"/>
      <c r="G35" s="106"/>
      <c r="H35" s="106"/>
      <c r="I35" s="106"/>
      <c r="J35" s="106"/>
      <c r="K35" s="106"/>
      <c r="L35" s="106"/>
      <c r="M35" s="106"/>
      <c r="N35" s="107"/>
      <c r="O35" s="107"/>
      <c r="P35" s="107"/>
    </row>
    <row r="36" spans="2:66" s="81" customFormat="1" ht="12" customHeight="1" x14ac:dyDescent="0.3">
      <c r="E36" s="106"/>
      <c r="F36" s="106"/>
      <c r="G36" s="106"/>
      <c r="H36" s="106"/>
      <c r="I36" s="106"/>
      <c r="J36" s="106"/>
      <c r="K36" s="106"/>
      <c r="L36" s="106"/>
      <c r="M36" s="106"/>
      <c r="N36" s="107"/>
      <c r="O36" s="107"/>
      <c r="P36" s="107"/>
    </row>
    <row r="37" spans="2:66" ht="15" customHeight="1" x14ac:dyDescent="0.3"/>
    <row r="38" spans="2:66" ht="15" customHeight="1" x14ac:dyDescent="0.25">
      <c r="B38" s="11" t="s">
        <v>94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3"/>
      <c r="Q38" s="3"/>
      <c r="R38" s="3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2:66" ht="8.1" customHeight="1" x14ac:dyDescent="0.25">
      <c r="B39" s="4"/>
      <c r="P39" s="5"/>
      <c r="Q39" s="5"/>
      <c r="R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2:66" s="12" customFormat="1" ht="12" customHeight="1" x14ac:dyDescent="0.3">
      <c r="B40" s="47" t="s">
        <v>50</v>
      </c>
      <c r="C40" s="47"/>
      <c r="D40" s="47"/>
      <c r="E40" s="47"/>
      <c r="F40" s="47"/>
      <c r="G40" s="47"/>
      <c r="H40" s="47"/>
      <c r="I40" s="48" t="s">
        <v>95</v>
      </c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9"/>
      <c r="AG40" s="48" t="s">
        <v>96</v>
      </c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6"/>
      <c r="BF40" s="6"/>
      <c r="BG40" s="6"/>
      <c r="BH40" s="6"/>
      <c r="BI40" s="6"/>
      <c r="BJ40" s="6"/>
      <c r="BK40" s="6"/>
      <c r="BL40" s="6"/>
      <c r="BM40" s="6"/>
      <c r="BN40" s="6"/>
    </row>
    <row r="41" spans="2:66" s="12" customFormat="1" ht="12" customHeight="1" thickBot="1" x14ac:dyDescent="0.35">
      <c r="B41" s="50" t="s">
        <v>100</v>
      </c>
      <c r="C41" s="50"/>
      <c r="D41" s="50"/>
      <c r="E41" s="50"/>
      <c r="F41" s="50"/>
      <c r="G41" s="50"/>
      <c r="H41" s="50"/>
      <c r="I41" s="141" t="s">
        <v>97</v>
      </c>
      <c r="J41" s="109"/>
      <c r="K41" s="109"/>
      <c r="L41" s="109"/>
      <c r="M41" s="109"/>
      <c r="N41" s="142"/>
      <c r="O41" s="143" t="s">
        <v>80</v>
      </c>
      <c r="P41" s="47"/>
      <c r="Q41" s="47"/>
      <c r="R41" s="47"/>
      <c r="S41" s="47"/>
      <c r="T41" s="144"/>
      <c r="U41" s="143" t="s">
        <v>74</v>
      </c>
      <c r="V41" s="47"/>
      <c r="W41" s="47"/>
      <c r="X41" s="47"/>
      <c r="Y41" s="47"/>
      <c r="Z41" s="144"/>
      <c r="AA41" s="143" t="s">
        <v>75</v>
      </c>
      <c r="AB41" s="47"/>
      <c r="AC41" s="47"/>
      <c r="AD41" s="47"/>
      <c r="AE41" s="47"/>
      <c r="AF41" s="49"/>
      <c r="AG41" s="141" t="s">
        <v>97</v>
      </c>
      <c r="AH41" s="109"/>
      <c r="AI41" s="109"/>
      <c r="AJ41" s="109"/>
      <c r="AK41" s="109"/>
      <c r="AL41" s="142"/>
      <c r="AM41" s="143" t="s">
        <v>80</v>
      </c>
      <c r="AN41" s="47"/>
      <c r="AO41" s="47"/>
      <c r="AP41" s="47"/>
      <c r="AQ41" s="47"/>
      <c r="AR41" s="144"/>
      <c r="AS41" s="143" t="s">
        <v>98</v>
      </c>
      <c r="AT41" s="47"/>
      <c r="AU41" s="47"/>
      <c r="AV41" s="47"/>
      <c r="AW41" s="47"/>
      <c r="AX41" s="144"/>
      <c r="AY41" s="143" t="s">
        <v>99</v>
      </c>
      <c r="AZ41" s="47"/>
      <c r="BA41" s="47"/>
      <c r="BB41" s="47"/>
      <c r="BC41" s="47"/>
      <c r="BD41" s="47"/>
      <c r="BE41" s="18"/>
      <c r="BF41" s="18"/>
      <c r="BG41" s="18"/>
      <c r="BH41" s="18"/>
      <c r="BI41" s="18"/>
      <c r="BJ41" s="18"/>
      <c r="BK41" s="18"/>
      <c r="BL41" s="6"/>
      <c r="BM41" s="6"/>
      <c r="BN41" s="6"/>
    </row>
    <row r="42" spans="2:66" s="6" customFormat="1" ht="12" customHeight="1" x14ac:dyDescent="0.3">
      <c r="B42" s="104" t="s">
        <v>5</v>
      </c>
      <c r="C42" s="105"/>
      <c r="D42" s="105"/>
      <c r="E42" s="105"/>
      <c r="F42" s="105"/>
      <c r="G42" s="105"/>
      <c r="H42" s="105"/>
      <c r="I42" s="244" t="e">
        <f>U42-AA42</f>
        <v>#DIV/0!</v>
      </c>
      <c r="J42" s="237"/>
      <c r="K42" s="237"/>
      <c r="L42" s="237"/>
      <c r="M42" s="237"/>
      <c r="N42" s="238"/>
      <c r="O42" s="236" t="e" cm="1">
        <f t="array" ref="O42">O12-(SUMPRODUCT(--(NPS관리활동_RAW!A:A&lt;=$BH$43)*(NPS관리활동_RAW!$D:$D="KB 스타뱅킹")*(NPS관리활동_RAW!$G:$G="긍정"))-SUMPRODUCT(--(NPS관리활동_RAW!A:A&lt;=$BH$43)*(NPS관리활동_RAW!$D:$D="KB 스타뱅킹")*(NPS관리활동_RAW!$G:$G="부정")))/SUMPRODUCT(--(NPS관리활동_RAW!A:A&lt;=$BH$43)*(NPS관리활동_RAW!$D:$D="KB 스타뱅킹"))*100</f>
        <v>#DIV/0!</v>
      </c>
      <c r="P42" s="237"/>
      <c r="Q42" s="237"/>
      <c r="R42" s="237"/>
      <c r="S42" s="237"/>
      <c r="T42" s="238"/>
      <c r="U42" s="236" t="e">
        <f>IFERROR(COUNTIFS(NPS관리활동_RAW!$D:$D, "KB 스타뱅킹", NPS관리활동_RAW!$G:$G, "*긍정*"),0)/IFERROR(COUNTIFS(NPS관리활동_RAW!$D:$D, "KB 스타뱅킹"), 1) * 100</f>
        <v>#DIV/0!</v>
      </c>
      <c r="V42" s="237"/>
      <c r="W42" s="237"/>
      <c r="X42" s="237"/>
      <c r="Y42" s="237"/>
      <c r="Z42" s="238"/>
      <c r="AA42" s="236" t="e">
        <f>IFERROR(COUNTIFS(NPS관리활동_RAW!$D:$D, "KB 스타뱅킹", NPS관리활동_RAW!$G:$G, "*부정*"),0)/IFERROR(COUNTIFS(NPS관리활동_RAW!$D:$D, "KB 스타뱅킹"), 1) * 100</f>
        <v>#DIV/0!</v>
      </c>
      <c r="AB42" s="237"/>
      <c r="AC42" s="237"/>
      <c r="AD42" s="237"/>
      <c r="AE42" s="237"/>
      <c r="AF42" s="245"/>
      <c r="AG42" s="244" t="e">
        <f>AY42</f>
        <v>#DIV/0!</v>
      </c>
      <c r="AH42" s="237"/>
      <c r="AI42" s="237"/>
      <c r="AJ42" s="237"/>
      <c r="AK42" s="237"/>
      <c r="AL42" s="238"/>
      <c r="AM42" s="236" t="e" cm="1">
        <f t="array" ref="AM42">AG42-(SUMPRODUCT(--(NPS관리활동_RAW!A:A&lt;=$BH$43)*(NPS관리활동_RAW!$D:$D="KB 스타뱅킹")*(NPS관리활동_RAW!$H:$H="불만"))/SUMPRODUCT(--(NPS관리활동_RAW!A:A&lt;=$BH$43)*(NPS관리활동_RAW!$D:$D="KB 스타뱅킹"))*100)</f>
        <v>#DIV/0!</v>
      </c>
      <c r="AN42" s="237"/>
      <c r="AO42" s="237"/>
      <c r="AP42" s="237"/>
      <c r="AQ42" s="237"/>
      <c r="AR42" s="238"/>
      <c r="AS42" s="236" t="e">
        <f>IFERROR(COUNTIFS(NPS관리활동_RAW!$D:$D, "KB 스타뱅킹", NPS관리활동_RAW!$H:$H, "*칭찬*"),0)/IFERROR(COUNTIFS(NPS관리활동_RAW!$D:$D, "KB 스타뱅킹"), 1) * 100</f>
        <v>#DIV/0!</v>
      </c>
      <c r="AT42" s="237"/>
      <c r="AU42" s="237"/>
      <c r="AV42" s="237"/>
      <c r="AW42" s="237"/>
      <c r="AX42" s="238"/>
      <c r="AY42" s="236" t="e">
        <f>IFERROR(COUNTIFS(NPS관리활동_RAW!$D:$D, "KB 스타뱅킹", NPS관리활동_RAW!$H:$H, "*불만*"),0)/IFERROR(COUNTIFS(NPS관리활동_RAW!$D:$D, "KB 스타뱅킹"), 1) * 100</f>
        <v>#DIV/0!</v>
      </c>
      <c r="AZ42" s="237"/>
      <c r="BA42" s="237"/>
      <c r="BB42" s="237"/>
      <c r="BC42" s="237"/>
      <c r="BD42" s="237"/>
      <c r="BE42" s="18"/>
      <c r="BF42" s="18"/>
      <c r="BG42" s="6" t="s">
        <v>188</v>
      </c>
      <c r="BH42" s="6" cm="1">
        <f t="array" ref="BH42">MAX(VALUE(NPS관리활동_RAW!$A2:$A1000000))</f>
        <v>0</v>
      </c>
    </row>
    <row r="43" spans="2:66" s="6" customFormat="1" ht="12" customHeight="1" x14ac:dyDescent="0.3">
      <c r="B43" s="101"/>
      <c r="C43" s="102" t="s">
        <v>51</v>
      </c>
      <c r="D43" s="101"/>
      <c r="E43" s="101"/>
      <c r="F43" s="101"/>
      <c r="G43" s="101"/>
      <c r="H43" s="101"/>
      <c r="I43" s="239">
        <f>U43-AA43</f>
        <v>0</v>
      </c>
      <c r="J43" s="240"/>
      <c r="K43" s="240"/>
      <c r="L43" s="240"/>
      <c r="M43" s="240"/>
      <c r="N43" s="241"/>
      <c r="O43" s="242" t="e" cm="1">
        <f t="array" ref="O43">I43-(SUMPRODUCT(--(NPS관리활동_RAW!A:A&lt;=$BH$43)*(NPS관리활동_RAW!$D:$D="KB 스타뱅킹")*(NPS관리활동_RAW!$E:$E=TRIM($C43))*(NPS관리활동_RAW!$G:$G="긍정"))-SUMPRODUCT(--(NPS관리활동_RAW!A:A&lt;=$BH$43)*(NPS관리활동_RAW!$D:$D="KB 스타뱅킹")*(NPS관리활동_RAW!$E:$E=TRIM($C43))*(NPS관리활동_RAW!$G:$G="부정")))/SUMPRODUCT(--(NPS관리활동_RAW!A:A&lt;=$BH$43)*(NPS관리활동_RAW!$D:$D="KB 스타뱅킹")*(NPS관리활동_RAW!$E:$E=TRIM($C43)))*100</f>
        <v>#VALUE!</v>
      </c>
      <c r="P43" s="240"/>
      <c r="Q43" s="240"/>
      <c r="R43" s="240"/>
      <c r="S43" s="240"/>
      <c r="T43" s="241"/>
      <c r="U43" s="242">
        <f>IFERROR(COUNTIFS(NPS관리활동_RAW!$D:$D, "KB 스타뱅킹", NPS관리활동_RAW!$E:$E, C43, NPS관리활동_RAW!$G:$G,"긍정")/COUNTIFS(NPS관리활동_RAW!$D:$D, "KB 스타뱅킹", NPS관리활동_RAW!$E:$E, C43)*100,0)</f>
        <v>0</v>
      </c>
      <c r="V43" s="240"/>
      <c r="W43" s="240"/>
      <c r="X43" s="240"/>
      <c r="Y43" s="240"/>
      <c r="Z43" s="241"/>
      <c r="AA43" s="242">
        <f>IFERROR(COUNTIFS(NPS관리활동_RAW!$D:$D, "KB 스타뱅킹", NPS관리활동_RAW!$E:$E, C43, NPS관리활동_RAW!$G:$G,"부정")/COUNTIFS(NPS관리활동_RAW!$D:$D, "KB 스타뱅킹", NPS관리활동_RAW!$E:$E, C43)*100,0)</f>
        <v>0</v>
      </c>
      <c r="AB43" s="240"/>
      <c r="AC43" s="240"/>
      <c r="AD43" s="240"/>
      <c r="AE43" s="240"/>
      <c r="AF43" s="243"/>
      <c r="AG43" s="239">
        <f>AY43</f>
        <v>0</v>
      </c>
      <c r="AH43" s="240"/>
      <c r="AI43" s="240"/>
      <c r="AJ43" s="240"/>
      <c r="AK43" s="240"/>
      <c r="AL43" s="241"/>
      <c r="AM43" s="242" t="e" cm="1">
        <f t="array" ref="AM43">AG43-(SUMPRODUCT(--(NPS관리활동_RAW!A:A&lt;=$BH$43)*(NPS관리활동_RAW!$D:$D="KB 스타뱅킹")*(NPS관리활동_RAW!$E:$E=TRIM($C43))*(NPS관리활동_RAW!$H:$H="불만"))/SUMPRODUCT(--(NPS관리활동_RAW!A:A&lt;=$BH$43)*(NPS관리활동_RAW!$D:$D="KB 스타뱅킹")*(NPS관리활동_RAW!$E:$E=TRIM($C43)))*100)</f>
        <v>#VALUE!</v>
      </c>
      <c r="AN43" s="240"/>
      <c r="AO43" s="240"/>
      <c r="AP43" s="240"/>
      <c r="AQ43" s="240"/>
      <c r="AR43" s="241"/>
      <c r="AS43" s="242">
        <f>IFERROR(COUNTIFS(NPS관리활동_RAW!$D:$D, "KB 스타뱅킹", NPS관리활동_RAW!$E:$E, C43, NPS관리활동_RAW!$H:$H,"칭찬")/COUNTIFS(NPS관리활동_RAW!$D:$D, "KB 스타뱅킹", NPS관리활동_RAW!$E:$E, C43)*100,0)</f>
        <v>0</v>
      </c>
      <c r="AT43" s="240"/>
      <c r="AU43" s="240"/>
      <c r="AV43" s="240"/>
      <c r="AW43" s="240"/>
      <c r="AX43" s="241"/>
      <c r="AY43" s="242">
        <f>IFERROR(COUNTIFS(NPS관리활동_RAW!$D:$D, "KB 스타뱅킹", NPS관리활동_RAW!$E:$E, C43, NPS관리활동_RAW!$H:$H,"불만")/COUNTIFS(NPS관리활동_RAW!$D:$D, "KB 스타뱅킹", NPS관리활동_RAW!$E:$E, C43)*100,0)</f>
        <v>0</v>
      </c>
      <c r="AZ43" s="240"/>
      <c r="BA43" s="240"/>
      <c r="BB43" s="240"/>
      <c r="BC43" s="240"/>
      <c r="BD43" s="240"/>
      <c r="BE43" s="18"/>
      <c r="BF43" s="18"/>
      <c r="BG43" s="6" t="s">
        <v>189</v>
      </c>
      <c r="BH43" s="6" t="e">
        <f>_xlfn.XLOOKUP(TEXT(DATE(LEFT(BH42,4), MID(BH42,5,2), RIGHT(BH42,2))-7, "yyyymmdd"), NPS관리활동_RAW!$A:$A, NPS관리활동_RAW!$A:$A, "없음", -1)</f>
        <v>#VALUE!</v>
      </c>
    </row>
    <row r="44" spans="2:66" s="6" customFormat="1" ht="12" customHeight="1" x14ac:dyDescent="0.3">
      <c r="B44" s="101"/>
      <c r="C44" s="102" t="s">
        <v>52</v>
      </c>
      <c r="D44" s="101"/>
      <c r="E44" s="101"/>
      <c r="F44" s="101"/>
      <c r="G44" s="101"/>
      <c r="H44" s="101"/>
      <c r="I44" s="239">
        <f t="shared" ref="I44:I50" si="0">U44-AA44</f>
        <v>0</v>
      </c>
      <c r="J44" s="240"/>
      <c r="K44" s="240"/>
      <c r="L44" s="240"/>
      <c r="M44" s="240"/>
      <c r="N44" s="241"/>
      <c r="O44" s="242" t="e" cm="1">
        <f t="array" ref="O44">I44-(SUMPRODUCT(--(NPS관리활동_RAW!A:A&lt;=$BH$43)*(NPS관리활동_RAW!$D:$D="KB 스타뱅킹")*(NPS관리활동_RAW!$E:$E=TRIM($C44))*(NPS관리활동_RAW!$G:$G="긍정"))-SUMPRODUCT(--(NPS관리활동_RAW!A:A&lt;=$BH$43)*(NPS관리활동_RAW!$D:$D="KB 스타뱅킹")*(NPS관리활동_RAW!$E:$E=TRIM($C44))*(NPS관리활동_RAW!$G:$G="부정")))/SUMPRODUCT(--(NPS관리활동_RAW!A:A&lt;=$BH$43)*(NPS관리활동_RAW!$D:$D="KB 스타뱅킹")*(NPS관리활동_RAW!$E:$E=TRIM($C44)))*100</f>
        <v>#VALUE!</v>
      </c>
      <c r="P44" s="240"/>
      <c r="Q44" s="240"/>
      <c r="R44" s="240"/>
      <c r="S44" s="240"/>
      <c r="T44" s="241"/>
      <c r="U44" s="242">
        <f>IFERROR(COUNTIFS(NPS관리활동_RAW!$D:$D, "KB 스타뱅킹", NPS관리활동_RAW!$E:$E, C44, NPS관리활동_RAW!$G:$G,"긍정")/COUNTIFS(NPS관리활동_RAW!$D:$D, "KB 스타뱅킹", NPS관리활동_RAW!$E:$E, C44)*100,0)</f>
        <v>0</v>
      </c>
      <c r="V44" s="240"/>
      <c r="W44" s="240"/>
      <c r="X44" s="240"/>
      <c r="Y44" s="240"/>
      <c r="Z44" s="241"/>
      <c r="AA44" s="242">
        <f>IFERROR(COUNTIFS(NPS관리활동_RAW!$D:$D, "KB 스타뱅킹", NPS관리활동_RAW!$E:$E, C44, NPS관리활동_RAW!$G:$G,"부정")/COUNTIFS(NPS관리활동_RAW!$D:$D, "KB 스타뱅킹", NPS관리활동_RAW!$E:$E, C44)*100,0)</f>
        <v>0</v>
      </c>
      <c r="AB44" s="240"/>
      <c r="AC44" s="240"/>
      <c r="AD44" s="240"/>
      <c r="AE44" s="240"/>
      <c r="AF44" s="243"/>
      <c r="AG44" s="239">
        <f>AY44</f>
        <v>0</v>
      </c>
      <c r="AH44" s="240"/>
      <c r="AI44" s="240"/>
      <c r="AJ44" s="240"/>
      <c r="AK44" s="240"/>
      <c r="AL44" s="241"/>
      <c r="AM44" s="242" t="e" cm="1">
        <f t="array" ref="AM44">AG44-(SUMPRODUCT(--(NPS관리활동_RAW!A:A&lt;=$BH$43)*(NPS관리활동_RAW!$D:$D="KB 스타뱅킹")*(NPS관리활동_RAW!$E:$E=TRIM($C44))*(NPS관리활동_RAW!$H:$H="불만"))/SUMPRODUCT(--(NPS관리활동_RAW!A:A&lt;=$BH$43)*(NPS관리활동_RAW!$D:$D="KB 스타뱅킹")*(NPS관리활동_RAW!$E:$E=TRIM($C44)))*100)</f>
        <v>#VALUE!</v>
      </c>
      <c r="AN44" s="240"/>
      <c r="AO44" s="240"/>
      <c r="AP44" s="240"/>
      <c r="AQ44" s="240"/>
      <c r="AR44" s="241"/>
      <c r="AS44" s="242">
        <f>IFERROR(COUNTIFS(NPS관리활동_RAW!$D:$D, "KB 스타뱅킹", NPS관리활동_RAW!$E:$E, C44, NPS관리활동_RAW!$H:$H,"칭찬")/COUNTIFS(NPS관리활동_RAW!$D:$D, "KB 스타뱅킹", NPS관리활동_RAW!$E:$E, C44)*100,0)</f>
        <v>0</v>
      </c>
      <c r="AT44" s="240"/>
      <c r="AU44" s="240"/>
      <c r="AV44" s="240"/>
      <c r="AW44" s="240"/>
      <c r="AX44" s="241"/>
      <c r="AY44" s="242">
        <f>IFERROR(COUNTIFS(NPS관리활동_RAW!$D:$D, "KB 스타뱅킹", NPS관리활동_RAW!$E:$E, C44, NPS관리활동_RAW!$H:$H,"불만")/COUNTIFS(NPS관리활동_RAW!$D:$D, "KB 스타뱅킹", NPS관리활동_RAW!$E:$E, C44)*100,0)</f>
        <v>0</v>
      </c>
      <c r="AZ44" s="240"/>
      <c r="BA44" s="240"/>
      <c r="BB44" s="240"/>
      <c r="BC44" s="240"/>
      <c r="BD44" s="240"/>
      <c r="BE44" s="18"/>
      <c r="BF44" s="18"/>
      <c r="BG44" s="6" t="s">
        <v>190</v>
      </c>
      <c r="BH44" s="6" t="e">
        <f>_xlfn.XLOOKUP(TEXT(DATE(LEFT(BH42,4), MID(BH42,5,2), "01")-1, "yyyymmdd"), NPS관리활동_RAW!$A:$A, NPS관리활동_RAW!$A:$A, "없음", -1)</f>
        <v>#VALUE!</v>
      </c>
    </row>
    <row r="45" spans="2:66" s="6" customFormat="1" ht="12" customHeight="1" x14ac:dyDescent="0.3">
      <c r="B45" s="101"/>
      <c r="C45" s="102" t="s">
        <v>53</v>
      </c>
      <c r="D45" s="101"/>
      <c r="E45" s="101"/>
      <c r="F45" s="101"/>
      <c r="G45" s="101"/>
      <c r="H45" s="101"/>
      <c r="I45" s="239">
        <f t="shared" si="0"/>
        <v>0</v>
      </c>
      <c r="J45" s="240"/>
      <c r="K45" s="240"/>
      <c r="L45" s="240"/>
      <c r="M45" s="240"/>
      <c r="N45" s="241"/>
      <c r="O45" s="242" t="e" cm="1">
        <f t="array" ref="O45">I45-(SUMPRODUCT(--(NPS관리활동_RAW!A:A&lt;=$BH$43)*(NPS관리활동_RAW!$D:$D="KB 스타뱅킹")*(NPS관리활동_RAW!$E:$E=TRIM($C45))*(NPS관리활동_RAW!$G:$G="긍정"))-SUMPRODUCT(--(NPS관리활동_RAW!A:A&lt;=$BH$43)*(NPS관리활동_RAW!$D:$D="KB 스타뱅킹")*(NPS관리활동_RAW!$E:$E=TRIM($C45))*(NPS관리활동_RAW!$G:$G="부정")))/SUMPRODUCT(--(NPS관리활동_RAW!A:A&lt;=$BH$43)*(NPS관리활동_RAW!$D:$D="KB 스타뱅킹")*(NPS관리활동_RAW!$E:$E=TRIM($C45)))*100</f>
        <v>#VALUE!</v>
      </c>
      <c r="P45" s="240"/>
      <c r="Q45" s="240"/>
      <c r="R45" s="240"/>
      <c r="S45" s="240"/>
      <c r="T45" s="241"/>
      <c r="U45" s="242">
        <f>IFERROR(COUNTIFS(NPS관리활동_RAW!$D:$D, "KB 스타뱅킹", NPS관리활동_RAW!$E:$E, C45, NPS관리활동_RAW!$G:$G,"긍정")/COUNTIFS(NPS관리활동_RAW!$D:$D, "KB 스타뱅킹", NPS관리활동_RAW!$E:$E, C45)*100,0)</f>
        <v>0</v>
      </c>
      <c r="V45" s="240"/>
      <c r="W45" s="240"/>
      <c r="X45" s="240"/>
      <c r="Y45" s="240"/>
      <c r="Z45" s="241"/>
      <c r="AA45" s="242">
        <f>IFERROR(COUNTIFS(NPS관리활동_RAW!$D:$D, "KB 스타뱅킹", NPS관리활동_RAW!$E:$E, C45, NPS관리활동_RAW!$G:$G,"부정")/COUNTIFS(NPS관리활동_RAW!$D:$D, "KB 스타뱅킹", NPS관리활동_RAW!$E:$E, C45)*100,0)</f>
        <v>0</v>
      </c>
      <c r="AB45" s="240"/>
      <c r="AC45" s="240"/>
      <c r="AD45" s="240"/>
      <c r="AE45" s="240"/>
      <c r="AF45" s="243"/>
      <c r="AG45" s="239">
        <f t="shared" ref="AG45:AG50" si="1">AY45</f>
        <v>0</v>
      </c>
      <c r="AH45" s="240"/>
      <c r="AI45" s="240"/>
      <c r="AJ45" s="240"/>
      <c r="AK45" s="240"/>
      <c r="AL45" s="241"/>
      <c r="AM45" s="242" t="e" cm="1">
        <f t="array" ref="AM45">AG45-(SUMPRODUCT(--(NPS관리활동_RAW!A:A&lt;=$BH$43)*(NPS관리활동_RAW!$D:$D="KB 스타뱅킹")*(NPS관리활동_RAW!$E:$E=TRIM($C45))*(NPS관리활동_RAW!$H:$H="불만"))/SUMPRODUCT(--(NPS관리활동_RAW!A:A&lt;=$BH$43)*(NPS관리활동_RAW!$D:$D="KB 스타뱅킹")*(NPS관리활동_RAW!$E:$E=TRIM($C45)))*100)</f>
        <v>#VALUE!</v>
      </c>
      <c r="AN45" s="240"/>
      <c r="AO45" s="240"/>
      <c r="AP45" s="240"/>
      <c r="AQ45" s="240"/>
      <c r="AR45" s="241"/>
      <c r="AS45" s="242">
        <f>IFERROR(COUNTIFS(NPS관리활동_RAW!$D:$D, "KB 스타뱅킹", NPS관리활동_RAW!$E:$E, C45, NPS관리활동_RAW!$H:$H,"칭찬")/COUNTIFS(NPS관리활동_RAW!$D:$D, "KB 스타뱅킹", NPS관리활동_RAW!$E:$E, C45)*100,0)</f>
        <v>0</v>
      </c>
      <c r="AT45" s="240"/>
      <c r="AU45" s="240"/>
      <c r="AV45" s="240"/>
      <c r="AW45" s="240"/>
      <c r="AX45" s="241"/>
      <c r="AY45" s="242">
        <f>IFERROR(COUNTIFS(NPS관리활동_RAW!$D:$D, "KB 스타뱅킹", NPS관리활동_RAW!$E:$E, C45, NPS관리활동_RAW!$H:$H,"불만")/COUNTIFS(NPS관리활동_RAW!$D:$D, "KB 스타뱅킹", NPS관리활동_RAW!$E:$E, C45)*100,0)</f>
        <v>0</v>
      </c>
      <c r="AZ45" s="240"/>
      <c r="BA45" s="240"/>
      <c r="BB45" s="240"/>
      <c r="BC45" s="240"/>
      <c r="BD45" s="240"/>
      <c r="BE45" s="18"/>
      <c r="BF45" s="18"/>
    </row>
    <row r="46" spans="2:66" s="6" customFormat="1" ht="12" customHeight="1" x14ac:dyDescent="0.3">
      <c r="B46" s="101"/>
      <c r="C46" s="102" t="s">
        <v>54</v>
      </c>
      <c r="D46" s="101"/>
      <c r="E46" s="101"/>
      <c r="F46" s="101"/>
      <c r="G46" s="101"/>
      <c r="H46" s="101"/>
      <c r="I46" s="239">
        <f t="shared" si="0"/>
        <v>0</v>
      </c>
      <c r="J46" s="240"/>
      <c r="K46" s="240"/>
      <c r="L46" s="240"/>
      <c r="M46" s="240"/>
      <c r="N46" s="241"/>
      <c r="O46" s="242" t="e" cm="1">
        <f t="array" ref="O46">I46-(SUMPRODUCT(--(NPS관리활동_RAW!A:A&lt;=$BH$43)*(NPS관리활동_RAW!$D:$D="KB 스타뱅킹")*(NPS관리활동_RAW!$E:$E=TRIM($C46))*(NPS관리활동_RAW!$G:$G="긍정"))-SUMPRODUCT(--(NPS관리활동_RAW!A:A&lt;=$BH$43)*(NPS관리활동_RAW!$D:$D="KB 스타뱅킹")*(NPS관리활동_RAW!$E:$E=TRIM($C46))*(NPS관리활동_RAW!$G:$G="부정")))/SUMPRODUCT(--(NPS관리활동_RAW!A:A&lt;=$BH$43)*(NPS관리활동_RAW!$D:$D="KB 스타뱅킹")*(NPS관리활동_RAW!$E:$E=TRIM($C46)))*100</f>
        <v>#VALUE!</v>
      </c>
      <c r="P46" s="240"/>
      <c r="Q46" s="240"/>
      <c r="R46" s="240"/>
      <c r="S46" s="240"/>
      <c r="T46" s="241"/>
      <c r="U46" s="242">
        <f>IFERROR(COUNTIFS(NPS관리활동_RAW!$D:$D, "KB 스타뱅킹", NPS관리활동_RAW!$E:$E, C46, NPS관리활동_RAW!$G:$G,"긍정")/COUNTIFS(NPS관리활동_RAW!$D:$D, "KB 스타뱅킹", NPS관리활동_RAW!$E:$E, C46)*100,0)</f>
        <v>0</v>
      </c>
      <c r="V46" s="240"/>
      <c r="W46" s="240"/>
      <c r="X46" s="240"/>
      <c r="Y46" s="240"/>
      <c r="Z46" s="241"/>
      <c r="AA46" s="242">
        <f>IFERROR(COUNTIFS(NPS관리활동_RAW!$D:$D, "KB 스타뱅킹", NPS관리활동_RAW!$E:$E, C46, NPS관리활동_RAW!$G:$G,"부정")/COUNTIFS(NPS관리활동_RAW!$D:$D, "KB 스타뱅킹", NPS관리활동_RAW!$E:$E, C46)*100,0)</f>
        <v>0</v>
      </c>
      <c r="AB46" s="240"/>
      <c r="AC46" s="240"/>
      <c r="AD46" s="240"/>
      <c r="AE46" s="240"/>
      <c r="AF46" s="243"/>
      <c r="AG46" s="239">
        <f t="shared" si="1"/>
        <v>0</v>
      </c>
      <c r="AH46" s="240"/>
      <c r="AI46" s="240"/>
      <c r="AJ46" s="240"/>
      <c r="AK46" s="240"/>
      <c r="AL46" s="241"/>
      <c r="AM46" s="242" t="e" cm="1">
        <f t="array" ref="AM46">AG46-(SUMPRODUCT(--(NPS관리활동_RAW!A:A&lt;=$BH$43)*(NPS관리활동_RAW!$D:$D="KB 스타뱅킹")*(NPS관리활동_RAW!$E:$E=TRIM($C46))*(NPS관리활동_RAW!$H:$H="불만"))/SUMPRODUCT(--(NPS관리활동_RAW!A:A&lt;=$BH$43)*(NPS관리활동_RAW!$D:$D="KB 스타뱅킹")*(NPS관리활동_RAW!$E:$E=TRIM($C46)))*100)</f>
        <v>#VALUE!</v>
      </c>
      <c r="AN46" s="240"/>
      <c r="AO46" s="240"/>
      <c r="AP46" s="240"/>
      <c r="AQ46" s="240"/>
      <c r="AR46" s="241"/>
      <c r="AS46" s="242">
        <f>IFERROR(COUNTIFS(NPS관리활동_RAW!$D:$D, "KB 스타뱅킹", NPS관리활동_RAW!$E:$E, C46, NPS관리활동_RAW!$H:$H,"칭찬")/COUNTIFS(NPS관리활동_RAW!$D:$D, "KB 스타뱅킹", NPS관리활동_RAW!$E:$E, C46)*100,0)</f>
        <v>0</v>
      </c>
      <c r="AT46" s="240"/>
      <c r="AU46" s="240"/>
      <c r="AV46" s="240"/>
      <c r="AW46" s="240"/>
      <c r="AX46" s="241"/>
      <c r="AY46" s="242">
        <f>IFERROR(COUNTIFS(NPS관리활동_RAW!$D:$D, "KB 스타뱅킹", NPS관리활동_RAW!$E:$E, C46, NPS관리활동_RAW!$H:$H,"불만")/COUNTIFS(NPS관리활동_RAW!$D:$D, "KB 스타뱅킹", NPS관리활동_RAW!$E:$E, C46)*100,0)</f>
        <v>0</v>
      </c>
      <c r="AZ46" s="240"/>
      <c r="BA46" s="240"/>
      <c r="BB46" s="240"/>
      <c r="BC46" s="240"/>
      <c r="BD46" s="240"/>
      <c r="BE46" s="18"/>
      <c r="BF46" s="18"/>
    </row>
    <row r="47" spans="2:66" s="6" customFormat="1" ht="12" customHeight="1" x14ac:dyDescent="0.3">
      <c r="B47" s="101"/>
      <c r="C47" s="102" t="s">
        <v>55</v>
      </c>
      <c r="D47" s="101"/>
      <c r="E47" s="101"/>
      <c r="F47" s="101"/>
      <c r="G47" s="101"/>
      <c r="H47" s="101"/>
      <c r="I47" s="239">
        <f t="shared" si="0"/>
        <v>0</v>
      </c>
      <c r="J47" s="240"/>
      <c r="K47" s="240"/>
      <c r="L47" s="240"/>
      <c r="M47" s="240"/>
      <c r="N47" s="241"/>
      <c r="O47" s="242" t="e" cm="1">
        <f t="array" ref="O47">I47-(SUMPRODUCT(--(NPS관리활동_RAW!A:A&lt;=$BH$43)*(NPS관리활동_RAW!$D:$D="KB 스타뱅킹")*(NPS관리활동_RAW!$E:$E=TRIM($C47))*(NPS관리활동_RAW!$G:$G="긍정"))-SUMPRODUCT(--(NPS관리활동_RAW!A:A&lt;=$BH$43)*(NPS관리활동_RAW!$D:$D="KB 스타뱅킹")*(NPS관리활동_RAW!$E:$E=TRIM($C47))*(NPS관리활동_RAW!$G:$G="부정")))/SUMPRODUCT(--(NPS관리활동_RAW!A:A&lt;=$BH$43)*(NPS관리활동_RAW!$D:$D="KB 스타뱅킹")*(NPS관리활동_RAW!$E:$E=TRIM($C47)))*100</f>
        <v>#VALUE!</v>
      </c>
      <c r="P47" s="240"/>
      <c r="Q47" s="240"/>
      <c r="R47" s="240"/>
      <c r="S47" s="240"/>
      <c r="T47" s="241"/>
      <c r="U47" s="242">
        <f>IFERROR(COUNTIFS(NPS관리활동_RAW!$D:$D, "KB 스타뱅킹", NPS관리활동_RAW!$E:$E, C47, NPS관리활동_RAW!$G:$G,"긍정")/COUNTIFS(NPS관리활동_RAW!$D:$D, "KB 스타뱅킹", NPS관리활동_RAW!$E:$E, C47)*100,0)</f>
        <v>0</v>
      </c>
      <c r="V47" s="240"/>
      <c r="W47" s="240"/>
      <c r="X47" s="240"/>
      <c r="Y47" s="240"/>
      <c r="Z47" s="241"/>
      <c r="AA47" s="242">
        <f>IFERROR(COUNTIFS(NPS관리활동_RAW!$D:$D, "KB 스타뱅킹", NPS관리활동_RAW!$E:$E, C47, NPS관리활동_RAW!$G:$G,"부정")/COUNTIFS(NPS관리활동_RAW!$D:$D, "KB 스타뱅킹", NPS관리활동_RAW!$E:$E, C47)*100,0)</f>
        <v>0</v>
      </c>
      <c r="AB47" s="240"/>
      <c r="AC47" s="240"/>
      <c r="AD47" s="240"/>
      <c r="AE47" s="240"/>
      <c r="AF47" s="243"/>
      <c r="AG47" s="239">
        <f t="shared" si="1"/>
        <v>0</v>
      </c>
      <c r="AH47" s="240"/>
      <c r="AI47" s="240"/>
      <c r="AJ47" s="240"/>
      <c r="AK47" s="240"/>
      <c r="AL47" s="241"/>
      <c r="AM47" s="242" t="e" cm="1">
        <f t="array" ref="AM47">AG47-(SUMPRODUCT(--(NPS관리활동_RAW!A:A&lt;=$BH$43)*(NPS관리활동_RAW!$D:$D="KB 스타뱅킹")*(NPS관리활동_RAW!$E:$E=TRIM($C47))*(NPS관리활동_RAW!$H:$H="불만"))/SUMPRODUCT(--(NPS관리활동_RAW!A:A&lt;=$BH$43)*(NPS관리활동_RAW!$D:$D="KB 스타뱅킹")*(NPS관리활동_RAW!$E:$E=TRIM($C47)))*100)</f>
        <v>#VALUE!</v>
      </c>
      <c r="AN47" s="240"/>
      <c r="AO47" s="240"/>
      <c r="AP47" s="240"/>
      <c r="AQ47" s="240"/>
      <c r="AR47" s="241"/>
      <c r="AS47" s="242">
        <f>IFERROR(COUNTIFS(NPS관리활동_RAW!$D:$D, "KB 스타뱅킹", NPS관리활동_RAW!$E:$E, C47, NPS관리활동_RAW!$H:$H,"칭찬")/COUNTIFS(NPS관리활동_RAW!$D:$D, "KB 스타뱅킹", NPS관리활동_RAW!$E:$E, C47)*100,0)</f>
        <v>0</v>
      </c>
      <c r="AT47" s="240"/>
      <c r="AU47" s="240"/>
      <c r="AV47" s="240"/>
      <c r="AW47" s="240"/>
      <c r="AX47" s="241"/>
      <c r="AY47" s="242">
        <f>IFERROR(COUNTIFS(NPS관리활동_RAW!$D:$D, "KB 스타뱅킹", NPS관리활동_RAW!$E:$E, C47, NPS관리활동_RAW!$H:$H,"불만")/COUNTIFS(NPS관리활동_RAW!$D:$D, "KB 스타뱅킹", NPS관리활동_RAW!$E:$E, C47)*100,0)</f>
        <v>0</v>
      </c>
      <c r="AZ47" s="240"/>
      <c r="BA47" s="240"/>
      <c r="BB47" s="240"/>
      <c r="BC47" s="240"/>
      <c r="BD47" s="240"/>
      <c r="BE47" s="18"/>
      <c r="BF47" s="18"/>
    </row>
    <row r="48" spans="2:66" s="6" customFormat="1" ht="12" customHeight="1" x14ac:dyDescent="0.3">
      <c r="B48" s="101"/>
      <c r="C48" s="102" t="s">
        <v>56</v>
      </c>
      <c r="D48" s="101"/>
      <c r="E48" s="101"/>
      <c r="F48" s="101"/>
      <c r="G48" s="101"/>
      <c r="H48" s="101"/>
      <c r="I48" s="239">
        <f t="shared" si="0"/>
        <v>0</v>
      </c>
      <c r="J48" s="240"/>
      <c r="K48" s="240"/>
      <c r="L48" s="240"/>
      <c r="M48" s="240"/>
      <c r="N48" s="241"/>
      <c r="O48" s="242" t="e" cm="1">
        <f t="array" ref="O48">I48-(SUMPRODUCT(--(NPS관리활동_RAW!A:A&lt;=$BH$43)*(NPS관리활동_RAW!$D:$D="KB 스타뱅킹")*(NPS관리활동_RAW!$E:$E=TRIM($C48))*(NPS관리활동_RAW!$G:$G="긍정"))-SUMPRODUCT(--(NPS관리활동_RAW!A:A&lt;=$BH$43)*(NPS관리활동_RAW!$D:$D="KB 스타뱅킹")*(NPS관리활동_RAW!$E:$E=TRIM($C48))*(NPS관리활동_RAW!$G:$G="부정")))/SUMPRODUCT(--(NPS관리활동_RAW!A:A&lt;=$BH$43)*(NPS관리활동_RAW!$D:$D="KB 스타뱅킹")*(NPS관리활동_RAW!$E:$E=TRIM($C48)))*100</f>
        <v>#VALUE!</v>
      </c>
      <c r="P48" s="240"/>
      <c r="Q48" s="240"/>
      <c r="R48" s="240"/>
      <c r="S48" s="240"/>
      <c r="T48" s="241"/>
      <c r="U48" s="242">
        <f>IFERROR(COUNTIFS(NPS관리활동_RAW!$D:$D, "KB 스타뱅킹", NPS관리활동_RAW!$E:$E, C48, NPS관리활동_RAW!$G:$G,"긍정")/COUNTIFS(NPS관리활동_RAW!$D:$D, "KB 스타뱅킹", NPS관리활동_RAW!$E:$E, C48)*100,0)</f>
        <v>0</v>
      </c>
      <c r="V48" s="240"/>
      <c r="W48" s="240"/>
      <c r="X48" s="240"/>
      <c r="Y48" s="240"/>
      <c r="Z48" s="241"/>
      <c r="AA48" s="242">
        <f>IFERROR(COUNTIFS(NPS관리활동_RAW!$D:$D, "KB 스타뱅킹", NPS관리활동_RAW!$E:$E, C48, NPS관리활동_RAW!$G:$G,"부정")/COUNTIFS(NPS관리활동_RAW!$D:$D, "KB 스타뱅킹", NPS관리활동_RAW!$E:$E, C48)*100,0)</f>
        <v>0</v>
      </c>
      <c r="AB48" s="240"/>
      <c r="AC48" s="240"/>
      <c r="AD48" s="240"/>
      <c r="AE48" s="240"/>
      <c r="AF48" s="243"/>
      <c r="AG48" s="239">
        <f t="shared" si="1"/>
        <v>0</v>
      </c>
      <c r="AH48" s="240"/>
      <c r="AI48" s="240"/>
      <c r="AJ48" s="240"/>
      <c r="AK48" s="240"/>
      <c r="AL48" s="241"/>
      <c r="AM48" s="242" t="e" cm="1">
        <f t="array" ref="AM48">AG48-(SUMPRODUCT(--(NPS관리활동_RAW!A:A&lt;=$BH$43)*(NPS관리활동_RAW!$D:$D="KB 스타뱅킹")*(NPS관리활동_RAW!$E:$E=TRIM($C48))*(NPS관리활동_RAW!$H:$H="불만"))/SUMPRODUCT(--(NPS관리활동_RAW!A:A&lt;=$BH$43)*(NPS관리활동_RAW!$D:$D="KB 스타뱅킹")*(NPS관리활동_RAW!$E:$E=TRIM($C48)))*100)</f>
        <v>#VALUE!</v>
      </c>
      <c r="AN48" s="240"/>
      <c r="AO48" s="240"/>
      <c r="AP48" s="240"/>
      <c r="AQ48" s="240"/>
      <c r="AR48" s="241"/>
      <c r="AS48" s="242">
        <f>IFERROR(COUNTIFS(NPS관리활동_RAW!$D:$D, "KB 스타뱅킹", NPS관리활동_RAW!$E:$E, C48, NPS관리활동_RAW!$H:$H,"칭찬")/COUNTIFS(NPS관리활동_RAW!$D:$D, "KB 스타뱅킹", NPS관리활동_RAW!$E:$E, C48)*100,0)</f>
        <v>0</v>
      </c>
      <c r="AT48" s="240"/>
      <c r="AU48" s="240"/>
      <c r="AV48" s="240"/>
      <c r="AW48" s="240"/>
      <c r="AX48" s="241"/>
      <c r="AY48" s="242">
        <f>IFERROR(COUNTIFS(NPS관리활동_RAW!$D:$D, "KB 스타뱅킹", NPS관리활동_RAW!$E:$E, C48, NPS관리활동_RAW!$H:$H,"불만")/COUNTIFS(NPS관리활동_RAW!$D:$D, "KB 스타뱅킹", NPS관리활동_RAW!$E:$E, C48)*100,0)</f>
        <v>0</v>
      </c>
      <c r="AZ48" s="240"/>
      <c r="BA48" s="240"/>
      <c r="BB48" s="240"/>
      <c r="BC48" s="240"/>
      <c r="BD48" s="240"/>
      <c r="BE48" s="18"/>
      <c r="BF48" s="18"/>
    </row>
    <row r="49" spans="2:58" s="6" customFormat="1" ht="12" customHeight="1" x14ac:dyDescent="0.3">
      <c r="B49" s="101"/>
      <c r="C49" s="102" t="s">
        <v>57</v>
      </c>
      <c r="D49" s="101"/>
      <c r="E49" s="101"/>
      <c r="F49" s="101"/>
      <c r="G49" s="101"/>
      <c r="H49" s="101"/>
      <c r="I49" s="239">
        <f t="shared" si="0"/>
        <v>0</v>
      </c>
      <c r="J49" s="240"/>
      <c r="K49" s="240"/>
      <c r="L49" s="240"/>
      <c r="M49" s="240"/>
      <c r="N49" s="241"/>
      <c r="O49" s="242" t="e" cm="1">
        <f t="array" ref="O49">I49-(SUMPRODUCT(--(NPS관리활동_RAW!A:A&lt;=$BH$43)*(NPS관리활동_RAW!$D:$D="KB 스타뱅킹")*(NPS관리활동_RAW!$E:$E=TRIM($C49))*(NPS관리활동_RAW!$G:$G="긍정"))-SUMPRODUCT(--(NPS관리활동_RAW!A:A&lt;=$BH$43)*(NPS관리활동_RAW!$D:$D="KB 스타뱅킹")*(NPS관리활동_RAW!$E:$E=TRIM($C49))*(NPS관리활동_RAW!$G:$G="부정")))/SUMPRODUCT(--(NPS관리활동_RAW!A:A&lt;=$BH$43)*(NPS관리활동_RAW!$D:$D="KB 스타뱅킹")*(NPS관리활동_RAW!$E:$E=TRIM($C49)))*100</f>
        <v>#VALUE!</v>
      </c>
      <c r="P49" s="240"/>
      <c r="Q49" s="240"/>
      <c r="R49" s="240"/>
      <c r="S49" s="240"/>
      <c r="T49" s="241"/>
      <c r="U49" s="242">
        <f>IFERROR(COUNTIFS(NPS관리활동_RAW!$D:$D, "KB 스타뱅킹", NPS관리활동_RAW!$E:$E, C49, NPS관리활동_RAW!$G:$G,"긍정")/COUNTIFS(NPS관리활동_RAW!$D:$D, "KB 스타뱅킹", NPS관리활동_RAW!$E:$E, C49)*100,0)</f>
        <v>0</v>
      </c>
      <c r="V49" s="240"/>
      <c r="W49" s="240"/>
      <c r="X49" s="240"/>
      <c r="Y49" s="240"/>
      <c r="Z49" s="241"/>
      <c r="AA49" s="242">
        <f>IFERROR(COUNTIFS(NPS관리활동_RAW!$D:$D, "KB 스타뱅킹", NPS관리활동_RAW!$E:$E, C49, NPS관리활동_RAW!$G:$G,"부정")/COUNTIFS(NPS관리활동_RAW!$D:$D, "KB 스타뱅킹", NPS관리활동_RAW!$E:$E, C49)*100,0)</f>
        <v>0</v>
      </c>
      <c r="AB49" s="240"/>
      <c r="AC49" s="240"/>
      <c r="AD49" s="240"/>
      <c r="AE49" s="240"/>
      <c r="AF49" s="243"/>
      <c r="AG49" s="239">
        <f t="shared" si="1"/>
        <v>0</v>
      </c>
      <c r="AH49" s="240"/>
      <c r="AI49" s="240"/>
      <c r="AJ49" s="240"/>
      <c r="AK49" s="240"/>
      <c r="AL49" s="241"/>
      <c r="AM49" s="242" t="e" cm="1">
        <f t="array" ref="AM49">AG49-(SUMPRODUCT(--(NPS관리활동_RAW!A:A&lt;=$BH$43)*(NPS관리활동_RAW!$D:$D="KB 스타뱅킹")*(NPS관리활동_RAW!$E:$E=TRIM($C49))*(NPS관리활동_RAW!$H:$H="불만"))/SUMPRODUCT(--(NPS관리활동_RAW!A:A&lt;=$BH$43)*(NPS관리활동_RAW!$D:$D="KB 스타뱅킹")*(NPS관리활동_RAW!$E:$E=TRIM($C49)))*100)</f>
        <v>#VALUE!</v>
      </c>
      <c r="AN49" s="240"/>
      <c r="AO49" s="240"/>
      <c r="AP49" s="240"/>
      <c r="AQ49" s="240"/>
      <c r="AR49" s="241"/>
      <c r="AS49" s="242">
        <f>IFERROR(COUNTIFS(NPS관리활동_RAW!$D:$D, "KB 스타뱅킹", NPS관리활동_RAW!$E:$E, C49, NPS관리활동_RAW!$H:$H,"칭찬")/COUNTIFS(NPS관리활동_RAW!$D:$D, "KB 스타뱅킹", NPS관리활동_RAW!$E:$E, C49)*100,0)</f>
        <v>0</v>
      </c>
      <c r="AT49" s="240"/>
      <c r="AU49" s="240"/>
      <c r="AV49" s="240"/>
      <c r="AW49" s="240"/>
      <c r="AX49" s="241"/>
      <c r="AY49" s="242">
        <f>IFERROR(COUNTIFS(NPS관리활동_RAW!$D:$D, "KB 스타뱅킹", NPS관리활동_RAW!$E:$E, C49, NPS관리활동_RAW!$H:$H,"불만")/COUNTIFS(NPS관리활동_RAW!$D:$D, "KB 스타뱅킹", NPS관리활동_RAW!$E:$E, C49)*100,0)</f>
        <v>0</v>
      </c>
      <c r="AZ49" s="240"/>
      <c r="BA49" s="240"/>
      <c r="BB49" s="240"/>
      <c r="BC49" s="240"/>
      <c r="BD49" s="240"/>
      <c r="BE49" s="18"/>
      <c r="BF49" s="18"/>
    </row>
    <row r="50" spans="2:58" s="6" customFormat="1" ht="12" customHeight="1" thickBot="1" x14ac:dyDescent="0.35">
      <c r="B50" s="103"/>
      <c r="C50" s="108" t="s">
        <v>58</v>
      </c>
      <c r="D50" s="103"/>
      <c r="E50" s="103"/>
      <c r="F50" s="103"/>
      <c r="G50" s="103"/>
      <c r="H50" s="103"/>
      <c r="I50" s="239">
        <f t="shared" si="0"/>
        <v>0</v>
      </c>
      <c r="J50" s="240"/>
      <c r="K50" s="240"/>
      <c r="L50" s="240"/>
      <c r="M50" s="240"/>
      <c r="N50" s="241"/>
      <c r="O50" s="242" t="e" cm="1">
        <f t="array" ref="O50">I50-(SUMPRODUCT(--(NPS관리활동_RAW!A:A&lt;=$BH$43)*(NPS관리활동_RAW!$D:$D="KB 스타뱅킹")*(NPS관리활동_RAW!$E:$E=TRIM($C50))*(NPS관리활동_RAW!$G:$G="긍정"))-SUMPRODUCT(--(NPS관리활동_RAW!A:A&lt;=$BH$43)*(NPS관리활동_RAW!$D:$D="KB 스타뱅킹")*(NPS관리활동_RAW!$E:$E=TRIM($C50))*(NPS관리활동_RAW!$G:$G="부정")))/SUMPRODUCT(--(NPS관리활동_RAW!A:A&lt;=$BH$43)*(NPS관리활동_RAW!$D:$D="KB 스타뱅킹")*(NPS관리활동_RAW!$E:$E=TRIM($C50)))*100</f>
        <v>#VALUE!</v>
      </c>
      <c r="P50" s="240"/>
      <c r="Q50" s="240"/>
      <c r="R50" s="240"/>
      <c r="S50" s="240"/>
      <c r="T50" s="241"/>
      <c r="U50" s="242">
        <f>IFERROR(COUNTIFS(NPS관리활동_RAW!$D:$D, "KB 스타뱅킹", NPS관리활동_RAW!$E:$E, C50, NPS관리활동_RAW!$G:$G,"긍정")/COUNTIFS(NPS관리활동_RAW!$D:$D, "KB 스타뱅킹", NPS관리활동_RAW!$E:$E, C50)*100,0)</f>
        <v>0</v>
      </c>
      <c r="V50" s="240"/>
      <c r="W50" s="240"/>
      <c r="X50" s="240"/>
      <c r="Y50" s="240"/>
      <c r="Z50" s="241"/>
      <c r="AA50" s="242">
        <f>IFERROR(COUNTIFS(NPS관리활동_RAW!$D:$D, "KB 스타뱅킹", NPS관리활동_RAW!$E:$E, C50, NPS관리활동_RAW!$G:$G,"부정")/COUNTIFS(NPS관리활동_RAW!$D:$D, "KB 스타뱅킹", NPS관리활동_RAW!$E:$E, C50)*100,0)</f>
        <v>0</v>
      </c>
      <c r="AB50" s="240"/>
      <c r="AC50" s="240"/>
      <c r="AD50" s="240"/>
      <c r="AE50" s="240"/>
      <c r="AF50" s="243"/>
      <c r="AG50" s="239">
        <f t="shared" si="1"/>
        <v>0</v>
      </c>
      <c r="AH50" s="240"/>
      <c r="AI50" s="240"/>
      <c r="AJ50" s="240"/>
      <c r="AK50" s="240"/>
      <c r="AL50" s="241"/>
      <c r="AM50" s="242" t="e" cm="1">
        <f t="array" ref="AM50">AG50-(SUMPRODUCT(--(NPS관리활동_RAW!A:A&lt;=$BH$43)*(NPS관리활동_RAW!$D:$D="KB 스타뱅킹")*(NPS관리활동_RAW!$E:$E=TRIM($C50))*(NPS관리활동_RAW!$H:$H="불만"))/SUMPRODUCT(--(NPS관리활동_RAW!A:A&lt;=$BH$43)*(NPS관리활동_RAW!$D:$D="KB 스타뱅킹")*(NPS관리활동_RAW!$E:$E=TRIM($C50)))*100)</f>
        <v>#VALUE!</v>
      </c>
      <c r="AN50" s="240"/>
      <c r="AO50" s="240"/>
      <c r="AP50" s="240"/>
      <c r="AQ50" s="240"/>
      <c r="AR50" s="241"/>
      <c r="AS50" s="242">
        <f>IFERROR(COUNTIFS(NPS관리활동_RAW!$D:$D, "KB 스타뱅킹", NPS관리활동_RAW!$E:$E, C50, NPS관리활동_RAW!$H:$H,"칭찬")/COUNTIFS(NPS관리활동_RAW!$D:$D, "KB 스타뱅킹", NPS관리활동_RAW!$E:$E, C50)*100,0)</f>
        <v>0</v>
      </c>
      <c r="AT50" s="240"/>
      <c r="AU50" s="240"/>
      <c r="AV50" s="240"/>
      <c r="AW50" s="240"/>
      <c r="AX50" s="241"/>
      <c r="AY50" s="242">
        <f>IFERROR(COUNTIFS(NPS관리활동_RAW!$D:$D, "KB 스타뱅킹", NPS관리활동_RAW!$E:$E, C50, NPS관리활동_RAW!$H:$H,"불만")/COUNTIFS(NPS관리활동_RAW!$D:$D, "KB 스타뱅킹", NPS관리활동_RAW!$E:$E, C50)*100,0)</f>
        <v>0</v>
      </c>
      <c r="AZ50" s="240"/>
      <c r="BA50" s="240"/>
      <c r="BB50" s="240"/>
      <c r="BC50" s="240"/>
      <c r="BD50" s="240"/>
      <c r="BE50" s="18"/>
      <c r="BF50" s="18"/>
    </row>
    <row r="51" spans="2:58" s="6" customFormat="1" ht="12" customHeight="1" x14ac:dyDescent="0.3">
      <c r="B51" s="104" t="s">
        <v>10</v>
      </c>
      <c r="C51" s="104"/>
      <c r="D51" s="105"/>
      <c r="E51" s="105"/>
      <c r="F51" s="105"/>
      <c r="G51" s="105"/>
      <c r="H51" s="105"/>
      <c r="I51" s="244" t="e">
        <f>U51-AA51</f>
        <v>#DIV/0!</v>
      </c>
      <c r="J51" s="237"/>
      <c r="K51" s="237"/>
      <c r="L51" s="237"/>
      <c r="M51" s="237"/>
      <c r="N51" s="238"/>
      <c r="O51" s="236" t="e" cm="1">
        <f t="array" ref="O51">Z12-(SUMPRODUCT(--(NPS관리활동_RAW!A:A&lt;=$BH$43)*(NPS관리활동_RAW!$D:$D="영업점")*(NPS관리활동_RAW!$G:$G="긍정"))-SUMPRODUCT(--(NPS관리활동_RAW!A:A&lt;=$BH$43)*(NPS관리활동_RAW!$D:$D="영업점")*(NPS관리활동_RAW!$G:$G="부정")))/SUMPRODUCT(--(NPS관리활동_RAW!A:A&lt;=$BH$43)*(NPS관리활동_RAW!$D:$D="영업점"))*100</f>
        <v>#DIV/0!</v>
      </c>
      <c r="P51" s="237"/>
      <c r="Q51" s="237"/>
      <c r="R51" s="237"/>
      <c r="S51" s="237"/>
      <c r="T51" s="238"/>
      <c r="U51" s="236" t="e">
        <f>IFERROR(COUNTIFS(NPS관리활동_RAW!$D:$D, TRIM(B51), NPS관리활동_RAW!$G:$G, "*긍정*"),0)/IFERROR(COUNTIFS(NPS관리활동_RAW!$D:$D, TRIM(B51)), 1) * 100</f>
        <v>#DIV/0!</v>
      </c>
      <c r="V51" s="237"/>
      <c r="W51" s="237"/>
      <c r="X51" s="237"/>
      <c r="Y51" s="237"/>
      <c r="Z51" s="238"/>
      <c r="AA51" s="236" t="e">
        <f>IFERROR(COUNTIFS(NPS관리활동_RAW!$D:$D, TRIM(B51), NPS관리활동_RAW!$G:$G, "*부정*"),0)/IFERROR(COUNTIFS(NPS관리활동_RAW!$D:$D, TRIM(B51)), 1) * 100</f>
        <v>#DIV/0!</v>
      </c>
      <c r="AB51" s="237"/>
      <c r="AC51" s="237"/>
      <c r="AD51" s="237"/>
      <c r="AE51" s="237"/>
      <c r="AF51" s="245"/>
      <c r="AG51" s="244" t="e">
        <f>AY51</f>
        <v>#DIV/0!</v>
      </c>
      <c r="AH51" s="237"/>
      <c r="AI51" s="237"/>
      <c r="AJ51" s="237"/>
      <c r="AK51" s="237"/>
      <c r="AL51" s="238"/>
      <c r="AM51" s="236" t="e" cm="1">
        <f t="array" ref="AM51">AG51-(SUMPRODUCT(--(NPS관리활동_RAW!A:A&lt;=$BH$43)*(NPS관리활동_RAW!$D:$D="영업점")*(NPS관리활동_RAW!$H:$H="불만"))/SUMPRODUCT(--(NPS관리활동_RAW!A:A&lt;=$BH$43)*(NPS관리활동_RAW!$D:$D="영업점"))*100)</f>
        <v>#DIV/0!</v>
      </c>
      <c r="AN51" s="237"/>
      <c r="AO51" s="237"/>
      <c r="AP51" s="237"/>
      <c r="AQ51" s="237"/>
      <c r="AR51" s="238"/>
      <c r="AS51" s="236" t="e">
        <f>IFERROR(COUNTIFS(NPS관리활동_RAW!$D:$D, TRIM(B51), NPS관리활동_RAW!$H:$H, "*칭찬*"),0)/IFERROR(COUNTIFS(NPS관리활동_RAW!$D:$D, TRIM(B51)), 1) * 100</f>
        <v>#DIV/0!</v>
      </c>
      <c r="AT51" s="237"/>
      <c r="AU51" s="237"/>
      <c r="AV51" s="237"/>
      <c r="AW51" s="237"/>
      <c r="AX51" s="238"/>
      <c r="AY51" s="236" t="e">
        <f>IFERROR(COUNTIFS(NPS관리활동_RAW!$D:$D, TRIM(B51), NPS관리활동_RAW!$H:$H, "*불만*"),0)/IFERROR(COUNTIFS(NPS관리활동_RAW!$D:$D, TRIM(B51)), 1) * 100</f>
        <v>#DIV/0!</v>
      </c>
      <c r="AZ51" s="237"/>
      <c r="BA51" s="237"/>
      <c r="BB51" s="237"/>
      <c r="BC51" s="237"/>
      <c r="BD51" s="237"/>
      <c r="BE51" s="18"/>
      <c r="BF51" s="18"/>
    </row>
    <row r="52" spans="2:58" s="6" customFormat="1" ht="12" customHeight="1" x14ac:dyDescent="0.3">
      <c r="B52" s="101"/>
      <c r="C52" s="102" t="s">
        <v>59</v>
      </c>
      <c r="D52" s="101"/>
      <c r="E52" s="101"/>
      <c r="F52" s="101"/>
      <c r="G52" s="101"/>
      <c r="H52" s="101"/>
      <c r="I52" s="239">
        <f>U52-AA52</f>
        <v>0</v>
      </c>
      <c r="J52" s="240"/>
      <c r="K52" s="240"/>
      <c r="L52" s="240"/>
      <c r="M52" s="240"/>
      <c r="N52" s="241"/>
      <c r="O52" s="242" t="e" cm="1">
        <f t="array" ref="O52">I52-(SUMPRODUCT(--(NPS관리활동_RAW!A:A&lt;=$BH$43)*(NPS관리활동_RAW!$D:$D=$B$51)*(NPS관리활동_RAW!$E:$E=TRIM($C52))*(NPS관리활동_RAW!$G:$G="긍정"))-SUMPRODUCT(--(NPS관리활동_RAW!A:A&lt;=$BH$43)*(NPS관리활동_RAW!$D:$D=$B$51)*(NPS관리활동_RAW!$E:$E=TRIM($C52))*(NPS관리활동_RAW!$G:$G="부정")))/SUMPRODUCT(--(NPS관리활동_RAW!A:A&lt;=$BH$43)*(NPS관리활동_RAW!$D:$D=$B$51)*(NPS관리활동_RAW!$E:$E=TRIM($C52)))*100</f>
        <v>#VALUE!</v>
      </c>
      <c r="P52" s="240"/>
      <c r="Q52" s="240"/>
      <c r="R52" s="240"/>
      <c r="S52" s="240"/>
      <c r="T52" s="241"/>
      <c r="U52" s="242">
        <f>IFERROR(COUNTIFS(NPS관리활동_RAW!$D:$D, "영업점", NPS관리활동_RAW!$E:$E, TRIM(C52), NPS관리활동_RAW!$G:$G,"긍정")/COUNTIFS(NPS관리활동_RAW!$D:$D, "영업점", NPS관리활동_RAW!$E:$E, TRIM(C52))*100,0)</f>
        <v>0</v>
      </c>
      <c r="V52" s="240"/>
      <c r="W52" s="240"/>
      <c r="X52" s="240"/>
      <c r="Y52" s="240"/>
      <c r="Z52" s="241"/>
      <c r="AA52" s="242">
        <f>IFERROR(COUNTIFS(NPS관리활동_RAW!$D:$D, "영업점", NPS관리활동_RAW!$E:$E, TRIM(C52), NPS관리활동_RAW!$G:$G,"부정")/COUNTIFS(NPS관리활동_RAW!$D:$D, "영업점", NPS관리활동_RAW!$E:$E, TRIM(C52))*100,0)</f>
        <v>0</v>
      </c>
      <c r="AB52" s="240"/>
      <c r="AC52" s="240"/>
      <c r="AD52" s="240"/>
      <c r="AE52" s="240"/>
      <c r="AF52" s="243"/>
      <c r="AG52" s="239">
        <f>AY52</f>
        <v>0</v>
      </c>
      <c r="AH52" s="240"/>
      <c r="AI52" s="240"/>
      <c r="AJ52" s="240"/>
      <c r="AK52" s="240"/>
      <c r="AL52" s="241"/>
      <c r="AM52" s="242" t="e" cm="1">
        <f t="array" ref="AM52">AG52-(SUMPRODUCT(--(NPS관리활동_RAW!A:A&lt;=$BH$43)*(NPS관리활동_RAW!$D:$D=$B$51)*(NPS관리활동_RAW!$E:$E=TRIM($C52))*(NPS관리활동_RAW!$H:$H="불만"))/SUMPRODUCT(--(NPS관리활동_RAW!A:A&lt;=$BH$43)*(NPS관리활동_RAW!$D:$D=$B$51)*(NPS관리활동_RAW!$E:$E=TRIM($C52)))*100)</f>
        <v>#VALUE!</v>
      </c>
      <c r="AN52" s="240"/>
      <c r="AO52" s="240"/>
      <c r="AP52" s="240"/>
      <c r="AQ52" s="240"/>
      <c r="AR52" s="241"/>
      <c r="AS52" s="242">
        <f>IFERROR(COUNTIFS(NPS관리활동_RAW!$D:$D, "영업점", NPS관리활동_RAW!$E:$E, TRIM($C52), NPS관리활동_RAW!$H:$H,"칭찬")/COUNTIFS(NPS관리활동_RAW!$D:$D, "영업점", NPS관리활동_RAW!$E:$E, TRIM($C52))*100,0)</f>
        <v>0</v>
      </c>
      <c r="AT52" s="240"/>
      <c r="AU52" s="240"/>
      <c r="AV52" s="240"/>
      <c r="AW52" s="240"/>
      <c r="AX52" s="241"/>
      <c r="AY52" s="242">
        <f>IFERROR(COUNTIFS(NPS관리활동_RAW!$D:$D, "영업점", NPS관리활동_RAW!$E:$E, TRIM($C52), NPS관리활동_RAW!$H:$H,"불만")/COUNTIFS(NPS관리활동_RAW!$D:$D, "영업점", NPS관리활동_RAW!$E:$E, TRIM($C52))*100,0)</f>
        <v>0</v>
      </c>
      <c r="AZ52" s="240"/>
      <c r="BA52" s="240"/>
      <c r="BB52" s="240"/>
      <c r="BC52" s="240"/>
      <c r="BD52" s="240"/>
      <c r="BE52" s="18"/>
      <c r="BF52" s="18"/>
    </row>
    <row r="53" spans="2:58" s="6" customFormat="1" ht="12" customHeight="1" x14ac:dyDescent="0.3">
      <c r="B53" s="101"/>
      <c r="C53" s="102" t="s">
        <v>60</v>
      </c>
      <c r="D53" s="101"/>
      <c r="E53" s="101"/>
      <c r="F53" s="101"/>
      <c r="G53" s="101"/>
      <c r="H53" s="101"/>
      <c r="I53" s="239">
        <f t="shared" ref="I53:I56" si="2">U53-AA53</f>
        <v>0</v>
      </c>
      <c r="J53" s="240"/>
      <c r="K53" s="240"/>
      <c r="L53" s="240"/>
      <c r="M53" s="240"/>
      <c r="N53" s="241"/>
      <c r="O53" s="242" t="e" cm="1">
        <f t="array" ref="O53">I53-(SUMPRODUCT(--(NPS관리활동_RAW!A:A&lt;=$BH$43)*(NPS관리활동_RAW!$D:$D=$B$51)*(NPS관리활동_RAW!$E:$E=TRIM($C53))*(NPS관리활동_RAW!$G:$G="긍정"))-SUMPRODUCT(--(NPS관리활동_RAW!A:A&lt;=$BH$43)*(NPS관리활동_RAW!$D:$D=$B$51)*(NPS관리활동_RAW!$E:$E=TRIM($C53))*(NPS관리활동_RAW!$G:$G="부정")))/SUMPRODUCT(--(NPS관리활동_RAW!A:A&lt;=$BH$43)*(NPS관리활동_RAW!$D:$D=$B$51)*(NPS관리활동_RAW!$E:$E=TRIM($C53)))*100</f>
        <v>#VALUE!</v>
      </c>
      <c r="P53" s="240"/>
      <c r="Q53" s="240"/>
      <c r="R53" s="240"/>
      <c r="S53" s="240"/>
      <c r="T53" s="241"/>
      <c r="U53" s="242">
        <f>IFERROR(COUNTIFS(NPS관리활동_RAW!$D:$D, "영업점", NPS관리활동_RAW!$E:$E, TRIM(C53), NPS관리활동_RAW!$G:$G,"긍정")/COUNTIFS(NPS관리활동_RAW!$D:$D, "영업점", NPS관리활동_RAW!$E:$E, TRIM(C53))*100,0)</f>
        <v>0</v>
      </c>
      <c r="V53" s="240"/>
      <c r="W53" s="240"/>
      <c r="X53" s="240"/>
      <c r="Y53" s="240"/>
      <c r="Z53" s="241"/>
      <c r="AA53" s="242">
        <f>IFERROR(COUNTIFS(NPS관리활동_RAW!$D:$D, "영업점", NPS관리활동_RAW!$E:$E, TRIM(C53), NPS관리활동_RAW!$G:$G,"부정")/COUNTIFS(NPS관리활동_RAW!$D:$D, "영업점", NPS관리활동_RAW!$E:$E, TRIM(C53))*100,0)</f>
        <v>0</v>
      </c>
      <c r="AB53" s="240"/>
      <c r="AC53" s="240"/>
      <c r="AD53" s="240"/>
      <c r="AE53" s="240"/>
      <c r="AF53" s="243"/>
      <c r="AG53" s="239">
        <f>AY53</f>
        <v>0</v>
      </c>
      <c r="AH53" s="240"/>
      <c r="AI53" s="240"/>
      <c r="AJ53" s="240"/>
      <c r="AK53" s="240"/>
      <c r="AL53" s="241"/>
      <c r="AM53" s="242" t="e" cm="1">
        <f t="array" ref="AM53">AG53-(SUMPRODUCT(--(NPS관리활동_RAW!A:A&lt;=$BH$43)*(NPS관리활동_RAW!$D:$D=$B$51)*(NPS관리활동_RAW!$E:$E=TRIM($C53))*(NPS관리활동_RAW!$H:$H="불만"))/SUMPRODUCT(--(NPS관리활동_RAW!A:A&lt;=$BH$43)*(NPS관리활동_RAW!$D:$D=$B$51)*(NPS관리활동_RAW!$E:$E=TRIM($C53)))*100)</f>
        <v>#VALUE!</v>
      </c>
      <c r="AN53" s="240"/>
      <c r="AO53" s="240"/>
      <c r="AP53" s="240"/>
      <c r="AQ53" s="240"/>
      <c r="AR53" s="241"/>
      <c r="AS53" s="242">
        <f>IFERROR(COUNTIFS(NPS관리활동_RAW!$D:$D, "영업점", NPS관리활동_RAW!$E:$E, TRIM($C53), NPS관리활동_RAW!$H:$H,"칭찬")/COUNTIFS(NPS관리활동_RAW!$D:$D, "영업점", NPS관리활동_RAW!$E:$E, TRIM($C53))*100,0)</f>
        <v>0</v>
      </c>
      <c r="AT53" s="240"/>
      <c r="AU53" s="240"/>
      <c r="AV53" s="240"/>
      <c r="AW53" s="240"/>
      <c r="AX53" s="241"/>
      <c r="AY53" s="242">
        <f>IFERROR(COUNTIFS(NPS관리활동_RAW!$D:$D, "영업점", NPS관리활동_RAW!$E:$E, TRIM($C53), NPS관리활동_RAW!$H:$H,"불만")/COUNTIFS(NPS관리활동_RAW!$D:$D, "영업점", NPS관리활동_RAW!$E:$E, TRIM($C53))*100,0)</f>
        <v>0</v>
      </c>
      <c r="AZ53" s="240"/>
      <c r="BA53" s="240"/>
      <c r="BB53" s="240"/>
      <c r="BC53" s="240"/>
      <c r="BD53" s="240"/>
      <c r="BE53" s="18"/>
      <c r="BF53" s="18"/>
    </row>
    <row r="54" spans="2:58" s="6" customFormat="1" ht="12" customHeight="1" x14ac:dyDescent="0.3">
      <c r="B54" s="101"/>
      <c r="C54" s="102" t="s">
        <v>61</v>
      </c>
      <c r="D54" s="101"/>
      <c r="E54" s="101"/>
      <c r="F54" s="101"/>
      <c r="G54" s="101"/>
      <c r="H54" s="101"/>
      <c r="I54" s="239">
        <f t="shared" si="2"/>
        <v>0</v>
      </c>
      <c r="J54" s="240"/>
      <c r="K54" s="240"/>
      <c r="L54" s="240"/>
      <c r="M54" s="240"/>
      <c r="N54" s="241"/>
      <c r="O54" s="242" t="e" cm="1">
        <f t="array" ref="O54">I54-(SUMPRODUCT(--(NPS관리활동_RAW!A:A&lt;=$BH$43)*(NPS관리활동_RAW!$D:$D=$B$51)*(NPS관리활동_RAW!$E:$E=TRIM($C54))*(NPS관리활동_RAW!$G:$G="긍정"))-SUMPRODUCT(--(NPS관리활동_RAW!A:A&lt;=$BH$43)*(NPS관리활동_RAW!$D:$D=$B$51)*(NPS관리활동_RAW!$E:$E=TRIM($C54))*(NPS관리활동_RAW!$G:$G="부정")))/SUMPRODUCT(--(NPS관리활동_RAW!A:A&lt;=$BH$43)*(NPS관리활동_RAW!$D:$D=$B$51)*(NPS관리활동_RAW!$E:$E=TRIM($C54)))*100</f>
        <v>#VALUE!</v>
      </c>
      <c r="P54" s="240"/>
      <c r="Q54" s="240"/>
      <c r="R54" s="240"/>
      <c r="S54" s="240"/>
      <c r="T54" s="241"/>
      <c r="U54" s="242">
        <f>IFERROR(COUNTIFS(NPS관리활동_RAW!$D:$D, "영업점", NPS관리활동_RAW!$E:$E, TRIM(C54), NPS관리활동_RAW!$G:$G,"긍정")/COUNTIFS(NPS관리활동_RAW!$D:$D, "영업점", NPS관리활동_RAW!$E:$E, TRIM(C54))*100,0)</f>
        <v>0</v>
      </c>
      <c r="V54" s="240"/>
      <c r="W54" s="240"/>
      <c r="X54" s="240"/>
      <c r="Y54" s="240"/>
      <c r="Z54" s="241"/>
      <c r="AA54" s="242">
        <f>IFERROR(COUNTIFS(NPS관리활동_RAW!$D:$D, "영업점", NPS관리활동_RAW!$E:$E, TRIM(C54), NPS관리활동_RAW!$G:$G,"부정")/COUNTIFS(NPS관리활동_RAW!$D:$D, "영업점", NPS관리활동_RAW!$E:$E, TRIM(C54))*100,0)</f>
        <v>0</v>
      </c>
      <c r="AB54" s="240"/>
      <c r="AC54" s="240"/>
      <c r="AD54" s="240"/>
      <c r="AE54" s="240"/>
      <c r="AF54" s="243"/>
      <c r="AG54" s="239">
        <f t="shared" ref="AG54:AG56" si="3">AY54</f>
        <v>0</v>
      </c>
      <c r="AH54" s="240"/>
      <c r="AI54" s="240"/>
      <c r="AJ54" s="240"/>
      <c r="AK54" s="240"/>
      <c r="AL54" s="241"/>
      <c r="AM54" s="242" t="e" cm="1">
        <f t="array" ref="AM54">AG54-(SUMPRODUCT(--(NPS관리활동_RAW!A:A&lt;=$BH$43)*(NPS관리활동_RAW!$D:$D=$B$51)*(NPS관리활동_RAW!$E:$E=TRIM($C54))*(NPS관리활동_RAW!$H:$H="불만"))/SUMPRODUCT(--(NPS관리활동_RAW!A:A&lt;=$BH$43)*(NPS관리활동_RAW!$D:$D=$B$51)*(NPS관리활동_RAW!$E:$E=TRIM($C54)))*100)</f>
        <v>#VALUE!</v>
      </c>
      <c r="AN54" s="240"/>
      <c r="AO54" s="240"/>
      <c r="AP54" s="240"/>
      <c r="AQ54" s="240"/>
      <c r="AR54" s="241"/>
      <c r="AS54" s="242">
        <f>IFERROR(COUNTIFS(NPS관리활동_RAW!$D:$D, "영업점", NPS관리활동_RAW!$E:$E, TRIM($C54), NPS관리활동_RAW!$H:$H,"칭찬")/COUNTIFS(NPS관리활동_RAW!$D:$D, "영업점", NPS관리활동_RAW!$E:$E, TRIM($C54))*100,0)</f>
        <v>0</v>
      </c>
      <c r="AT54" s="240"/>
      <c r="AU54" s="240"/>
      <c r="AV54" s="240"/>
      <c r="AW54" s="240"/>
      <c r="AX54" s="241"/>
      <c r="AY54" s="242">
        <f>IFERROR(COUNTIFS(NPS관리활동_RAW!$D:$D, "영업점", NPS관리활동_RAW!$E:$E, TRIM($C54), NPS관리활동_RAW!$H:$H,"불만")/COUNTIFS(NPS관리활동_RAW!$D:$D, "영업점", NPS관리활동_RAW!$E:$E, TRIM($C54))*100,0)</f>
        <v>0</v>
      </c>
      <c r="AZ54" s="240"/>
      <c r="BA54" s="240"/>
      <c r="BB54" s="240"/>
      <c r="BC54" s="240"/>
      <c r="BD54" s="240"/>
      <c r="BE54" s="18"/>
      <c r="BF54" s="18"/>
    </row>
    <row r="55" spans="2:58" s="6" customFormat="1" ht="12" customHeight="1" x14ac:dyDescent="0.3">
      <c r="B55" s="101"/>
      <c r="C55" s="102" t="s">
        <v>62</v>
      </c>
      <c r="D55" s="101"/>
      <c r="E55" s="101"/>
      <c r="F55" s="101"/>
      <c r="G55" s="101"/>
      <c r="H55" s="101"/>
      <c r="I55" s="239">
        <f t="shared" si="2"/>
        <v>0</v>
      </c>
      <c r="J55" s="240"/>
      <c r="K55" s="240"/>
      <c r="L55" s="240"/>
      <c r="M55" s="240"/>
      <c r="N55" s="241"/>
      <c r="O55" s="242" t="e" cm="1">
        <f t="array" ref="O55">I55-(SUMPRODUCT(--(NPS관리활동_RAW!A:A&lt;=$BH$43)*(NPS관리활동_RAW!$D:$D=$B$51)*(NPS관리활동_RAW!$E:$E=TRIM("직원상담"))*(NPS관리활동_RAW!$G:$G="긍정"))-SUMPRODUCT(--(NPS관리활동_RAW!A:A&lt;=$BH$43)*(NPS관리활동_RAW!$D:$D=$B$51)*(NPS관리활동_RAW!$E:$E=TRIM("직원상담"))*(NPS관리활동_RAW!$G:$G="부정")))/SUMPRODUCT(--(NPS관리활동_RAW!A:A&lt;=$BH$43)*(NPS관리활동_RAW!$D:$D=$B$51)*(NPS관리활동_RAW!$E:$E=TRIM("직원상담")))*100</f>
        <v>#VALUE!</v>
      </c>
      <c r="P55" s="240"/>
      <c r="Q55" s="240"/>
      <c r="R55" s="240"/>
      <c r="S55" s="240"/>
      <c r="T55" s="241"/>
      <c r="U55" s="242">
        <f>IFERROR(COUNTIFS(NPS관리활동_RAW!$D:$D, "영업점", NPS관리활동_RAW!$E:$E, TRIM("직원상담"), NPS관리활동_RAW!$G:$G,"긍정")/COUNTIFS(NPS관리활동_RAW!$D:$D, "영업점", NPS관리활동_RAW!$E:$E, TRIM("직원상담"))*100,0)</f>
        <v>0</v>
      </c>
      <c r="V55" s="240"/>
      <c r="W55" s="240"/>
      <c r="X55" s="240"/>
      <c r="Y55" s="240"/>
      <c r="Z55" s="241"/>
      <c r="AA55" s="242">
        <f>IFERROR(COUNTIFS(NPS관리활동_RAW!$D:$D, "영업점", NPS관리활동_RAW!$E:$E, TRIM("직원상담"), NPS관리활동_RAW!$G:$G,"부정")/COUNTIFS(NPS관리활동_RAW!$D:$D, "영업점", NPS관리활동_RAW!$E:$E, TRIM("직원상담"))*100,0)</f>
        <v>0</v>
      </c>
      <c r="AB55" s="240"/>
      <c r="AC55" s="240"/>
      <c r="AD55" s="240"/>
      <c r="AE55" s="240"/>
      <c r="AF55" s="243"/>
      <c r="AG55" s="239">
        <f t="shared" si="3"/>
        <v>0</v>
      </c>
      <c r="AH55" s="240"/>
      <c r="AI55" s="240"/>
      <c r="AJ55" s="240"/>
      <c r="AK55" s="240"/>
      <c r="AL55" s="241"/>
      <c r="AM55" s="242" t="e" cm="1">
        <f t="array" ref="AM55">AG55-(SUMPRODUCT(--(NPS관리활동_RAW!A:A&lt;=$BH$43)*(NPS관리활동_RAW!$D:$D=$B$51)*(NPS관리활동_RAW!$E:$E="직원상담")*(NPS관리활동_RAW!$H:$H="불만"))/SUMPRODUCT(--(NPS관리활동_RAW!A:A&lt;=$BH$43)*(NPS관리활동_RAW!$D:$D=$B$51)*(NPS관리활동_RAW!$E:$E="직원상담"))*100)</f>
        <v>#VALUE!</v>
      </c>
      <c r="AN55" s="240"/>
      <c r="AO55" s="240"/>
      <c r="AP55" s="240"/>
      <c r="AQ55" s="240"/>
      <c r="AR55" s="241"/>
      <c r="AS55" s="242">
        <f>IFERROR(COUNTIFS(NPS관리활동_RAW!$D:$D, "영업점", NPS관리활동_RAW!$E:$E, "직원상담", NPS관리활동_RAW!$H:$H,"칭찬")/COUNTIFS(NPS관리활동_RAW!$D:$D, "영업점", NPS관리활동_RAW!$E:$E, "직원상담")*100,0)</f>
        <v>0</v>
      </c>
      <c r="AT55" s="240"/>
      <c r="AU55" s="240"/>
      <c r="AV55" s="240"/>
      <c r="AW55" s="240"/>
      <c r="AX55" s="241"/>
      <c r="AY55" s="242">
        <f>IFERROR(COUNTIFS(NPS관리활동_RAW!$D:$D, "영업점", NPS관리활동_RAW!$E:$E, "직원상담", NPS관리활동_RAW!$H:$H,"불만")/COUNTIFS(NPS관리활동_RAW!$D:$D, "영업점", NPS관리활동_RAW!$E:$E, "직원상담")*100,0)</f>
        <v>0</v>
      </c>
      <c r="AZ55" s="240"/>
      <c r="BA55" s="240"/>
      <c r="BB55" s="240"/>
      <c r="BC55" s="240"/>
      <c r="BD55" s="240"/>
      <c r="BE55" s="18"/>
      <c r="BF55" s="18"/>
    </row>
    <row r="56" spans="2:58" s="6" customFormat="1" ht="12" customHeight="1" thickBot="1" x14ac:dyDescent="0.35">
      <c r="B56" s="103"/>
      <c r="C56" s="108" t="s">
        <v>63</v>
      </c>
      <c r="D56" s="103"/>
      <c r="E56" s="103"/>
      <c r="F56" s="103"/>
      <c r="G56" s="103"/>
      <c r="H56" s="103"/>
      <c r="I56" s="239">
        <f t="shared" si="2"/>
        <v>0</v>
      </c>
      <c r="J56" s="240"/>
      <c r="K56" s="240"/>
      <c r="L56" s="240"/>
      <c r="M56" s="240"/>
      <c r="N56" s="241"/>
      <c r="O56" s="242" t="e" cm="1">
        <f t="array" ref="O56">I56-(SUMPRODUCT(--(NPS관리활동_RAW!A:A&lt;=$BH$43)*(NPS관리활동_RAW!$D:$D=$B$51)*(NPS관리활동_RAW!$E:$E=TRIM($C56))*(NPS관리활동_RAW!$G:$G="긍정"))-SUMPRODUCT(--(NPS관리활동_RAW!A:A&lt;=$BH$43)*(NPS관리활동_RAW!$D:$D=$B$51)*(NPS관리활동_RAW!$E:$E=TRIM($C56))*(NPS관리활동_RAW!$G:$G="부정")))/SUMPRODUCT(--(NPS관리활동_RAW!A:A&lt;=$BH$43)*(NPS관리활동_RAW!$D:$D=$B$51)*(NPS관리활동_RAW!$E:$E=TRIM($C56)))*100</f>
        <v>#VALUE!</v>
      </c>
      <c r="P56" s="240"/>
      <c r="Q56" s="240"/>
      <c r="R56" s="240"/>
      <c r="S56" s="240"/>
      <c r="T56" s="241"/>
      <c r="U56" s="242">
        <f>IFERROR(COUNTIFS(NPS관리활동_RAW!$D:$D, "영업점", NPS관리활동_RAW!$E:$E, TRIM(C56), NPS관리활동_RAW!$G:$G,"긍정")/COUNTIFS(NPS관리활동_RAW!$D:$D, "영업점", NPS관리활동_RAW!$E:$E, TRIM(C56))*100,0)</f>
        <v>0</v>
      </c>
      <c r="V56" s="240"/>
      <c r="W56" s="240"/>
      <c r="X56" s="240"/>
      <c r="Y56" s="240"/>
      <c r="Z56" s="241"/>
      <c r="AA56" s="242">
        <f>IFERROR(COUNTIFS(NPS관리활동_RAW!$D:$D, "영업점", NPS관리활동_RAW!$E:$E, TRIM(C56), NPS관리활동_RAW!$G:$G,"부정")/COUNTIFS(NPS관리활동_RAW!$D:$D, "영업점", NPS관리활동_RAW!$E:$E, TRIM(C56))*100,0)</f>
        <v>0</v>
      </c>
      <c r="AB56" s="240"/>
      <c r="AC56" s="240"/>
      <c r="AD56" s="240"/>
      <c r="AE56" s="240"/>
      <c r="AF56" s="243"/>
      <c r="AG56" s="239">
        <f t="shared" si="3"/>
        <v>0</v>
      </c>
      <c r="AH56" s="240"/>
      <c r="AI56" s="240"/>
      <c r="AJ56" s="240"/>
      <c r="AK56" s="240"/>
      <c r="AL56" s="241"/>
      <c r="AM56" s="242" t="e" cm="1">
        <f t="array" ref="AM56">AG56-(SUMPRODUCT(--(NPS관리활동_RAW!A:A&lt;=$BH$43)*(NPS관리활동_RAW!$D:$D=$B$51)*(NPS관리활동_RAW!$E:$E=TRIM($C56))*(NPS관리활동_RAW!$H:$H="불만"))/SUMPRODUCT(--(NPS관리활동_RAW!A:A&lt;=$BH$43)*(NPS관리활동_RAW!$D:$D=$B$51)*(NPS관리활동_RAW!$E:$E=TRIM($C56)))*100)</f>
        <v>#VALUE!</v>
      </c>
      <c r="AN56" s="240"/>
      <c r="AO56" s="240"/>
      <c r="AP56" s="240"/>
      <c r="AQ56" s="240"/>
      <c r="AR56" s="241"/>
      <c r="AS56" s="242">
        <f>IFERROR(COUNTIFS(NPS관리활동_RAW!$D:$D, "영업점", NPS관리활동_RAW!$E:$E, TRIM($C56), NPS관리활동_RAW!$H:$H,"칭찬")/COUNTIFS(NPS관리활동_RAW!$D:$D, "영업점", NPS관리활동_RAW!$E:$E, TRIM($C56))*100,0)</f>
        <v>0</v>
      </c>
      <c r="AT56" s="240"/>
      <c r="AU56" s="240"/>
      <c r="AV56" s="240"/>
      <c r="AW56" s="240"/>
      <c r="AX56" s="241"/>
      <c r="AY56" s="242">
        <f>IFERROR(COUNTIFS(NPS관리활동_RAW!$D:$D, "영업점", NPS관리활동_RAW!$E:$E, TRIM($C56), NPS관리활동_RAW!$H:$H,"불만")/COUNTIFS(NPS관리활동_RAW!$D:$D, "영업점", NPS관리활동_RAW!$E:$E, TRIM($C56))*100,0)</f>
        <v>0</v>
      </c>
      <c r="AZ56" s="240"/>
      <c r="BA56" s="240"/>
      <c r="BB56" s="240"/>
      <c r="BC56" s="240"/>
      <c r="BD56" s="240"/>
      <c r="BE56" s="18"/>
      <c r="BF56" s="18"/>
    </row>
    <row r="57" spans="2:58" s="6" customFormat="1" ht="12" customHeight="1" x14ac:dyDescent="0.3">
      <c r="B57" s="104" t="s">
        <v>11</v>
      </c>
      <c r="C57" s="104"/>
      <c r="D57" s="105"/>
      <c r="E57" s="105"/>
      <c r="F57" s="105"/>
      <c r="G57" s="105"/>
      <c r="H57" s="105"/>
      <c r="I57" s="244" t="e">
        <f>U57-AA57</f>
        <v>#DIV/0!</v>
      </c>
      <c r="J57" s="237"/>
      <c r="K57" s="237"/>
      <c r="L57" s="237"/>
      <c r="M57" s="237"/>
      <c r="N57" s="238"/>
      <c r="O57" s="236" t="e" cm="1">
        <f t="array" ref="O57">AK12-(SUMPRODUCT(--(NPS관리활동_RAW!A:A&lt;=$BH$43)*(NPS관리활동_RAW!$D:$D="고객센터")*(NPS관리활동_RAW!$G:$G="긍정"))-SUMPRODUCT(--(NPS관리활동_RAW!A:A&lt;=$BH$43)*(NPS관리활동_RAW!$D:$D="고객센터")*(NPS관리활동_RAW!$G:$G="부정")))/SUMPRODUCT(--(NPS관리활동_RAW!A:A&lt;=$BH$43)*(NPS관리활동_RAW!$D:$D="고객센터"))*100</f>
        <v>#DIV/0!</v>
      </c>
      <c r="P57" s="237"/>
      <c r="Q57" s="237"/>
      <c r="R57" s="237"/>
      <c r="S57" s="237"/>
      <c r="T57" s="238"/>
      <c r="U57" s="236" t="e">
        <f>IFERROR(COUNTIFS(NPS관리활동_RAW!$D:$D, TRIM(B57), NPS관리활동_RAW!$G:$G, "*긍정*"),0)/IFERROR(COUNTIFS(NPS관리활동_RAW!$D:$D, TRIM(B57)), 1) * 100</f>
        <v>#DIV/0!</v>
      </c>
      <c r="V57" s="237"/>
      <c r="W57" s="237"/>
      <c r="X57" s="237"/>
      <c r="Y57" s="237"/>
      <c r="Z57" s="238"/>
      <c r="AA57" s="236" t="e">
        <f>IFERROR(COUNTIFS(NPS관리활동_RAW!$D:$D, TRIM(B57), NPS관리활동_RAW!$G:$G, "*부정*"),0)/IFERROR(COUNTIFS(NPS관리활동_RAW!$D:$D, TRIM(B57)), 1) * 100</f>
        <v>#DIV/0!</v>
      </c>
      <c r="AB57" s="237"/>
      <c r="AC57" s="237"/>
      <c r="AD57" s="237"/>
      <c r="AE57" s="237"/>
      <c r="AF57" s="245"/>
      <c r="AG57" s="244" t="e">
        <f>AY57</f>
        <v>#DIV/0!</v>
      </c>
      <c r="AH57" s="237"/>
      <c r="AI57" s="237"/>
      <c r="AJ57" s="237"/>
      <c r="AK57" s="237"/>
      <c r="AL57" s="238"/>
      <c r="AM57" s="236" t="e" cm="1">
        <f t="array" ref="AM57">AG57-(SUMPRODUCT(--(NPS관리활동_RAW!A:A&lt;=$BH$43)*(NPS관리활동_RAW!$D:$D="고객센터")*(NPS관리활동_RAW!$H:$H="불만"))/SUMPRODUCT(--(NPS관리활동_RAW!A:A&lt;=$BH$43)*(NPS관리활동_RAW!$D:$D="고객센터"))*100)</f>
        <v>#DIV/0!</v>
      </c>
      <c r="AN57" s="237"/>
      <c r="AO57" s="237"/>
      <c r="AP57" s="237"/>
      <c r="AQ57" s="237"/>
      <c r="AR57" s="238"/>
      <c r="AS57" s="236" t="e">
        <f>IFERROR(COUNTIFS(NPS관리활동_RAW!$D:$D, TRIM(B57), NPS관리활동_RAW!$H:$H, "*칭찬*"),0)/IFERROR(COUNTIFS(NPS관리활동_RAW!$D:$D, TRIM(B57)), 1) * 100</f>
        <v>#DIV/0!</v>
      </c>
      <c r="AT57" s="237"/>
      <c r="AU57" s="237"/>
      <c r="AV57" s="237"/>
      <c r="AW57" s="237"/>
      <c r="AX57" s="238"/>
      <c r="AY57" s="236" t="e">
        <f>IFERROR(COUNTIFS(NPS관리활동_RAW!$D:$D, TRIM(B57), NPS관리활동_RAW!$H:$H, "*불만*"),0)/IFERROR(COUNTIFS(NPS관리활동_RAW!$D:$D, TRIM(B57)), 1) * 100</f>
        <v>#DIV/0!</v>
      </c>
      <c r="AZ57" s="237"/>
      <c r="BA57" s="237"/>
      <c r="BB57" s="237"/>
      <c r="BC57" s="237"/>
      <c r="BD57" s="237"/>
      <c r="BE57" s="18"/>
      <c r="BF57" s="18"/>
    </row>
    <row r="58" spans="2:58" s="6" customFormat="1" ht="12" customHeight="1" x14ac:dyDescent="0.3">
      <c r="B58" s="101"/>
      <c r="C58" s="102" t="s">
        <v>21</v>
      </c>
      <c r="D58" s="101"/>
      <c r="E58" s="101"/>
      <c r="F58" s="101"/>
      <c r="G58" s="101"/>
      <c r="H58" s="101"/>
      <c r="I58" s="239">
        <f>U58-AA58</f>
        <v>0</v>
      </c>
      <c r="J58" s="240"/>
      <c r="K58" s="240"/>
      <c r="L58" s="240"/>
      <c r="M58" s="240"/>
      <c r="N58" s="241"/>
      <c r="O58" s="242" t="e" cm="1">
        <f t="array" ref="O58">I58-(SUMPRODUCT(--(NPS관리활동_RAW!A:A&lt;=$BH$43)*(NPS관리활동_RAW!$D:$D=$B$57)*(NPS관리활동_RAW!$E:$E=TRIM($C58))*(NPS관리활동_RAW!$G:$G="긍정"))-SUMPRODUCT(--(NPS관리활동_RAW!A:A&lt;=$BH$43)*(NPS관리활동_RAW!$D:$D=$B$57)*(NPS관리활동_RAW!$E:$E=TRIM($C58))*(NPS관리활동_RAW!$G:$G="부정")))/SUMPRODUCT(--(NPS관리활동_RAW!A:A&lt;=$BH$43)*(NPS관리활동_RAW!$D:$D=$B$57)*(NPS관리활동_RAW!$E:$E=TRIM($C58)))*100</f>
        <v>#VALUE!</v>
      </c>
      <c r="P58" s="240"/>
      <c r="Q58" s="240"/>
      <c r="R58" s="240"/>
      <c r="S58" s="240"/>
      <c r="T58" s="241"/>
      <c r="U58" s="242">
        <f>IFERROR(COUNTIFS(NPS관리활동_RAW!$D:$D, "고객센터", NPS관리활동_RAW!$E:$E, TRIM(C58), NPS관리활동_RAW!$G:$G,"긍정")/COUNTIFS(NPS관리활동_RAW!$D:$D, "고객센터", NPS관리활동_RAW!$E:$E, TRIM(C58))*100,0)</f>
        <v>0</v>
      </c>
      <c r="V58" s="240"/>
      <c r="W58" s="240"/>
      <c r="X58" s="240"/>
      <c r="Y58" s="240"/>
      <c r="Z58" s="241"/>
      <c r="AA58" s="242">
        <f>IFERROR(COUNTIFS(NPS관리활동_RAW!$D:$D, "고객센터", NPS관리활동_RAW!$E:$E, TRIM(C58), NPS관리활동_RAW!$G:$G,"부정")/COUNTIFS(NPS관리활동_RAW!$D:$D, "고객센터", NPS관리활동_RAW!$E:$E, TRIM(C58))*100,0)</f>
        <v>0</v>
      </c>
      <c r="AB58" s="240"/>
      <c r="AC58" s="240"/>
      <c r="AD58" s="240"/>
      <c r="AE58" s="240"/>
      <c r="AF58" s="243"/>
      <c r="AG58" s="239">
        <f>AY58</f>
        <v>0</v>
      </c>
      <c r="AH58" s="240"/>
      <c r="AI58" s="240"/>
      <c r="AJ58" s="240"/>
      <c r="AK58" s="240"/>
      <c r="AL58" s="241"/>
      <c r="AM58" s="242" t="e" cm="1">
        <f t="array" ref="AM58">AG58-(SUMPRODUCT(--(NPS관리활동_RAW!A:A&lt;=$BH$43)*(NPS관리활동_RAW!$D:$D=$B$57)*(NPS관리활동_RAW!$E:$E=TRIM($C58))*(NPS관리활동_RAW!$H:$H="불만"))/SUMPRODUCT(--(NPS관리활동_RAW!A:A&lt;=$BH$43)*(NPS관리활동_RAW!$D:$D=$B$57)*(NPS관리활동_RAW!$E:$E=TRIM($C58)))*100)</f>
        <v>#VALUE!</v>
      </c>
      <c r="AN58" s="240"/>
      <c r="AO58" s="240"/>
      <c r="AP58" s="240"/>
      <c r="AQ58" s="240"/>
      <c r="AR58" s="241"/>
      <c r="AS58" s="242">
        <f>IFERROR(COUNTIFS(NPS관리활동_RAW!$D:$D, "고객센터", NPS관리활동_RAW!$E:$E, TRIM($C58), NPS관리활동_RAW!$H:$H,"칭찬")/COUNTIFS(NPS관리활동_RAW!$D:$D, "고객센터", NPS관리활동_RAW!$E:$E, TRIM($C58))*100,0)</f>
        <v>0</v>
      </c>
      <c r="AT58" s="240"/>
      <c r="AU58" s="240"/>
      <c r="AV58" s="240"/>
      <c r="AW58" s="240"/>
      <c r="AX58" s="241"/>
      <c r="AY58" s="242">
        <f>IFERROR(COUNTIFS(NPS관리활동_RAW!$D:$D, "고객센터", NPS관리활동_RAW!$E:$E, TRIM($C58), NPS관리활동_RAW!$H:$H,"불만")/COUNTIFS(NPS관리활동_RAW!$D:$D, "고객센터", NPS관리활동_RAW!$E:$E, TRIM($C58))*100,0)</f>
        <v>0</v>
      </c>
      <c r="AZ58" s="240"/>
      <c r="BA58" s="240"/>
      <c r="BB58" s="240"/>
      <c r="BC58" s="240"/>
      <c r="BD58" s="240"/>
      <c r="BE58" s="18"/>
      <c r="BF58" s="18"/>
    </row>
    <row r="59" spans="2:58" s="6" customFormat="1" ht="12" customHeight="1" x14ac:dyDescent="0.3">
      <c r="B59" s="101"/>
      <c r="C59" s="102" t="s">
        <v>24</v>
      </c>
      <c r="D59" s="101"/>
      <c r="E59" s="101"/>
      <c r="F59" s="101"/>
      <c r="G59" s="101"/>
      <c r="H59" s="101"/>
      <c r="I59" s="239">
        <f>U59-AA59</f>
        <v>0</v>
      </c>
      <c r="J59" s="240"/>
      <c r="K59" s="240"/>
      <c r="L59" s="240"/>
      <c r="M59" s="240"/>
      <c r="N59" s="241"/>
      <c r="O59" s="242" t="e" cm="1">
        <f t="array" ref="O59">I59-(SUMPRODUCT(--(NPS관리활동_RAW!A:A&lt;=$BH$43)*(NPS관리활동_RAW!$D:$D=$B$57)*(NPS관리활동_RAW!$E:$E=TRIM($C59))*(NPS관리활동_RAW!$G:$G="긍정"))-SUMPRODUCT(--(NPS관리활동_RAW!A:A&lt;=$BH$43)*(NPS관리활동_RAW!$D:$D=$B$57)*(NPS관리활동_RAW!$E:$E=TRIM($C59))*(NPS관리활동_RAW!$G:$G="부정")))/SUMPRODUCT(--(NPS관리활동_RAW!A:A&lt;=$BH$43)*(NPS관리활동_RAW!$D:$D=$B$57)*(NPS관리활동_RAW!$E:$E=TRIM($C59)))*100</f>
        <v>#VALUE!</v>
      </c>
      <c r="P59" s="240"/>
      <c r="Q59" s="240"/>
      <c r="R59" s="240"/>
      <c r="S59" s="240"/>
      <c r="T59" s="241"/>
      <c r="U59" s="242">
        <f>IFERROR(COUNTIFS(NPS관리활동_RAW!$D:$D, "고객센터", NPS관리활동_RAW!$E:$E, TRIM(C59), NPS관리활동_RAW!$G:$G,"긍정")/COUNTIFS(NPS관리활동_RAW!$D:$D, "고객센터", NPS관리활동_RAW!$E:$E, TRIM(C59))*100,0)</f>
        <v>0</v>
      </c>
      <c r="V59" s="240"/>
      <c r="W59" s="240"/>
      <c r="X59" s="240"/>
      <c r="Y59" s="240"/>
      <c r="Z59" s="241"/>
      <c r="AA59" s="242">
        <f>IFERROR(COUNTIFS(NPS관리활동_RAW!$D:$D, "고객센터", NPS관리활동_RAW!$E:$E, TRIM(C59), NPS관리활동_RAW!$G:$G,"부정")/COUNTIFS(NPS관리활동_RAW!$D:$D, "고객센터", NPS관리활동_RAW!$E:$E, TRIM(C59))*100,0)</f>
        <v>0</v>
      </c>
      <c r="AB59" s="240"/>
      <c r="AC59" s="240"/>
      <c r="AD59" s="240"/>
      <c r="AE59" s="240"/>
      <c r="AF59" s="243"/>
      <c r="AG59" s="239">
        <f>AY59</f>
        <v>0</v>
      </c>
      <c r="AH59" s="240"/>
      <c r="AI59" s="240"/>
      <c r="AJ59" s="240"/>
      <c r="AK59" s="240"/>
      <c r="AL59" s="241"/>
      <c r="AM59" s="242" t="e" cm="1">
        <f t="array" ref="AM59">AG59-(SUMPRODUCT(--(NPS관리활동_RAW!A:A&lt;=$BH$43)*(NPS관리활동_RAW!$D:$D=$B$57)*(NPS관리활동_RAW!$E:$E=TRIM($C59))*(NPS관리활동_RAW!$H:$H="불만"))/SUMPRODUCT(--(NPS관리활동_RAW!A:A&lt;=$BH$43)*(NPS관리활동_RAW!$D:$D=$B$57)*(NPS관리활동_RAW!$E:$E=TRIM($C59)))*100)</f>
        <v>#VALUE!</v>
      </c>
      <c r="AN59" s="240"/>
      <c r="AO59" s="240"/>
      <c r="AP59" s="240"/>
      <c r="AQ59" s="240"/>
      <c r="AR59" s="241"/>
      <c r="AS59" s="242">
        <f>IFERROR(COUNTIFS(NPS관리활동_RAW!$D:$D, "고객센터", NPS관리활동_RAW!$E:$E, TRIM($C59), NPS관리활동_RAW!$H:$H,"칭찬")/COUNTIFS(NPS관리활동_RAW!$D:$D, "고객센터", NPS관리활동_RAW!$E:$E, TRIM($C59))*100,0)</f>
        <v>0</v>
      </c>
      <c r="AT59" s="240"/>
      <c r="AU59" s="240"/>
      <c r="AV59" s="240"/>
      <c r="AW59" s="240"/>
      <c r="AX59" s="241"/>
      <c r="AY59" s="242">
        <f>IFERROR(COUNTIFS(NPS관리활동_RAW!$D:$D, "고객센터", NPS관리활동_RAW!$E:$E, TRIM($C59), NPS관리활동_RAW!$H:$H,"불만")/COUNTIFS(NPS관리활동_RAW!$D:$D, "고객센터", NPS관리활동_RAW!$E:$E, TRIM($C59))*100,0)</f>
        <v>0</v>
      </c>
      <c r="AZ59" s="240"/>
      <c r="BA59" s="240"/>
      <c r="BB59" s="240"/>
      <c r="BC59" s="240"/>
      <c r="BD59" s="240"/>
      <c r="BE59" s="18"/>
      <c r="BF59" s="18"/>
    </row>
    <row r="60" spans="2:58" s="6" customFormat="1" ht="12" customHeight="1" x14ac:dyDescent="0.3">
      <c r="B60" s="101"/>
      <c r="C60" s="102" t="s">
        <v>23</v>
      </c>
      <c r="D60" s="101"/>
      <c r="E60" s="101"/>
      <c r="F60" s="101"/>
      <c r="G60" s="101"/>
      <c r="H60" s="101"/>
      <c r="I60" s="239">
        <f t="shared" ref="I60:I63" si="4">U60-AA60</f>
        <v>0</v>
      </c>
      <c r="J60" s="240"/>
      <c r="K60" s="240"/>
      <c r="L60" s="240"/>
      <c r="M60" s="240"/>
      <c r="N60" s="241"/>
      <c r="O60" s="242" t="e" cm="1">
        <f t="array" ref="O60">I60-(SUMPRODUCT(--(NPS관리활동_RAW!A:A&lt;=$BH$43)*(NPS관리활동_RAW!$D:$D=$B$57)*(NPS관리활동_RAW!$E:$E=TRIM($C60))*(NPS관리활동_RAW!$G:$G="긍정"))-SUMPRODUCT(--(NPS관리활동_RAW!A:A&lt;=$BH$43)*(NPS관리활동_RAW!$D:$D=$B$57)*(NPS관리활동_RAW!$E:$E=TRIM($C60))*(NPS관리활동_RAW!$G:$G="부정")))/SUMPRODUCT(--(NPS관리활동_RAW!A:A&lt;=$BH$43)*(NPS관리활동_RAW!$D:$D=$B$57)*(NPS관리활동_RAW!$E:$E=TRIM($C60)))*100</f>
        <v>#VALUE!</v>
      </c>
      <c r="P60" s="240"/>
      <c r="Q60" s="240"/>
      <c r="R60" s="240"/>
      <c r="S60" s="240"/>
      <c r="T60" s="241"/>
      <c r="U60" s="242">
        <f>IFERROR(COUNTIFS(NPS관리활동_RAW!$D:$D, "고객센터", NPS관리활동_RAW!$E:$E, TRIM(C60), NPS관리활동_RAW!$G:$G,"긍정")/COUNTIFS(NPS관리활동_RAW!$D:$D, "고객센터", NPS관리활동_RAW!$E:$E, TRIM(C60))*100,0)</f>
        <v>0</v>
      </c>
      <c r="V60" s="240"/>
      <c r="W60" s="240"/>
      <c r="X60" s="240"/>
      <c r="Y60" s="240"/>
      <c r="Z60" s="241"/>
      <c r="AA60" s="242">
        <f>IFERROR(COUNTIFS(NPS관리활동_RAW!$D:$D, "고객센터", NPS관리활동_RAW!$E:$E, TRIM(C60), NPS관리활동_RAW!$G:$G,"부정")/COUNTIFS(NPS관리활동_RAW!$D:$D, "고객센터", NPS관리활동_RAW!$E:$E, TRIM(C60))*100,0)</f>
        <v>0</v>
      </c>
      <c r="AB60" s="240"/>
      <c r="AC60" s="240"/>
      <c r="AD60" s="240"/>
      <c r="AE60" s="240"/>
      <c r="AF60" s="243"/>
      <c r="AG60" s="239">
        <f t="shared" ref="AG60:AG63" si="5">AY60</f>
        <v>0</v>
      </c>
      <c r="AH60" s="240"/>
      <c r="AI60" s="240"/>
      <c r="AJ60" s="240"/>
      <c r="AK60" s="240"/>
      <c r="AL60" s="241"/>
      <c r="AM60" s="242" t="e" cm="1">
        <f t="array" ref="AM60">AG60-(SUMPRODUCT(--(NPS관리활동_RAW!A:A&lt;=$BH$43)*(NPS관리활동_RAW!$D:$D=$B$57)*(NPS관리활동_RAW!$E:$E=TRIM($C60))*(NPS관리활동_RAW!$H:$H="불만"))/SUMPRODUCT(--(NPS관리활동_RAW!A:A&lt;=$BH$43)*(NPS관리활동_RAW!$D:$D=$B$57)*(NPS관리활동_RAW!$E:$E=TRIM($C60)))*100)</f>
        <v>#VALUE!</v>
      </c>
      <c r="AN60" s="240"/>
      <c r="AO60" s="240"/>
      <c r="AP60" s="240"/>
      <c r="AQ60" s="240"/>
      <c r="AR60" s="241"/>
      <c r="AS60" s="242">
        <f>IFERROR(COUNTIFS(NPS관리활동_RAW!$D:$D, "고객센터", NPS관리활동_RAW!$E:$E, TRIM($C60), NPS관리활동_RAW!$H:$H,"칭찬")/COUNTIFS(NPS관리활동_RAW!$D:$D, "고객센터", NPS관리활동_RAW!$E:$E, TRIM($C60))*100,0)</f>
        <v>0</v>
      </c>
      <c r="AT60" s="240"/>
      <c r="AU60" s="240"/>
      <c r="AV60" s="240"/>
      <c r="AW60" s="240"/>
      <c r="AX60" s="241"/>
      <c r="AY60" s="242">
        <f>IFERROR(COUNTIFS(NPS관리활동_RAW!$D:$D, "고객센터", NPS관리활동_RAW!$E:$E, TRIM($C60), NPS관리활동_RAW!$H:$H,"불만")/COUNTIFS(NPS관리활동_RAW!$D:$D, "고객센터", NPS관리활동_RAW!$E:$E, TRIM($C60))*100,0)</f>
        <v>0</v>
      </c>
      <c r="AZ60" s="240"/>
      <c r="BA60" s="240"/>
      <c r="BB60" s="240"/>
      <c r="BC60" s="240"/>
      <c r="BD60" s="240"/>
      <c r="BE60" s="18"/>
      <c r="BF60" s="18"/>
    </row>
    <row r="61" spans="2:58" s="6" customFormat="1" ht="12" customHeight="1" x14ac:dyDescent="0.3">
      <c r="B61" s="101"/>
      <c r="C61" s="102" t="s">
        <v>28</v>
      </c>
      <c r="D61" s="101"/>
      <c r="E61" s="101"/>
      <c r="F61" s="101"/>
      <c r="G61" s="101"/>
      <c r="H61" s="101"/>
      <c r="I61" s="239">
        <f t="shared" si="4"/>
        <v>0</v>
      </c>
      <c r="J61" s="240"/>
      <c r="K61" s="240"/>
      <c r="L61" s="240"/>
      <c r="M61" s="240"/>
      <c r="N61" s="241"/>
      <c r="O61" s="242" t="e" cm="1">
        <f t="array" ref="O61">I61-(SUMPRODUCT(--(NPS관리활동_RAW!A:A&lt;=$BH$43)*(NPS관리활동_RAW!$D:$D=$B$57)*(NPS관리활동_RAW!$E:$E=TRIM($C61))*(NPS관리활동_RAW!$G:$G="긍정"))-SUMPRODUCT(--(NPS관리활동_RAW!A:A&lt;=$BH$43)*(NPS관리활동_RAW!$D:$D=$B$57)*(NPS관리활동_RAW!$E:$E=TRIM($C61))*(NPS관리활동_RAW!$G:$G="부정")))/SUMPRODUCT(--(NPS관리활동_RAW!A:A&lt;=$BH$43)*(NPS관리활동_RAW!$D:$D=$B$57)*(NPS관리활동_RAW!$E:$E=TRIM($C61)))*100</f>
        <v>#VALUE!</v>
      </c>
      <c r="P61" s="240"/>
      <c r="Q61" s="240"/>
      <c r="R61" s="240"/>
      <c r="S61" s="240"/>
      <c r="T61" s="241"/>
      <c r="U61" s="242">
        <f>IFERROR(COUNTIFS(NPS관리활동_RAW!$D:$D, "고객센터", NPS관리활동_RAW!$E:$E, TRIM(C61), NPS관리활동_RAW!$G:$G,"긍정")/COUNTIFS(NPS관리활동_RAW!$D:$D, "고객센터", NPS관리활동_RAW!$E:$E, TRIM(C61))*100,0)</f>
        <v>0</v>
      </c>
      <c r="V61" s="240"/>
      <c r="W61" s="240"/>
      <c r="X61" s="240"/>
      <c r="Y61" s="240"/>
      <c r="Z61" s="241"/>
      <c r="AA61" s="242">
        <f>IFERROR(COUNTIFS(NPS관리활동_RAW!$D:$D, "고객센터", NPS관리활동_RAW!$E:$E, TRIM(C61), NPS관리활동_RAW!$G:$G,"부정")/COUNTIFS(NPS관리활동_RAW!$D:$D, "고객센터", NPS관리활동_RAW!$E:$E, TRIM(C61))*100,0)</f>
        <v>0</v>
      </c>
      <c r="AB61" s="240"/>
      <c r="AC61" s="240"/>
      <c r="AD61" s="240"/>
      <c r="AE61" s="240"/>
      <c r="AF61" s="243"/>
      <c r="AG61" s="239">
        <f t="shared" si="5"/>
        <v>0</v>
      </c>
      <c r="AH61" s="240"/>
      <c r="AI61" s="240"/>
      <c r="AJ61" s="240"/>
      <c r="AK61" s="240"/>
      <c r="AL61" s="241"/>
      <c r="AM61" s="242" t="e" cm="1">
        <f t="array" ref="AM61">AG61-(SUMPRODUCT(--(NPS관리활동_RAW!A:A&lt;=$BH$43)*(NPS관리활동_RAW!$D:$D=$B$57)*(NPS관리활동_RAW!$E:$E=TRIM($C61))*(NPS관리활동_RAW!$H:$H="불만"))/SUMPRODUCT(--(NPS관리활동_RAW!A:A&lt;=$BH$43)*(NPS관리활동_RAW!$D:$D=$B$57)*(NPS관리활동_RAW!$E:$E=TRIM($C61)))*100)</f>
        <v>#VALUE!</v>
      </c>
      <c r="AN61" s="240"/>
      <c r="AO61" s="240"/>
      <c r="AP61" s="240"/>
      <c r="AQ61" s="240"/>
      <c r="AR61" s="241"/>
      <c r="AS61" s="242">
        <f>IFERROR(COUNTIFS(NPS관리활동_RAW!$D:$D, "고객센터", NPS관리활동_RAW!$E:$E, TRIM($C61), NPS관리활동_RAW!$H:$H,"칭찬")/COUNTIFS(NPS관리활동_RAW!$D:$D, "고객센터", NPS관리활동_RAW!$E:$E, TRIM($C61))*100,0)</f>
        <v>0</v>
      </c>
      <c r="AT61" s="240"/>
      <c r="AU61" s="240"/>
      <c r="AV61" s="240"/>
      <c r="AW61" s="240"/>
      <c r="AX61" s="241"/>
      <c r="AY61" s="242">
        <f>IFERROR(COUNTIFS(NPS관리활동_RAW!$D:$D, "고객센터", NPS관리활동_RAW!$E:$E, TRIM($C61), NPS관리활동_RAW!$H:$H,"불만")/COUNTIFS(NPS관리활동_RAW!$D:$D, "고객센터", NPS관리활동_RAW!$E:$E, TRIM($C61))*100,0)</f>
        <v>0</v>
      </c>
      <c r="AZ61" s="240"/>
      <c r="BA61" s="240"/>
      <c r="BB61" s="240"/>
      <c r="BC61" s="240"/>
      <c r="BD61" s="240"/>
      <c r="BE61" s="18"/>
      <c r="BF61" s="18"/>
    </row>
    <row r="62" spans="2:58" s="6" customFormat="1" ht="12" customHeight="1" x14ac:dyDescent="0.3">
      <c r="B62" s="101"/>
      <c r="C62" s="102" t="s">
        <v>31</v>
      </c>
      <c r="D62" s="101"/>
      <c r="E62" s="101"/>
      <c r="F62" s="101"/>
      <c r="G62" s="101"/>
      <c r="H62" s="101"/>
      <c r="I62" s="239">
        <f t="shared" si="4"/>
        <v>0</v>
      </c>
      <c r="J62" s="240"/>
      <c r="K62" s="240"/>
      <c r="L62" s="240"/>
      <c r="M62" s="240"/>
      <c r="N62" s="241"/>
      <c r="O62" s="242" t="e" cm="1">
        <f t="array" ref="O62">I62-(SUMPRODUCT(--(NPS관리활동_RAW!A:A&lt;=$BH$43)*(NPS관리활동_RAW!$D:$D=$B$57)*(NPS관리활동_RAW!$E:$E=TRIM($C62))*(NPS관리활동_RAW!$G:$G="긍정"))-SUMPRODUCT(--(NPS관리활동_RAW!A:A&lt;=$BH$43)*(NPS관리활동_RAW!$D:$D=$B$57)*(NPS관리활동_RAW!$E:$E=TRIM($C62))*(NPS관리활동_RAW!$G:$G="부정")))/SUMPRODUCT(--(NPS관리활동_RAW!A:A&lt;=$BH$43)*(NPS관리활동_RAW!$D:$D=$B$57)*(NPS관리활동_RAW!$E:$E=TRIM($C62)))*100</f>
        <v>#VALUE!</v>
      </c>
      <c r="P62" s="240"/>
      <c r="Q62" s="240"/>
      <c r="R62" s="240"/>
      <c r="S62" s="240"/>
      <c r="T62" s="241"/>
      <c r="U62" s="242">
        <f>IFERROR(COUNTIFS(NPS관리활동_RAW!$D:$D, "고객센터", NPS관리활동_RAW!$E:$E, TRIM(C62), NPS관리활동_RAW!$G:$G,"긍정")/COUNTIFS(NPS관리활동_RAW!$D:$D, "고객센터", NPS관리활동_RAW!$E:$E, TRIM(C62))*100,0)</f>
        <v>0</v>
      </c>
      <c r="V62" s="240"/>
      <c r="W62" s="240"/>
      <c r="X62" s="240"/>
      <c r="Y62" s="240"/>
      <c r="Z62" s="241"/>
      <c r="AA62" s="242">
        <f>IFERROR(COUNTIFS(NPS관리활동_RAW!$D:$D, "고객센터", NPS관리활동_RAW!$E:$E, TRIM(C62), NPS관리활동_RAW!$G:$G,"부정")/COUNTIFS(NPS관리활동_RAW!$D:$D, "고객센터", NPS관리활동_RAW!$E:$E, TRIM(C62))*100,0)</f>
        <v>0</v>
      </c>
      <c r="AB62" s="240"/>
      <c r="AC62" s="240"/>
      <c r="AD62" s="240"/>
      <c r="AE62" s="240"/>
      <c r="AF62" s="243"/>
      <c r="AG62" s="239">
        <f t="shared" si="5"/>
        <v>0</v>
      </c>
      <c r="AH62" s="240"/>
      <c r="AI62" s="240"/>
      <c r="AJ62" s="240"/>
      <c r="AK62" s="240"/>
      <c r="AL62" s="241"/>
      <c r="AM62" s="242" t="e" cm="1">
        <f t="array" ref="AM62">AG62-(SUMPRODUCT(--(NPS관리활동_RAW!A:A&lt;=$BH$43)*(NPS관리활동_RAW!$D:$D=$B$57)*(NPS관리활동_RAW!$E:$E=TRIM($C62))*(NPS관리활동_RAW!$H:$H="불만"))/SUMPRODUCT(--(NPS관리활동_RAW!A:A&lt;=$BH$43)*(NPS관리활동_RAW!$D:$D=$B$57)*(NPS관리활동_RAW!$E:$E=TRIM($C62)))*100)</f>
        <v>#VALUE!</v>
      </c>
      <c r="AN62" s="240"/>
      <c r="AO62" s="240"/>
      <c r="AP62" s="240"/>
      <c r="AQ62" s="240"/>
      <c r="AR62" s="241"/>
      <c r="AS62" s="242">
        <f>IFERROR(COUNTIFS(NPS관리활동_RAW!$D:$D, "고객센터", NPS관리활동_RAW!$E:$E, TRIM($C62), NPS관리활동_RAW!$H:$H,"칭찬")/COUNTIFS(NPS관리활동_RAW!$D:$D, "고객센터", NPS관리활동_RAW!$E:$E, TRIM($C62))*100,0)</f>
        <v>0</v>
      </c>
      <c r="AT62" s="240"/>
      <c r="AU62" s="240"/>
      <c r="AV62" s="240"/>
      <c r="AW62" s="240"/>
      <c r="AX62" s="241"/>
      <c r="AY62" s="242">
        <f>IFERROR(COUNTIFS(NPS관리활동_RAW!$D:$D, "고객센터", NPS관리활동_RAW!$E:$E, TRIM($C62), NPS관리활동_RAW!$H:$H,"불만")/COUNTIFS(NPS관리활동_RAW!$D:$D, "고객센터", NPS관리활동_RAW!$E:$E, TRIM($C62))*100,0)</f>
        <v>0</v>
      </c>
      <c r="AZ62" s="240"/>
      <c r="BA62" s="240"/>
      <c r="BB62" s="240"/>
      <c r="BC62" s="240"/>
      <c r="BD62" s="240"/>
      <c r="BE62" s="18"/>
      <c r="BF62" s="18"/>
    </row>
    <row r="63" spans="2:58" s="6" customFormat="1" ht="12" customHeight="1" thickBot="1" x14ac:dyDescent="0.35">
      <c r="B63" s="103"/>
      <c r="C63" s="108" t="s">
        <v>33</v>
      </c>
      <c r="D63" s="103"/>
      <c r="E63" s="103"/>
      <c r="F63" s="103"/>
      <c r="G63" s="103"/>
      <c r="H63" s="103"/>
      <c r="I63" s="239">
        <f t="shared" si="4"/>
        <v>0</v>
      </c>
      <c r="J63" s="240"/>
      <c r="K63" s="240"/>
      <c r="L63" s="240"/>
      <c r="M63" s="240"/>
      <c r="N63" s="241"/>
      <c r="O63" s="242" t="e" cm="1">
        <f t="array" ref="O63">I63-(SUMPRODUCT(--(NPS관리활동_RAW!A:A&lt;=$BH$43)*(NPS관리활동_RAW!$D:$D=$B$57)*(NPS관리활동_RAW!$E:$E=TRIM($C63))*(NPS관리활동_RAW!$G:$G="긍정"))-SUMPRODUCT(--(NPS관리활동_RAW!A:A&lt;=$BH$43)*(NPS관리활동_RAW!$D:$D=$B$57)*(NPS관리활동_RAW!$E:$E=TRIM($C63))*(NPS관리활동_RAW!$G:$G="부정")))/SUMPRODUCT(--(NPS관리활동_RAW!A:A&lt;=$BH$43)*(NPS관리활동_RAW!$D:$D=$B$57)*(NPS관리활동_RAW!$E:$E=TRIM($C63)))*100</f>
        <v>#VALUE!</v>
      </c>
      <c r="P63" s="240"/>
      <c r="Q63" s="240"/>
      <c r="R63" s="240"/>
      <c r="S63" s="240"/>
      <c r="T63" s="241"/>
      <c r="U63" s="242">
        <f>IFERROR(COUNTIFS(NPS관리활동_RAW!$D:$D, "고객센터", NPS관리활동_RAW!$E:$E, TRIM(C63), NPS관리활동_RAW!$G:$G,"긍정")/COUNTIFS(NPS관리활동_RAW!$D:$D, "고객센터", NPS관리활동_RAW!$E:$E, TRIM(C63))*100,0)</f>
        <v>0</v>
      </c>
      <c r="V63" s="240"/>
      <c r="W63" s="240"/>
      <c r="X63" s="240"/>
      <c r="Y63" s="240"/>
      <c r="Z63" s="241"/>
      <c r="AA63" s="242">
        <f>IFERROR(COUNTIFS(NPS관리활동_RAW!$D:$D, "고객센터", NPS관리활동_RAW!$E:$E, TRIM(C63), NPS관리활동_RAW!$G:$G,"부정")/COUNTIFS(NPS관리활동_RAW!$D:$D, "고객센터", NPS관리활동_RAW!$E:$E, TRIM(C63))*100,0)</f>
        <v>0</v>
      </c>
      <c r="AB63" s="240"/>
      <c r="AC63" s="240"/>
      <c r="AD63" s="240"/>
      <c r="AE63" s="240"/>
      <c r="AF63" s="243"/>
      <c r="AG63" s="239">
        <f t="shared" si="5"/>
        <v>0</v>
      </c>
      <c r="AH63" s="240"/>
      <c r="AI63" s="240"/>
      <c r="AJ63" s="240"/>
      <c r="AK63" s="240"/>
      <c r="AL63" s="241"/>
      <c r="AM63" s="242" t="e" cm="1">
        <f t="array" ref="AM63">AG63-(SUMPRODUCT(--(NPS관리활동_RAW!A:A&lt;=$BH$43)*(NPS관리활동_RAW!$D:$D=$B$57)*(NPS관리활동_RAW!$E:$E=TRIM($C63))*(NPS관리활동_RAW!$H:$H="불만"))/SUMPRODUCT(--(NPS관리활동_RAW!A:A&lt;=$BH$43)*(NPS관리활동_RAW!$D:$D=$B$57)*(NPS관리활동_RAW!$E:$E=TRIM($C63)))*100)</f>
        <v>#VALUE!</v>
      </c>
      <c r="AN63" s="240"/>
      <c r="AO63" s="240"/>
      <c r="AP63" s="240"/>
      <c r="AQ63" s="240"/>
      <c r="AR63" s="241"/>
      <c r="AS63" s="242">
        <f>IFERROR(COUNTIFS(NPS관리활동_RAW!$D:$D, "고객센터", NPS관리활동_RAW!$E:$E, TRIM($C63), NPS관리활동_RAW!$H:$H,"칭찬")/COUNTIFS(NPS관리활동_RAW!$D:$D, "고객센터", NPS관리활동_RAW!$E:$E, TRIM($C63))*100,0)</f>
        <v>0</v>
      </c>
      <c r="AT63" s="240"/>
      <c r="AU63" s="240"/>
      <c r="AV63" s="240"/>
      <c r="AW63" s="240"/>
      <c r="AX63" s="241"/>
      <c r="AY63" s="242">
        <f>IFERROR(COUNTIFS(NPS관리활동_RAW!$D:$D, "고객센터", NPS관리활동_RAW!$E:$E, TRIM($C63), NPS관리활동_RAW!$H:$H,"불만")/COUNTIFS(NPS관리활동_RAW!$D:$D, "고객센터", NPS관리활동_RAW!$E:$E, TRIM($C63))*100,0)</f>
        <v>0</v>
      </c>
      <c r="AZ63" s="240"/>
      <c r="BA63" s="240"/>
      <c r="BB63" s="240"/>
      <c r="BC63" s="240"/>
      <c r="BD63" s="240"/>
      <c r="BE63" s="18"/>
      <c r="BF63" s="18"/>
    </row>
    <row r="64" spans="2:58" s="6" customFormat="1" ht="12" customHeight="1" x14ac:dyDescent="0.3">
      <c r="B64" s="104" t="s">
        <v>13</v>
      </c>
      <c r="C64" s="104"/>
      <c r="D64" s="105"/>
      <c r="E64" s="105"/>
      <c r="F64" s="105"/>
      <c r="G64" s="105"/>
      <c r="H64" s="105"/>
      <c r="I64" s="244" t="e">
        <f>U64-AA64</f>
        <v>#DIV/0!</v>
      </c>
      <c r="J64" s="237"/>
      <c r="K64" s="237"/>
      <c r="L64" s="237"/>
      <c r="M64" s="237"/>
      <c r="N64" s="238"/>
      <c r="O64" s="236" t="e" cm="1">
        <f t="array" ref="O64">AV12-(SUMPRODUCT(--(NPS관리활동_RAW!A:A&lt;=$BH$43)*(NPS관리활동_RAW!$D:$D="상품")*(NPS관리활동_RAW!$G:$G="긍정"))-SUMPRODUCT(--(NPS관리활동_RAW!A:A&lt;=$BH$43)*(NPS관리활동_RAW!$D:$D="상품")*(NPS관리활동_RAW!$G:$G="부정")))/SUMPRODUCT(--(NPS관리활동_RAW!A:A&lt;=$BH$43)*(NPS관리활동_RAW!$D:$D="상품"))*100</f>
        <v>#DIV/0!</v>
      </c>
      <c r="P64" s="237"/>
      <c r="Q64" s="237"/>
      <c r="R64" s="237"/>
      <c r="S64" s="237"/>
      <c r="T64" s="238"/>
      <c r="U64" s="236" t="e">
        <f>IFERROR(COUNTIFS(NPS관리활동_RAW!$D:$D, TRIM(B64), NPS관리활동_RAW!$G:$G, "*긍정*"),0)/IFERROR(COUNTIFS(NPS관리활동_RAW!$D:$D, TRIM(B64)), 1) * 100</f>
        <v>#DIV/0!</v>
      </c>
      <c r="V64" s="237"/>
      <c r="W64" s="237"/>
      <c r="X64" s="237"/>
      <c r="Y64" s="237"/>
      <c r="Z64" s="238"/>
      <c r="AA64" s="236" t="e">
        <f>IFERROR(COUNTIFS(NPS관리활동_RAW!$D:$D, TRIM(B64), NPS관리활동_RAW!$G:$G, "*부정*"),0)/IFERROR(COUNTIFS(NPS관리활동_RAW!$D:$D, TRIM(B64)), 1) * 100</f>
        <v>#DIV/0!</v>
      </c>
      <c r="AB64" s="237"/>
      <c r="AC64" s="237"/>
      <c r="AD64" s="237"/>
      <c r="AE64" s="237"/>
      <c r="AF64" s="245"/>
      <c r="AG64" s="244" t="e">
        <f>AY64</f>
        <v>#DIV/0!</v>
      </c>
      <c r="AH64" s="237"/>
      <c r="AI64" s="237"/>
      <c r="AJ64" s="237"/>
      <c r="AK64" s="237"/>
      <c r="AL64" s="238"/>
      <c r="AM64" s="236" t="e" cm="1">
        <f t="array" ref="AM64">AG64-(SUMPRODUCT(--(NPS관리활동_RAW!A:A&lt;=$BH$43)*(NPS관리활동_RAW!$D:$D="상품")*(NPS관리활동_RAW!$H:$H="불만"))/SUMPRODUCT(--(NPS관리활동_RAW!A:A&lt;=$BH$43)*(NPS관리활동_RAW!$D:$D="상품"))*100)</f>
        <v>#DIV/0!</v>
      </c>
      <c r="AN64" s="237"/>
      <c r="AO64" s="237"/>
      <c r="AP64" s="237"/>
      <c r="AQ64" s="237"/>
      <c r="AR64" s="238"/>
      <c r="AS64" s="236" t="e">
        <f>IFERROR(COUNTIFS(NPS관리활동_RAW!$D:$D, TRIM(B64), NPS관리활동_RAW!$H:$H, "*칭찬*"),0)/IFERROR(COUNTIFS(NPS관리활동_RAW!$D:$D, TRIM(B64)), 1) * 100</f>
        <v>#DIV/0!</v>
      </c>
      <c r="AT64" s="237"/>
      <c r="AU64" s="237"/>
      <c r="AV64" s="237"/>
      <c r="AW64" s="237"/>
      <c r="AX64" s="238"/>
      <c r="AY64" s="236" t="e">
        <f>IFERROR(COUNTIFS(NPS관리활동_RAW!$D:$D, TRIM(B64), NPS관리활동_RAW!$H:$H, "*불만*"),0)/IFERROR(COUNTIFS(NPS관리활동_RAW!$D:$D, TRIM(B64)), 1) * 100</f>
        <v>#DIV/0!</v>
      </c>
      <c r="AZ64" s="237"/>
      <c r="BA64" s="237"/>
      <c r="BB64" s="237"/>
      <c r="BC64" s="237"/>
      <c r="BD64" s="237"/>
      <c r="BE64" s="18"/>
      <c r="BF64" s="18"/>
    </row>
    <row r="65" spans="2:58" s="6" customFormat="1" ht="12" customHeight="1" x14ac:dyDescent="0.3">
      <c r="B65" s="101"/>
      <c r="C65" s="102" t="s">
        <v>22</v>
      </c>
      <c r="D65" s="101"/>
      <c r="E65" s="101"/>
      <c r="F65" s="101"/>
      <c r="G65" s="101"/>
      <c r="H65" s="101"/>
      <c r="I65" s="239">
        <f>U65-AA65</f>
        <v>0</v>
      </c>
      <c r="J65" s="240"/>
      <c r="K65" s="240"/>
      <c r="L65" s="240"/>
      <c r="M65" s="240"/>
      <c r="N65" s="241"/>
      <c r="O65" s="242" t="e" cm="1">
        <f t="array" ref="O65">I65-(SUMPRODUCT(--(NPS관리활동_RAW!A:A&lt;=$BH$43)*(NPS관리활동_RAW!$D:$D=$B$64)*(NPS관리활동_RAW!$E:$E=TRIM($C65))*(NPS관리활동_RAW!$G:$G="긍정"))-SUMPRODUCT(--(NPS관리활동_RAW!A:A&lt;=$BH$43)*(NPS관리활동_RAW!$D:$D=$B$64)*(NPS관리활동_RAW!$E:$E=TRIM($C65))*(NPS관리활동_RAW!$G:$G="부정")))/SUMPRODUCT(--(NPS관리활동_RAW!A:A&lt;=$BH$43)*(NPS관리활동_RAW!$D:$D=$B$64)*(NPS관리활동_RAW!$E:$E=TRIM($C65)))*100</f>
        <v>#VALUE!</v>
      </c>
      <c r="P65" s="240"/>
      <c r="Q65" s="240"/>
      <c r="R65" s="240"/>
      <c r="S65" s="240"/>
      <c r="T65" s="241"/>
      <c r="U65" s="242">
        <f>IFERROR(COUNTIFS(NPS관리활동_RAW!$D:$D, "상품", NPS관리활동_RAW!$E:$E, TRIM(C65), NPS관리활동_RAW!$G:$G,"긍정")/COUNTIFS(NPS관리활동_RAW!$D:$D, "상품", NPS관리활동_RAW!$E:$E, TRIM(C65))*100,0)</f>
        <v>0</v>
      </c>
      <c r="V65" s="240"/>
      <c r="W65" s="240"/>
      <c r="X65" s="240"/>
      <c r="Y65" s="240"/>
      <c r="Z65" s="241"/>
      <c r="AA65" s="242">
        <f>IFERROR(COUNTIFS(NPS관리활동_RAW!$D:$D, "상품", NPS관리활동_RAW!$E:$E, TRIM(C65), NPS관리활동_RAW!$G:$G,"부정")/COUNTIFS(NPS관리활동_RAW!$D:$D, "상품", NPS관리활동_RAW!$E:$E, TRIM(C65))*100,0)</f>
        <v>0</v>
      </c>
      <c r="AB65" s="240"/>
      <c r="AC65" s="240"/>
      <c r="AD65" s="240"/>
      <c r="AE65" s="240"/>
      <c r="AF65" s="243"/>
      <c r="AG65" s="239">
        <f>AY65</f>
        <v>0</v>
      </c>
      <c r="AH65" s="240"/>
      <c r="AI65" s="240"/>
      <c r="AJ65" s="240"/>
      <c r="AK65" s="240"/>
      <c r="AL65" s="241"/>
      <c r="AM65" s="242" t="e" cm="1">
        <f t="array" ref="AM65">AG65-(SUMPRODUCT(--(NPS관리활동_RAW!A:A&lt;=$BH$43)*(NPS관리활동_RAW!$D:$D=$B$64)*(NPS관리활동_RAW!$E:$E=TRIM($C65))*(NPS관리활동_RAW!$H:$H="불만"))/SUMPRODUCT(--(NPS관리활동_RAW!A:A&lt;=$BH$43)*(NPS관리활동_RAW!$D:$D=$B$64)*(NPS관리활동_RAW!$E:$E=TRIM($C65)))*100)</f>
        <v>#VALUE!</v>
      </c>
      <c r="AN65" s="240"/>
      <c r="AO65" s="240"/>
      <c r="AP65" s="240"/>
      <c r="AQ65" s="240"/>
      <c r="AR65" s="241"/>
      <c r="AS65" s="242">
        <f>IFERROR(COUNTIFS(NPS관리활동_RAW!$D:$D, "상품", NPS관리활동_RAW!$E:$E, TRIM($C65), NPS관리활동_RAW!$H:$H,"칭찬")/COUNTIFS(NPS관리활동_RAW!$D:$D, "상품", NPS관리활동_RAW!$E:$E, TRIM($C65))*100,0)</f>
        <v>0</v>
      </c>
      <c r="AT65" s="240"/>
      <c r="AU65" s="240"/>
      <c r="AV65" s="240"/>
      <c r="AW65" s="240"/>
      <c r="AX65" s="241"/>
      <c r="AY65" s="242">
        <f>IFERROR(COUNTIFS(NPS관리활동_RAW!$D:$D, "상품", NPS관리활동_RAW!$E:$E, TRIM($C65), NPS관리활동_RAW!$H:$H,"불만")/COUNTIFS(NPS관리활동_RAW!$D:$D, "상품", NPS관리활동_RAW!$E:$E, TRIM($C65))*100,0)</f>
        <v>0</v>
      </c>
      <c r="AZ65" s="240"/>
      <c r="BA65" s="240"/>
      <c r="BB65" s="240"/>
      <c r="BC65" s="240"/>
      <c r="BD65" s="240"/>
      <c r="BE65" s="18"/>
      <c r="BF65" s="18"/>
    </row>
    <row r="66" spans="2:58" s="6" customFormat="1" ht="12" customHeight="1" x14ac:dyDescent="0.3">
      <c r="B66" s="101"/>
      <c r="C66" s="102" t="s">
        <v>25</v>
      </c>
      <c r="D66" s="101"/>
      <c r="E66" s="101"/>
      <c r="F66" s="101"/>
      <c r="G66" s="101"/>
      <c r="H66" s="101"/>
      <c r="I66" s="239">
        <f>U66-AA66</f>
        <v>0</v>
      </c>
      <c r="J66" s="240"/>
      <c r="K66" s="240"/>
      <c r="L66" s="240"/>
      <c r="M66" s="240"/>
      <c r="N66" s="241"/>
      <c r="O66" s="242" t="e" cm="1">
        <f t="array" ref="O66">I66-(SUMPRODUCT(--(NPS관리활동_RAW!A:A&lt;=$BH$43)*(NPS관리활동_RAW!$D:$D=$B$64)*(NPS관리활동_RAW!$E:$E=TRIM($C66))*(NPS관리활동_RAW!$G:$G="긍정"))-SUMPRODUCT(--(NPS관리활동_RAW!A:A&lt;=$BH$43)*(NPS관리활동_RAW!$D:$D=$B$64)*(NPS관리활동_RAW!$E:$E=TRIM($C66))*(NPS관리활동_RAW!$G:$G="부정")))/SUMPRODUCT(--(NPS관리활동_RAW!A:A&lt;=$BH$43)*(NPS관리활동_RAW!$D:$D=$B$64)*(NPS관리활동_RAW!$E:$E=TRIM($C66)))*100</f>
        <v>#VALUE!</v>
      </c>
      <c r="P66" s="240"/>
      <c r="Q66" s="240"/>
      <c r="R66" s="240"/>
      <c r="S66" s="240"/>
      <c r="T66" s="241"/>
      <c r="U66" s="242">
        <f>IFERROR(COUNTIFS(NPS관리활동_RAW!$D:$D, "상품", NPS관리활동_RAW!$E:$E, TRIM(C66), NPS관리활동_RAW!$G:$G,"긍정")/COUNTIFS(NPS관리활동_RAW!$D:$D, "상품", NPS관리활동_RAW!$E:$E, TRIM(C66))*100,0)</f>
        <v>0</v>
      </c>
      <c r="V66" s="240"/>
      <c r="W66" s="240"/>
      <c r="X66" s="240"/>
      <c r="Y66" s="240"/>
      <c r="Z66" s="241"/>
      <c r="AA66" s="242">
        <f>IFERROR(COUNTIFS(NPS관리활동_RAW!$D:$D, "상품", NPS관리활동_RAW!$E:$E, TRIM(C66), NPS관리활동_RAW!$G:$G,"부정")/COUNTIFS(NPS관리활동_RAW!$D:$D, "상품", NPS관리활동_RAW!$E:$E, TRIM(C66))*100,0)</f>
        <v>0</v>
      </c>
      <c r="AB66" s="240"/>
      <c r="AC66" s="240"/>
      <c r="AD66" s="240"/>
      <c r="AE66" s="240"/>
      <c r="AF66" s="243"/>
      <c r="AG66" s="239">
        <f>AY66</f>
        <v>0</v>
      </c>
      <c r="AH66" s="240"/>
      <c r="AI66" s="240"/>
      <c r="AJ66" s="240"/>
      <c r="AK66" s="240"/>
      <c r="AL66" s="241"/>
      <c r="AM66" s="242" t="e" cm="1">
        <f t="array" ref="AM66">AG66-(SUMPRODUCT(--(NPS관리활동_RAW!A:A&lt;=$BH$43)*(NPS관리활동_RAW!$D:$D=$B$64)*(NPS관리활동_RAW!$E:$E=TRIM($C66))*(NPS관리활동_RAW!$H:$H="불만"))/SUMPRODUCT(--(NPS관리활동_RAW!A:A&lt;=$BH$43)*(NPS관리활동_RAW!$D:$D=$B$64)*(NPS관리활동_RAW!$E:$E=TRIM($C66)))*100)</f>
        <v>#VALUE!</v>
      </c>
      <c r="AN66" s="240"/>
      <c r="AO66" s="240"/>
      <c r="AP66" s="240"/>
      <c r="AQ66" s="240"/>
      <c r="AR66" s="241"/>
      <c r="AS66" s="242">
        <f>IFERROR(COUNTIFS(NPS관리활동_RAW!$D:$D, "상품", NPS관리활동_RAW!$E:$E, TRIM($C66), NPS관리활동_RAW!$H:$H,"칭찬")/COUNTIFS(NPS관리활동_RAW!$D:$D, "상품", NPS관리활동_RAW!$E:$E, TRIM($C66))*100,0)</f>
        <v>0</v>
      </c>
      <c r="AT66" s="240"/>
      <c r="AU66" s="240"/>
      <c r="AV66" s="240"/>
      <c r="AW66" s="240"/>
      <c r="AX66" s="241"/>
      <c r="AY66" s="242">
        <f>IFERROR(COUNTIFS(NPS관리활동_RAW!$D:$D, "상품", NPS관리활동_RAW!$E:$E, TRIM($C66), NPS관리활동_RAW!$H:$H,"불만")/COUNTIFS(NPS관리활동_RAW!$D:$D, "상품", NPS관리활동_RAW!$E:$E, TRIM($C66))*100,0)</f>
        <v>0</v>
      </c>
      <c r="AZ66" s="240"/>
      <c r="BA66" s="240"/>
      <c r="BB66" s="240"/>
      <c r="BC66" s="240"/>
      <c r="BD66" s="240"/>
      <c r="BE66" s="18"/>
      <c r="BF66" s="18"/>
    </row>
    <row r="67" spans="2:58" s="6" customFormat="1" ht="12" customHeight="1" x14ac:dyDescent="0.3">
      <c r="B67" s="101"/>
      <c r="C67" s="102" t="s">
        <v>27</v>
      </c>
      <c r="D67" s="101"/>
      <c r="E67" s="101"/>
      <c r="F67" s="101"/>
      <c r="G67" s="101"/>
      <c r="H67" s="101"/>
      <c r="I67" s="239">
        <f t="shared" ref="I67:I70" si="6">U67-AA67</f>
        <v>0</v>
      </c>
      <c r="J67" s="240"/>
      <c r="K67" s="240"/>
      <c r="L67" s="240"/>
      <c r="M67" s="240"/>
      <c r="N67" s="241"/>
      <c r="O67" s="242" t="e" cm="1">
        <f t="array" ref="O67">I67-(SUMPRODUCT(--(NPS관리활동_RAW!A:A&lt;=$BH$43)*(NPS관리활동_RAW!$D:$D=$B$64)*(NPS관리활동_RAW!$E:$E=TRIM($C67))*(NPS관리활동_RAW!$G:$G="긍정"))-SUMPRODUCT(--(NPS관리활동_RAW!A:A&lt;=$BH$43)*(NPS관리활동_RAW!$D:$D=$B$64)*(NPS관리활동_RAW!$E:$E=TRIM($C67))*(NPS관리활동_RAW!$G:$G="부정")))/SUMPRODUCT(--(NPS관리활동_RAW!A:A&lt;=$BH$43)*(NPS관리활동_RAW!$D:$D=$B$64)*(NPS관리활동_RAW!$E:$E=TRIM($C67)))*100</f>
        <v>#VALUE!</v>
      </c>
      <c r="P67" s="240"/>
      <c r="Q67" s="240"/>
      <c r="R67" s="240"/>
      <c r="S67" s="240"/>
      <c r="T67" s="241"/>
      <c r="U67" s="242">
        <f>IFERROR(COUNTIFS(NPS관리활동_RAW!$D:$D, "상품", NPS관리활동_RAW!$E:$E, TRIM(C67), NPS관리활동_RAW!$G:$G,"긍정")/COUNTIFS(NPS관리활동_RAW!$D:$D, "상품", NPS관리활동_RAW!$E:$E, TRIM(C67))*100,0)</f>
        <v>0</v>
      </c>
      <c r="V67" s="240"/>
      <c r="W67" s="240"/>
      <c r="X67" s="240"/>
      <c r="Y67" s="240"/>
      <c r="Z67" s="241"/>
      <c r="AA67" s="242">
        <f>IFERROR(COUNTIFS(NPS관리활동_RAW!$D:$D, "상품", NPS관리활동_RAW!$E:$E, TRIM(C67), NPS관리활동_RAW!$G:$G,"부정")/COUNTIFS(NPS관리활동_RAW!$D:$D, "상품", NPS관리활동_RAW!$E:$E, TRIM(C67))*100,0)</f>
        <v>0</v>
      </c>
      <c r="AB67" s="240"/>
      <c r="AC67" s="240"/>
      <c r="AD67" s="240"/>
      <c r="AE67" s="240"/>
      <c r="AF67" s="243"/>
      <c r="AG67" s="239">
        <f t="shared" ref="AG67:AG70" si="7">AY67</f>
        <v>0</v>
      </c>
      <c r="AH67" s="240"/>
      <c r="AI67" s="240"/>
      <c r="AJ67" s="240"/>
      <c r="AK67" s="240"/>
      <c r="AL67" s="241"/>
      <c r="AM67" s="242" t="e" cm="1">
        <f t="array" ref="AM67">AG67-(SUMPRODUCT(--(NPS관리활동_RAW!A:A&lt;=$BH$43)*(NPS관리활동_RAW!$D:$D=$B$64)*(NPS관리활동_RAW!$E:$E=TRIM($C67))*(NPS관리활동_RAW!$H:$H="불만"))/SUMPRODUCT(--(NPS관리활동_RAW!A:A&lt;=$BH$43)*(NPS관리활동_RAW!$D:$D=$B$64)*(NPS관리활동_RAW!$E:$E=TRIM($C67)))*100)</f>
        <v>#VALUE!</v>
      </c>
      <c r="AN67" s="240"/>
      <c r="AO67" s="240"/>
      <c r="AP67" s="240"/>
      <c r="AQ67" s="240"/>
      <c r="AR67" s="241"/>
      <c r="AS67" s="242">
        <f>IFERROR(COUNTIFS(NPS관리활동_RAW!$D:$D, "상품", NPS관리활동_RAW!$E:$E, TRIM($C67), NPS관리활동_RAW!$H:$H,"칭찬")/COUNTIFS(NPS관리활동_RAW!$D:$D, "상품", NPS관리활동_RAW!$E:$E, TRIM($C67))*100,0)</f>
        <v>0</v>
      </c>
      <c r="AT67" s="240"/>
      <c r="AU67" s="240"/>
      <c r="AV67" s="240"/>
      <c r="AW67" s="240"/>
      <c r="AX67" s="241"/>
      <c r="AY67" s="242">
        <f>IFERROR(COUNTIFS(NPS관리활동_RAW!$D:$D, "상품", NPS관리활동_RAW!$E:$E, TRIM($C67), NPS관리활동_RAW!$H:$H,"불만")/COUNTIFS(NPS관리활동_RAW!$D:$D, "상품", NPS관리활동_RAW!$E:$E, TRIM($C67))*100,0)</f>
        <v>0</v>
      </c>
      <c r="AZ67" s="240"/>
      <c r="BA67" s="240"/>
      <c r="BB67" s="240"/>
      <c r="BC67" s="240"/>
      <c r="BD67" s="240"/>
      <c r="BE67" s="18"/>
      <c r="BF67" s="18"/>
    </row>
    <row r="68" spans="2:58" s="6" customFormat="1" ht="12" customHeight="1" x14ac:dyDescent="0.3">
      <c r="B68" s="101"/>
      <c r="C68" s="102" t="s">
        <v>29</v>
      </c>
      <c r="D68" s="101"/>
      <c r="E68" s="101"/>
      <c r="F68" s="101"/>
      <c r="G68" s="101"/>
      <c r="H68" s="101"/>
      <c r="I68" s="239">
        <f t="shared" si="6"/>
        <v>0</v>
      </c>
      <c r="J68" s="240"/>
      <c r="K68" s="240"/>
      <c r="L68" s="240"/>
      <c r="M68" s="240"/>
      <c r="N68" s="241"/>
      <c r="O68" s="242" t="e" cm="1">
        <f t="array" ref="O68">I68-(SUMPRODUCT(--(NPS관리활동_RAW!A:A&lt;=$BH$43)*(NPS관리활동_RAW!$D:$D=$B$64)*(NPS관리활동_RAW!$E:$E=TRIM($C68))*(NPS관리활동_RAW!$G:$G="긍정"))-SUMPRODUCT(--(NPS관리활동_RAW!A:A&lt;=$BH$43)*(NPS관리활동_RAW!$D:$D=$B$64)*(NPS관리활동_RAW!$E:$E=TRIM($C68))*(NPS관리활동_RAW!$G:$G="부정")))/SUMPRODUCT(--(NPS관리활동_RAW!A:A&lt;=$BH$43)*(NPS관리활동_RAW!$D:$D=$B$64)*(NPS관리활동_RAW!$E:$E=TRIM($C68)))*100</f>
        <v>#VALUE!</v>
      </c>
      <c r="P68" s="240"/>
      <c r="Q68" s="240"/>
      <c r="R68" s="240"/>
      <c r="S68" s="240"/>
      <c r="T68" s="241"/>
      <c r="U68" s="242">
        <f>IFERROR(COUNTIFS(NPS관리활동_RAW!$D:$D, "상품", NPS관리활동_RAW!$E:$E, TRIM(C68), NPS관리활동_RAW!$G:$G,"긍정")/COUNTIFS(NPS관리활동_RAW!$D:$D, "상품", NPS관리활동_RAW!$E:$E, TRIM(C68))*100,0)</f>
        <v>0</v>
      </c>
      <c r="V68" s="240"/>
      <c r="W68" s="240"/>
      <c r="X68" s="240"/>
      <c r="Y68" s="240"/>
      <c r="Z68" s="241"/>
      <c r="AA68" s="242">
        <f>IFERROR(COUNTIFS(NPS관리활동_RAW!$D:$D, "상품", NPS관리활동_RAW!$E:$E, TRIM(C68), NPS관리활동_RAW!$G:$G,"부정")/COUNTIFS(NPS관리활동_RAW!$D:$D, "상품", NPS관리활동_RAW!$E:$E, TRIM(C68))*100,0)</f>
        <v>0</v>
      </c>
      <c r="AB68" s="240"/>
      <c r="AC68" s="240"/>
      <c r="AD68" s="240"/>
      <c r="AE68" s="240"/>
      <c r="AF68" s="243"/>
      <c r="AG68" s="239">
        <f t="shared" si="7"/>
        <v>0</v>
      </c>
      <c r="AH68" s="240"/>
      <c r="AI68" s="240"/>
      <c r="AJ68" s="240"/>
      <c r="AK68" s="240"/>
      <c r="AL68" s="241"/>
      <c r="AM68" s="242" t="e" cm="1">
        <f t="array" ref="AM68">AG68-(SUMPRODUCT(--(NPS관리활동_RAW!A:A&lt;=$BH$43)*(NPS관리활동_RAW!$D:$D=$B$64)*(NPS관리활동_RAW!$E:$E=TRIM($C68))*(NPS관리활동_RAW!$H:$H="불만"))/SUMPRODUCT(--(NPS관리활동_RAW!A:A&lt;=$BH$43)*(NPS관리활동_RAW!$D:$D=$B$64)*(NPS관리활동_RAW!$E:$E=TRIM($C68)))*100)</f>
        <v>#VALUE!</v>
      </c>
      <c r="AN68" s="240"/>
      <c r="AO68" s="240"/>
      <c r="AP68" s="240"/>
      <c r="AQ68" s="240"/>
      <c r="AR68" s="241"/>
      <c r="AS68" s="242">
        <f>IFERROR(COUNTIFS(NPS관리활동_RAW!$D:$D, "상품", NPS관리활동_RAW!$E:$E, TRIM($C68), NPS관리활동_RAW!$H:$H,"칭찬")/COUNTIFS(NPS관리활동_RAW!$D:$D, "상품", NPS관리활동_RAW!$E:$E, TRIM($C68))*100,0)</f>
        <v>0</v>
      </c>
      <c r="AT68" s="240"/>
      <c r="AU68" s="240"/>
      <c r="AV68" s="240"/>
      <c r="AW68" s="240"/>
      <c r="AX68" s="241"/>
      <c r="AY68" s="242">
        <f>IFERROR(COUNTIFS(NPS관리활동_RAW!$D:$D, "상품", NPS관리활동_RAW!$E:$E, TRIM($C68), NPS관리활동_RAW!$H:$H,"불만")/COUNTIFS(NPS관리활동_RAW!$D:$D, "상품", NPS관리활동_RAW!$E:$E, TRIM($C68))*100,0)</f>
        <v>0</v>
      </c>
      <c r="AZ68" s="240"/>
      <c r="BA68" s="240"/>
      <c r="BB68" s="240"/>
      <c r="BC68" s="240"/>
      <c r="BD68" s="240"/>
      <c r="BE68" s="18"/>
      <c r="BF68" s="18"/>
    </row>
    <row r="69" spans="2:58" s="6" customFormat="1" ht="12" customHeight="1" x14ac:dyDescent="0.3">
      <c r="B69" s="101"/>
      <c r="C69" s="102" t="s">
        <v>32</v>
      </c>
      <c r="D69" s="101"/>
      <c r="E69" s="101"/>
      <c r="F69" s="101"/>
      <c r="G69" s="101"/>
      <c r="H69" s="101"/>
      <c r="I69" s="239">
        <f t="shared" si="6"/>
        <v>0</v>
      </c>
      <c r="J69" s="240"/>
      <c r="K69" s="240"/>
      <c r="L69" s="240"/>
      <c r="M69" s="240"/>
      <c r="N69" s="241"/>
      <c r="O69" s="242" t="e" cm="1">
        <f t="array" ref="O69">I69-(SUMPRODUCT(--(NPS관리활동_RAW!A:A&lt;=$BH$43)*(NPS관리활동_RAW!$D:$D=$B$64)*(NPS관리활동_RAW!$E:$E=TRIM($C69))*(NPS관리활동_RAW!$G:$G="긍정"))-SUMPRODUCT(--(NPS관리활동_RAW!A:A&lt;=$BH$43)*(NPS관리활동_RAW!$D:$D=$B$64)*(NPS관리활동_RAW!$E:$E=TRIM($C69))*(NPS관리활동_RAW!$G:$G="부정")))/SUMPRODUCT(--(NPS관리활동_RAW!A:A&lt;=$BH$43)*(NPS관리활동_RAW!$D:$D=$B$64)*(NPS관리활동_RAW!$E:$E=TRIM($C69)))*100</f>
        <v>#VALUE!</v>
      </c>
      <c r="P69" s="240"/>
      <c r="Q69" s="240"/>
      <c r="R69" s="240"/>
      <c r="S69" s="240"/>
      <c r="T69" s="241"/>
      <c r="U69" s="242">
        <f>IFERROR(COUNTIFS(NPS관리활동_RAW!$D:$D, "상품", NPS관리활동_RAW!$E:$E, TRIM(C69), NPS관리활동_RAW!$G:$G,"긍정")/COUNTIFS(NPS관리활동_RAW!$D:$D, "상품", NPS관리활동_RAW!$E:$E, TRIM(C69))*100,0)</f>
        <v>0</v>
      </c>
      <c r="V69" s="240"/>
      <c r="W69" s="240"/>
      <c r="X69" s="240"/>
      <c r="Y69" s="240"/>
      <c r="Z69" s="241"/>
      <c r="AA69" s="242">
        <f>IFERROR(COUNTIFS(NPS관리활동_RAW!$D:$D, "상품", NPS관리활동_RAW!$E:$E, TRIM(C69), NPS관리활동_RAW!$G:$G,"부정")/COUNTIFS(NPS관리활동_RAW!$D:$D, "상품", NPS관리활동_RAW!$E:$E, TRIM(C69))*100,0)</f>
        <v>0</v>
      </c>
      <c r="AB69" s="240"/>
      <c r="AC69" s="240"/>
      <c r="AD69" s="240"/>
      <c r="AE69" s="240"/>
      <c r="AF69" s="243"/>
      <c r="AG69" s="239">
        <f t="shared" si="7"/>
        <v>0</v>
      </c>
      <c r="AH69" s="240"/>
      <c r="AI69" s="240"/>
      <c r="AJ69" s="240"/>
      <c r="AK69" s="240"/>
      <c r="AL69" s="241"/>
      <c r="AM69" s="242" t="e" cm="1">
        <f t="array" ref="AM69">AG69-(SUMPRODUCT(--(NPS관리활동_RAW!A:A&lt;=$BH$43)*(NPS관리활동_RAW!$D:$D=$B$64)*(NPS관리활동_RAW!$E:$E=TRIM($C69))*(NPS관리활동_RAW!$H:$H="불만"))/SUMPRODUCT(--(NPS관리활동_RAW!A:A&lt;=$BH$43)*(NPS관리활동_RAW!$D:$D=$B$64)*(NPS관리활동_RAW!$E:$E=TRIM($C69)))*100)</f>
        <v>#VALUE!</v>
      </c>
      <c r="AN69" s="240"/>
      <c r="AO69" s="240"/>
      <c r="AP69" s="240"/>
      <c r="AQ69" s="240"/>
      <c r="AR69" s="241"/>
      <c r="AS69" s="242">
        <f>IFERROR(COUNTIFS(NPS관리활동_RAW!$D:$D, "상품", NPS관리활동_RAW!$E:$E, TRIM($C69), NPS관리활동_RAW!$H:$H,"칭찬")/COUNTIFS(NPS관리활동_RAW!$D:$D, "상품", NPS관리활동_RAW!$E:$E, TRIM($C69))*100,0)</f>
        <v>0</v>
      </c>
      <c r="AT69" s="240"/>
      <c r="AU69" s="240"/>
      <c r="AV69" s="240"/>
      <c r="AW69" s="240"/>
      <c r="AX69" s="241"/>
      <c r="AY69" s="242">
        <f>IFERROR(COUNTIFS(NPS관리활동_RAW!$D:$D, "상품", NPS관리활동_RAW!$E:$E, TRIM($C69), NPS관리활동_RAW!$H:$H,"불만")/COUNTIFS(NPS관리활동_RAW!$D:$D, "상품", NPS관리활동_RAW!$E:$E, TRIM($C69))*100,0)</f>
        <v>0</v>
      </c>
      <c r="AZ69" s="240"/>
      <c r="BA69" s="240"/>
      <c r="BB69" s="240"/>
      <c r="BC69" s="240"/>
      <c r="BD69" s="240"/>
      <c r="BE69" s="18"/>
      <c r="BF69" s="18"/>
    </row>
    <row r="70" spans="2:58" s="6" customFormat="1" ht="12" customHeight="1" thickBot="1" x14ac:dyDescent="0.35">
      <c r="B70" s="103"/>
      <c r="C70" s="108" t="s">
        <v>34</v>
      </c>
      <c r="D70" s="103"/>
      <c r="E70" s="103"/>
      <c r="F70" s="103"/>
      <c r="G70" s="103"/>
      <c r="H70" s="103"/>
      <c r="I70" s="249">
        <f t="shared" si="6"/>
        <v>0</v>
      </c>
      <c r="J70" s="247"/>
      <c r="K70" s="247"/>
      <c r="L70" s="247"/>
      <c r="M70" s="247"/>
      <c r="N70" s="248"/>
      <c r="O70" s="246" t="e" cm="1">
        <f t="array" ref="O70">I70-(SUMPRODUCT(--(NPS관리활동_RAW!A:A&lt;=$BH$43)*(NPS관리활동_RAW!$D:$D=$B$64)*(NPS관리활동_RAW!$E:$E=TRIM($C70))*(NPS관리활동_RAW!$G:$G="긍정"))-SUMPRODUCT(--(NPS관리활동_RAW!A:A&lt;=$BH$43)*(NPS관리활동_RAW!$D:$D=$B$64)*(NPS관리활동_RAW!$E:$E=TRIM($C70))*(NPS관리활동_RAW!$G:$G="부정")))/SUMPRODUCT(--(NPS관리활동_RAW!A:A&lt;=$BH$43)*(NPS관리활동_RAW!$D:$D=$B$64)*(NPS관리활동_RAW!$E:$E=TRIM($C70)))*100</f>
        <v>#VALUE!</v>
      </c>
      <c r="P70" s="247"/>
      <c r="Q70" s="247"/>
      <c r="R70" s="247"/>
      <c r="S70" s="247"/>
      <c r="T70" s="248"/>
      <c r="U70" s="246">
        <f>IFERROR(COUNTIFS(NPS관리활동_RAW!$D:$D, "상품", NPS관리활동_RAW!$E:$E, TRIM(C70), NPS관리활동_RAW!$G:$G,"긍정")/COUNTIFS(NPS관리활동_RAW!$D:$D, "상품", NPS관리활동_RAW!$E:$E, TRIM(C70))*100,0)</f>
        <v>0</v>
      </c>
      <c r="V70" s="247"/>
      <c r="W70" s="247"/>
      <c r="X70" s="247"/>
      <c r="Y70" s="247"/>
      <c r="Z70" s="248"/>
      <c r="AA70" s="246">
        <f>IFERROR(COUNTIFS(NPS관리활동_RAW!$D:$D, "상품", NPS관리활동_RAW!$E:$E, TRIM(C70), NPS관리활동_RAW!$G:$G,"부정")/COUNTIFS(NPS관리활동_RAW!$D:$D, "상품", NPS관리활동_RAW!$E:$E, TRIM(C70))*100,0)</f>
        <v>0</v>
      </c>
      <c r="AB70" s="247"/>
      <c r="AC70" s="247"/>
      <c r="AD70" s="247"/>
      <c r="AE70" s="247"/>
      <c r="AF70" s="250"/>
      <c r="AG70" s="246">
        <f t="shared" si="7"/>
        <v>0</v>
      </c>
      <c r="AH70" s="247"/>
      <c r="AI70" s="247"/>
      <c r="AJ70" s="247"/>
      <c r="AK70" s="247"/>
      <c r="AL70" s="248"/>
      <c r="AM70" s="246" t="e" cm="1">
        <f t="array" ref="AM70">AG70-(SUMPRODUCT(--(NPS관리활동_RAW!A:A&lt;=$BH$43)*(NPS관리활동_RAW!$D:$D=$B$64)*(NPS관리활동_RAW!$E:$E=TRIM($C70))*(NPS관리활동_RAW!$H:$H="불만"))/SUMPRODUCT(--(NPS관리활동_RAW!A:A&lt;=$BH$43)*(NPS관리활동_RAW!$D:$D=$B$64)*(NPS관리활동_RAW!$E:$E=TRIM($C70)))*100)</f>
        <v>#VALUE!</v>
      </c>
      <c r="AN70" s="247"/>
      <c r="AO70" s="247"/>
      <c r="AP70" s="247"/>
      <c r="AQ70" s="247"/>
      <c r="AR70" s="248"/>
      <c r="AS70" s="246">
        <f>IFERROR(COUNTIFS(NPS관리활동_RAW!$D:$D, "상품", NPS관리활동_RAW!$E:$E, TRIM($C70), NPS관리활동_RAW!$H:$H,"칭찬")/COUNTIFS(NPS관리활동_RAW!$D:$D, "상품", NPS관리활동_RAW!$E:$E, TRIM($C70))*100,0)</f>
        <v>0</v>
      </c>
      <c r="AT70" s="247"/>
      <c r="AU70" s="247"/>
      <c r="AV70" s="247"/>
      <c r="AW70" s="247"/>
      <c r="AX70" s="248"/>
      <c r="AY70" s="246">
        <f>IFERROR(COUNTIFS(NPS관리활동_RAW!$D:$D, "상품", NPS관리활동_RAW!$E:$E, TRIM($C70), NPS관리활동_RAW!$H:$H,"불만")/COUNTIFS(NPS관리활동_RAW!$D:$D, "상품", NPS관리활동_RAW!$E:$E, TRIM($C70))*100,0)</f>
        <v>0</v>
      </c>
      <c r="AZ70" s="247"/>
      <c r="BA70" s="247"/>
      <c r="BB70" s="247"/>
      <c r="BC70" s="247"/>
      <c r="BD70" s="247"/>
      <c r="BE70" s="18"/>
      <c r="BF70" s="18"/>
    </row>
  </sheetData>
  <mergeCells count="242">
    <mergeCell ref="D12:K12"/>
    <mergeCell ref="O12:V12"/>
    <mergeCell ref="Z12:AG12"/>
    <mergeCell ref="AK12:AR12"/>
    <mergeCell ref="AV12:BC12"/>
    <mergeCell ref="D29:K29"/>
    <mergeCell ref="O29:V29"/>
    <mergeCell ref="Z29:AG29"/>
    <mergeCell ref="AK29:AR29"/>
    <mergeCell ref="AV29:BC29"/>
    <mergeCell ref="AS70:AX70"/>
    <mergeCell ref="AY70:BD70"/>
    <mergeCell ref="I70:N70"/>
    <mergeCell ref="O70:T70"/>
    <mergeCell ref="U70:Z70"/>
    <mergeCell ref="AA70:AF70"/>
    <mergeCell ref="AG70:AL70"/>
    <mergeCell ref="AM70:AR70"/>
    <mergeCell ref="AS68:AX68"/>
    <mergeCell ref="AY68:BD68"/>
    <mergeCell ref="I69:N69"/>
    <mergeCell ref="O69:T69"/>
    <mergeCell ref="U69:Z69"/>
    <mergeCell ref="AA69:AF69"/>
    <mergeCell ref="AG69:AL69"/>
    <mergeCell ref="AM69:AR69"/>
    <mergeCell ref="AS69:AX69"/>
    <mergeCell ref="AY69:BD69"/>
    <mergeCell ref="I68:N68"/>
    <mergeCell ref="O68:T68"/>
    <mergeCell ref="U68:Z68"/>
    <mergeCell ref="AA68:AF68"/>
    <mergeCell ref="AG68:AL68"/>
    <mergeCell ref="AM68:AR68"/>
    <mergeCell ref="AS66:AX66"/>
    <mergeCell ref="AY66:BD66"/>
    <mergeCell ref="I67:N67"/>
    <mergeCell ref="O67:T67"/>
    <mergeCell ref="U67:Z67"/>
    <mergeCell ref="AA67:AF67"/>
    <mergeCell ref="AG67:AL67"/>
    <mergeCell ref="AM67:AR67"/>
    <mergeCell ref="AS67:AX67"/>
    <mergeCell ref="AY67:BD67"/>
    <mergeCell ref="I66:N66"/>
    <mergeCell ref="O66:T66"/>
    <mergeCell ref="U66:Z66"/>
    <mergeCell ref="AA66:AF66"/>
    <mergeCell ref="AG66:AL66"/>
    <mergeCell ref="AM66:AR66"/>
    <mergeCell ref="AS64:AX64"/>
    <mergeCell ref="AY64:BD64"/>
    <mergeCell ref="I65:N65"/>
    <mergeCell ref="O65:T65"/>
    <mergeCell ref="U65:Z65"/>
    <mergeCell ref="AA65:AF65"/>
    <mergeCell ref="AG65:AL65"/>
    <mergeCell ref="AM65:AR65"/>
    <mergeCell ref="AS65:AX65"/>
    <mergeCell ref="AY65:BD65"/>
    <mergeCell ref="I64:N64"/>
    <mergeCell ref="O64:T64"/>
    <mergeCell ref="U64:Z64"/>
    <mergeCell ref="AA64:AF64"/>
    <mergeCell ref="AG64:AL64"/>
    <mergeCell ref="AM64:AR64"/>
    <mergeCell ref="AS62:AX62"/>
    <mergeCell ref="AY62:BD62"/>
    <mergeCell ref="I63:N63"/>
    <mergeCell ref="O63:T63"/>
    <mergeCell ref="U63:Z63"/>
    <mergeCell ref="AA63:AF63"/>
    <mergeCell ref="AG63:AL63"/>
    <mergeCell ref="AM63:AR63"/>
    <mergeCell ref="AS63:AX63"/>
    <mergeCell ref="AY63:BD63"/>
    <mergeCell ref="I62:N62"/>
    <mergeCell ref="O62:T62"/>
    <mergeCell ref="U62:Z62"/>
    <mergeCell ref="AA62:AF62"/>
    <mergeCell ref="AG62:AL62"/>
    <mergeCell ref="AM62:AR62"/>
    <mergeCell ref="AS60:AX60"/>
    <mergeCell ref="AY60:BD60"/>
    <mergeCell ref="I61:N61"/>
    <mergeCell ref="O61:T61"/>
    <mergeCell ref="U61:Z61"/>
    <mergeCell ref="AA61:AF61"/>
    <mergeCell ref="AG61:AL61"/>
    <mergeCell ref="AM61:AR61"/>
    <mergeCell ref="AS61:AX61"/>
    <mergeCell ref="AY61:BD61"/>
    <mergeCell ref="I60:N60"/>
    <mergeCell ref="O60:T60"/>
    <mergeCell ref="U60:Z60"/>
    <mergeCell ref="AA60:AF60"/>
    <mergeCell ref="AG60:AL60"/>
    <mergeCell ref="AM60:AR60"/>
    <mergeCell ref="AS58:AX58"/>
    <mergeCell ref="AY58:BD58"/>
    <mergeCell ref="I59:N59"/>
    <mergeCell ref="O59:T59"/>
    <mergeCell ref="U59:Z59"/>
    <mergeCell ref="AA59:AF59"/>
    <mergeCell ref="AG59:AL59"/>
    <mergeCell ref="AM59:AR59"/>
    <mergeCell ref="AS59:AX59"/>
    <mergeCell ref="AY59:BD59"/>
    <mergeCell ref="I58:N58"/>
    <mergeCell ref="O58:T58"/>
    <mergeCell ref="U58:Z58"/>
    <mergeCell ref="AA58:AF58"/>
    <mergeCell ref="AG58:AL58"/>
    <mergeCell ref="AM58:AR58"/>
    <mergeCell ref="AS56:AX56"/>
    <mergeCell ref="AY56:BD56"/>
    <mergeCell ref="I57:N57"/>
    <mergeCell ref="O57:T57"/>
    <mergeCell ref="U57:Z57"/>
    <mergeCell ref="AA57:AF57"/>
    <mergeCell ref="AG57:AL57"/>
    <mergeCell ref="AM57:AR57"/>
    <mergeCell ref="AS57:AX57"/>
    <mergeCell ref="AY57:BD57"/>
    <mergeCell ref="I56:N56"/>
    <mergeCell ref="O56:T56"/>
    <mergeCell ref="U56:Z56"/>
    <mergeCell ref="AA56:AF56"/>
    <mergeCell ref="AG56:AL56"/>
    <mergeCell ref="AM56:AR56"/>
    <mergeCell ref="AS54:AX54"/>
    <mergeCell ref="AY54:BD54"/>
    <mergeCell ref="I55:N55"/>
    <mergeCell ref="O55:T55"/>
    <mergeCell ref="U55:Z55"/>
    <mergeCell ref="AA55:AF55"/>
    <mergeCell ref="AG55:AL55"/>
    <mergeCell ref="AM55:AR55"/>
    <mergeCell ref="AS55:AX55"/>
    <mergeCell ref="AY55:BD55"/>
    <mergeCell ref="I54:N54"/>
    <mergeCell ref="O54:T54"/>
    <mergeCell ref="U54:Z54"/>
    <mergeCell ref="AA54:AF54"/>
    <mergeCell ref="AG54:AL54"/>
    <mergeCell ref="AM54:AR54"/>
    <mergeCell ref="AS52:AX52"/>
    <mergeCell ref="AY52:BD52"/>
    <mergeCell ref="I53:N53"/>
    <mergeCell ref="O53:T53"/>
    <mergeCell ref="U53:Z53"/>
    <mergeCell ref="AA53:AF53"/>
    <mergeCell ref="AG53:AL53"/>
    <mergeCell ref="AM53:AR53"/>
    <mergeCell ref="AS53:AX53"/>
    <mergeCell ref="AY53:BD53"/>
    <mergeCell ref="I52:N52"/>
    <mergeCell ref="O52:T52"/>
    <mergeCell ref="U52:Z52"/>
    <mergeCell ref="AA52:AF52"/>
    <mergeCell ref="AG52:AL52"/>
    <mergeCell ref="AM52:AR52"/>
    <mergeCell ref="AS50:AX50"/>
    <mergeCell ref="AY50:BD50"/>
    <mergeCell ref="I51:N51"/>
    <mergeCell ref="O51:T51"/>
    <mergeCell ref="U51:Z51"/>
    <mergeCell ref="AA51:AF51"/>
    <mergeCell ref="AG51:AL51"/>
    <mergeCell ref="AM51:AR51"/>
    <mergeCell ref="AS51:AX51"/>
    <mergeCell ref="AY51:BD51"/>
    <mergeCell ref="I50:N50"/>
    <mergeCell ref="O50:T50"/>
    <mergeCell ref="U50:Z50"/>
    <mergeCell ref="AA50:AF50"/>
    <mergeCell ref="AG50:AL50"/>
    <mergeCell ref="AM50:AR50"/>
    <mergeCell ref="AS48:AX48"/>
    <mergeCell ref="AY48:BD48"/>
    <mergeCell ref="I49:N49"/>
    <mergeCell ref="O49:T49"/>
    <mergeCell ref="U49:Z49"/>
    <mergeCell ref="AA49:AF49"/>
    <mergeCell ref="AG49:AL49"/>
    <mergeCell ref="AM49:AR49"/>
    <mergeCell ref="AS49:AX49"/>
    <mergeCell ref="AY49:BD49"/>
    <mergeCell ref="I48:N48"/>
    <mergeCell ref="O48:T48"/>
    <mergeCell ref="U48:Z48"/>
    <mergeCell ref="AA48:AF48"/>
    <mergeCell ref="AG48:AL48"/>
    <mergeCell ref="AM48:AR48"/>
    <mergeCell ref="AS46:AX46"/>
    <mergeCell ref="AY46:BD46"/>
    <mergeCell ref="I47:N47"/>
    <mergeCell ref="O47:T47"/>
    <mergeCell ref="U47:Z47"/>
    <mergeCell ref="AA47:AF47"/>
    <mergeCell ref="AG47:AL47"/>
    <mergeCell ref="AM47:AR47"/>
    <mergeCell ref="AS47:AX47"/>
    <mergeCell ref="AY47:BD47"/>
    <mergeCell ref="I46:N46"/>
    <mergeCell ref="O46:T46"/>
    <mergeCell ref="U46:Z46"/>
    <mergeCell ref="AA46:AF46"/>
    <mergeCell ref="AG46:AL46"/>
    <mergeCell ref="AM46:AR46"/>
    <mergeCell ref="AS44:AX44"/>
    <mergeCell ref="AY44:BD44"/>
    <mergeCell ref="I45:N45"/>
    <mergeCell ref="O45:T45"/>
    <mergeCell ref="U45:Z45"/>
    <mergeCell ref="AA45:AF45"/>
    <mergeCell ref="AG45:AL45"/>
    <mergeCell ref="AM45:AR45"/>
    <mergeCell ref="AS45:AX45"/>
    <mergeCell ref="AY45:BD45"/>
    <mergeCell ref="I44:N44"/>
    <mergeCell ref="O44:T44"/>
    <mergeCell ref="U44:Z44"/>
    <mergeCell ref="AA44:AF44"/>
    <mergeCell ref="AG44:AL44"/>
    <mergeCell ref="AM44:AR44"/>
    <mergeCell ref="AS42:AX42"/>
    <mergeCell ref="AY42:BD42"/>
    <mergeCell ref="I43:N43"/>
    <mergeCell ref="O43:T43"/>
    <mergeCell ref="U43:Z43"/>
    <mergeCell ref="AA43:AF43"/>
    <mergeCell ref="AG43:AL43"/>
    <mergeCell ref="AM43:AR43"/>
    <mergeCell ref="AS43:AX43"/>
    <mergeCell ref="AY43:BD43"/>
    <mergeCell ref="I42:N42"/>
    <mergeCell ref="O42:T42"/>
    <mergeCell ref="U42:Z42"/>
    <mergeCell ref="AA42:AF42"/>
    <mergeCell ref="AG42:AL42"/>
    <mergeCell ref="AM42:AR42"/>
  </mergeCells>
  <phoneticPr fontId="2" type="noConversion"/>
  <printOptions horizontalCentered="1"/>
  <pageMargins left="0.51181102362204722" right="0.51181102362204722" top="0.55118110236220474" bottom="0.55118110236220474" header="0.31496062992125984" footer="0.31496062992125984"/>
  <pageSetup paperSize="9" scale="8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5DE07-A07A-4B2B-891A-C5F0F6485C79}">
  <sheetPr>
    <tabColor rgb="FFFFC000"/>
    <pageSetUpPr fitToPage="1"/>
  </sheetPr>
  <dimension ref="B1:BE62"/>
  <sheetViews>
    <sheetView showGridLines="0" view="pageBreakPreview" zoomScaleNormal="85" zoomScaleSheetLayoutView="100" zoomScalePageLayoutView="55" workbookViewId="0"/>
  </sheetViews>
  <sheetFormatPr defaultColWidth="9.625" defaultRowHeight="15" x14ac:dyDescent="0.3"/>
  <cols>
    <col min="1" max="57" width="1.625" style="18" customWidth="1"/>
    <col min="58" max="16384" width="9.625" style="18"/>
  </cols>
  <sheetData>
    <row r="1" spans="2:57" ht="8.1" customHeight="1" x14ac:dyDescent="0.3"/>
    <row r="2" spans="2:57" ht="24" customHeight="1" x14ac:dyDescent="0.35">
      <c r="B2" s="9" t="s">
        <v>101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"/>
      <c r="Q2" s="1"/>
      <c r="R2" s="2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"/>
      <c r="AG2" s="1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10" t="s">
        <v>65</v>
      </c>
    </row>
    <row r="3" spans="2:57" ht="15" customHeight="1" x14ac:dyDescent="0.3"/>
    <row r="4" spans="2:57" ht="15" customHeight="1" x14ac:dyDescent="0.25">
      <c r="B4" s="11" t="s">
        <v>125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3"/>
      <c r="Q4" s="3"/>
      <c r="R4" s="3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2:57" ht="8.1" customHeight="1" x14ac:dyDescent="0.25">
      <c r="B5" s="4"/>
      <c r="P5" s="5"/>
      <c r="Q5" s="5"/>
      <c r="R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2:57" s="99" customFormat="1" ht="12" customHeight="1" x14ac:dyDescent="0.3">
      <c r="B6" s="110"/>
      <c r="C6" s="110"/>
      <c r="D6" s="110"/>
      <c r="E6" s="110"/>
      <c r="F6" s="110"/>
      <c r="G6" s="110"/>
      <c r="H6" s="110"/>
      <c r="I6" s="110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  <c r="AC6" s="127"/>
      <c r="AD6" s="127"/>
      <c r="AE6" s="127"/>
      <c r="AF6" s="127"/>
      <c r="AG6" s="127"/>
      <c r="AH6" s="127"/>
      <c r="AI6" s="127"/>
      <c r="AJ6" s="127"/>
      <c r="AK6" s="127"/>
      <c r="AL6" s="127"/>
      <c r="AM6" s="127"/>
      <c r="AN6" s="127"/>
      <c r="AO6" s="127"/>
      <c r="AP6" s="127"/>
      <c r="AQ6" s="127"/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127"/>
    </row>
    <row r="7" spans="2:57" s="99" customFormat="1" ht="12" customHeight="1" x14ac:dyDescent="0.3">
      <c r="B7" s="260" t="s">
        <v>105</v>
      </c>
      <c r="C7" s="260"/>
      <c r="D7" s="260"/>
      <c r="E7" s="260"/>
      <c r="F7" s="260"/>
      <c r="G7" s="260"/>
      <c r="H7" s="260"/>
      <c r="I7" s="131" t="s">
        <v>126</v>
      </c>
      <c r="J7" s="132"/>
      <c r="K7" s="132"/>
      <c r="L7" s="132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  <c r="AA7" s="128"/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8"/>
      <c r="AM7" s="128"/>
      <c r="AN7" s="128"/>
      <c r="AO7" s="128"/>
      <c r="AP7" s="128"/>
      <c r="AQ7" s="128"/>
      <c r="AR7" s="128"/>
      <c r="AS7" s="128"/>
      <c r="AT7" s="128"/>
      <c r="AU7" s="128"/>
      <c r="AV7" s="128"/>
      <c r="AW7" s="128"/>
      <c r="AX7" s="128"/>
      <c r="AY7" s="128"/>
      <c r="AZ7" s="128"/>
      <c r="BA7" s="128"/>
      <c r="BB7" s="128"/>
      <c r="BC7" s="128"/>
      <c r="BD7" s="128"/>
    </row>
    <row r="8" spans="2:57" s="99" customFormat="1" ht="12" customHeight="1" x14ac:dyDescent="0.3">
      <c r="B8" s="260"/>
      <c r="C8" s="260"/>
      <c r="D8" s="260"/>
      <c r="E8" s="260"/>
      <c r="F8" s="260"/>
      <c r="G8" s="260"/>
      <c r="H8" s="260"/>
      <c r="I8" s="133"/>
      <c r="J8" s="134" t="s">
        <v>106</v>
      </c>
      <c r="K8" s="135"/>
      <c r="L8" s="136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  <c r="AI8" s="129"/>
      <c r="AJ8" s="129"/>
      <c r="AK8" s="129"/>
      <c r="AL8" s="129"/>
      <c r="AM8" s="129"/>
      <c r="AN8" s="129"/>
      <c r="AO8" s="129"/>
      <c r="AP8" s="129"/>
      <c r="AQ8" s="129"/>
      <c r="AR8" s="129"/>
      <c r="AS8" s="129"/>
      <c r="AT8" s="129"/>
      <c r="AU8" s="129"/>
      <c r="AV8" s="129"/>
      <c r="AW8" s="129"/>
      <c r="AX8" s="129"/>
      <c r="AY8" s="129"/>
      <c r="AZ8" s="129"/>
      <c r="BA8" s="129"/>
      <c r="BB8" s="129"/>
      <c r="BC8" s="129"/>
      <c r="BD8" s="129"/>
    </row>
    <row r="9" spans="2:57" s="99" customFormat="1" ht="12" customHeight="1" x14ac:dyDescent="0.3">
      <c r="B9" s="111"/>
      <c r="C9" s="111"/>
      <c r="D9" s="111"/>
      <c r="E9" s="111"/>
      <c r="F9" s="111"/>
      <c r="G9" s="111"/>
      <c r="H9" s="111"/>
      <c r="I9" s="133"/>
      <c r="J9" s="133"/>
      <c r="K9" s="109"/>
      <c r="L9" s="131" t="s">
        <v>128</v>
      </c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  <c r="AK9" s="130"/>
      <c r="AL9" s="130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</row>
    <row r="10" spans="2:57" s="99" customFormat="1" ht="24" customHeight="1" x14ac:dyDescent="0.3">
      <c r="B10" s="157" t="s">
        <v>5</v>
      </c>
      <c r="C10" s="157"/>
      <c r="D10" s="157"/>
      <c r="E10" s="157"/>
      <c r="F10" s="157"/>
      <c r="G10" s="157"/>
      <c r="H10" s="157"/>
      <c r="I10" s="257" t="s">
        <v>178</v>
      </c>
      <c r="J10" s="258"/>
      <c r="K10" s="258"/>
      <c r="L10" s="258"/>
      <c r="M10" s="258"/>
      <c r="N10" s="258"/>
      <c r="O10" s="258"/>
      <c r="P10" s="258"/>
      <c r="Q10" s="258"/>
      <c r="R10" s="258"/>
      <c r="S10" s="258"/>
      <c r="T10" s="258"/>
      <c r="U10" s="258"/>
      <c r="V10" s="258"/>
      <c r="W10" s="258"/>
      <c r="X10" s="258"/>
      <c r="Y10" s="258"/>
      <c r="Z10" s="258"/>
      <c r="AA10" s="258"/>
      <c r="AB10" s="258"/>
      <c r="AC10" s="258"/>
      <c r="AD10" s="258"/>
      <c r="AE10" s="258"/>
      <c r="AF10" s="258"/>
      <c r="AG10" s="258"/>
      <c r="AH10" s="258"/>
      <c r="AI10" s="258"/>
      <c r="AJ10" s="258"/>
      <c r="AK10" s="258"/>
      <c r="AL10" s="258"/>
      <c r="AM10" s="258"/>
      <c r="AN10" s="258"/>
      <c r="AO10" s="258"/>
      <c r="AP10" s="258"/>
      <c r="AQ10" s="258"/>
      <c r="AR10" s="258"/>
      <c r="AS10" s="258"/>
      <c r="AT10" s="258"/>
      <c r="AU10" s="258"/>
      <c r="AV10" s="258"/>
      <c r="AW10" s="258"/>
      <c r="AX10" s="258"/>
      <c r="AY10" s="258"/>
      <c r="AZ10" s="258"/>
      <c r="BA10" s="258"/>
      <c r="BB10" s="258"/>
      <c r="BC10" s="258"/>
      <c r="BD10" s="258"/>
    </row>
    <row r="11" spans="2:57" s="99" customFormat="1" ht="12" customHeight="1" x14ac:dyDescent="0.3">
      <c r="B11" s="157"/>
      <c r="C11" s="157"/>
      <c r="D11" s="157"/>
      <c r="E11" s="157"/>
      <c r="F11" s="157"/>
      <c r="G11" s="157"/>
      <c r="H11" s="157"/>
      <c r="I11" s="145"/>
      <c r="J11" s="254" t="s">
        <v>107</v>
      </c>
      <c r="K11" s="253"/>
      <c r="L11" s="253"/>
      <c r="M11" s="253"/>
      <c r="N11" s="253"/>
      <c r="O11" s="253"/>
      <c r="P11" s="253"/>
      <c r="Q11" s="253"/>
      <c r="R11" s="253"/>
      <c r="S11" s="253"/>
      <c r="T11" s="253"/>
      <c r="U11" s="253"/>
      <c r="V11" s="253"/>
      <c r="W11" s="253"/>
      <c r="X11" s="253"/>
      <c r="Y11" s="253"/>
      <c r="Z11" s="253"/>
      <c r="AA11" s="253"/>
      <c r="AB11" s="253"/>
      <c r="AC11" s="253"/>
      <c r="AD11" s="253"/>
      <c r="AE11" s="253"/>
      <c r="AF11" s="253"/>
      <c r="AG11" s="253"/>
      <c r="AH11" s="253"/>
      <c r="AI11" s="253"/>
      <c r="AJ11" s="253"/>
      <c r="AK11" s="253"/>
      <c r="AL11" s="253"/>
      <c r="AM11" s="253"/>
      <c r="AN11" s="253"/>
      <c r="AO11" s="253"/>
      <c r="AP11" s="253"/>
      <c r="AQ11" s="253"/>
      <c r="AR11" s="253"/>
      <c r="AS11" s="253"/>
      <c r="AT11" s="253"/>
      <c r="AU11" s="253"/>
      <c r="AV11" s="253"/>
      <c r="AW11" s="253"/>
      <c r="AX11" s="253"/>
      <c r="AY11" s="253"/>
      <c r="AZ11" s="253"/>
      <c r="BA11" s="253"/>
      <c r="BB11" s="253"/>
      <c r="BC11" s="253"/>
      <c r="BD11" s="253"/>
    </row>
    <row r="12" spans="2:57" s="99" customFormat="1" ht="12" customHeight="1" x14ac:dyDescent="0.3">
      <c r="B12" s="157"/>
      <c r="C12" s="157"/>
      <c r="D12" s="157"/>
      <c r="E12" s="157"/>
      <c r="F12" s="157"/>
      <c r="G12" s="157"/>
      <c r="H12" s="157"/>
      <c r="I12" s="146"/>
      <c r="J12" s="123"/>
      <c r="K12" s="124"/>
      <c r="L12" s="255" t="s">
        <v>127</v>
      </c>
      <c r="M12" s="255"/>
      <c r="N12" s="255"/>
      <c r="O12" s="255"/>
      <c r="P12" s="255"/>
      <c r="Q12" s="255"/>
      <c r="R12" s="255"/>
      <c r="S12" s="255"/>
      <c r="T12" s="255"/>
      <c r="U12" s="255"/>
      <c r="V12" s="255"/>
      <c r="W12" s="255"/>
      <c r="X12" s="255"/>
      <c r="Y12" s="255"/>
      <c r="Z12" s="255"/>
      <c r="AA12" s="255"/>
      <c r="AB12" s="255"/>
      <c r="AC12" s="255"/>
      <c r="AD12" s="255"/>
      <c r="AE12" s="255"/>
      <c r="AF12" s="255"/>
      <c r="AG12" s="255"/>
      <c r="AH12" s="255"/>
      <c r="AI12" s="255"/>
      <c r="AJ12" s="255"/>
      <c r="AK12" s="255"/>
      <c r="AL12" s="255"/>
      <c r="AM12" s="255"/>
      <c r="AN12" s="255"/>
      <c r="AO12" s="255"/>
      <c r="AP12" s="255"/>
      <c r="AQ12" s="255"/>
      <c r="AR12" s="255"/>
      <c r="AS12" s="255"/>
      <c r="AT12" s="255"/>
      <c r="AU12" s="255"/>
      <c r="AV12" s="255"/>
      <c r="AW12" s="255"/>
      <c r="AX12" s="255"/>
      <c r="AY12" s="255"/>
      <c r="AZ12" s="255"/>
      <c r="BA12" s="255"/>
      <c r="BB12" s="255"/>
      <c r="BC12" s="255"/>
      <c r="BD12" s="255"/>
    </row>
    <row r="13" spans="2:57" s="99" customFormat="1" ht="12" customHeight="1" x14ac:dyDescent="0.3">
      <c r="B13" s="157"/>
      <c r="C13" s="157"/>
      <c r="D13" s="157"/>
      <c r="E13" s="157"/>
      <c r="F13" s="157"/>
      <c r="G13" s="157"/>
      <c r="H13" s="157"/>
      <c r="I13" s="146"/>
      <c r="J13" s="123"/>
      <c r="K13" s="124"/>
      <c r="L13" s="255" t="s">
        <v>129</v>
      </c>
      <c r="M13" s="255"/>
      <c r="N13" s="255"/>
      <c r="O13" s="255"/>
      <c r="P13" s="255"/>
      <c r="Q13" s="255"/>
      <c r="R13" s="255"/>
      <c r="S13" s="255"/>
      <c r="T13" s="255"/>
      <c r="U13" s="255"/>
      <c r="V13" s="255"/>
      <c r="W13" s="255"/>
      <c r="X13" s="255"/>
      <c r="Y13" s="255"/>
      <c r="Z13" s="255"/>
      <c r="AA13" s="255"/>
      <c r="AB13" s="255"/>
      <c r="AC13" s="255"/>
      <c r="AD13" s="255"/>
      <c r="AE13" s="255"/>
      <c r="AF13" s="255"/>
      <c r="AG13" s="255"/>
      <c r="AH13" s="255"/>
      <c r="AI13" s="255"/>
      <c r="AJ13" s="255"/>
      <c r="AK13" s="255"/>
      <c r="AL13" s="255"/>
      <c r="AM13" s="255"/>
      <c r="AN13" s="255"/>
      <c r="AO13" s="255"/>
      <c r="AP13" s="255"/>
      <c r="AQ13" s="255"/>
      <c r="AR13" s="255"/>
      <c r="AS13" s="255"/>
      <c r="AT13" s="255"/>
      <c r="AU13" s="255"/>
      <c r="AV13" s="255"/>
      <c r="AW13" s="255"/>
      <c r="AX13" s="255"/>
      <c r="AY13" s="255"/>
      <c r="AZ13" s="255"/>
      <c r="BA13" s="255"/>
      <c r="BB13" s="255"/>
      <c r="BC13" s="255"/>
      <c r="BD13" s="255"/>
    </row>
    <row r="14" spans="2:57" s="99" customFormat="1" ht="12" customHeight="1" x14ac:dyDescent="0.3">
      <c r="B14" s="157"/>
      <c r="C14" s="157"/>
      <c r="D14" s="157"/>
      <c r="E14" s="157"/>
      <c r="F14" s="157"/>
      <c r="G14" s="157"/>
      <c r="H14" s="157"/>
      <c r="I14" s="146"/>
      <c r="J14" s="123"/>
      <c r="K14" s="124"/>
      <c r="L14" s="255" t="s">
        <v>130</v>
      </c>
      <c r="M14" s="255"/>
      <c r="N14" s="255"/>
      <c r="O14" s="255"/>
      <c r="P14" s="255"/>
      <c r="Q14" s="255"/>
      <c r="R14" s="255"/>
      <c r="S14" s="255"/>
      <c r="T14" s="255"/>
      <c r="U14" s="255"/>
      <c r="V14" s="255"/>
      <c r="W14" s="255"/>
      <c r="X14" s="255"/>
      <c r="Y14" s="255"/>
      <c r="Z14" s="255"/>
      <c r="AA14" s="255"/>
      <c r="AB14" s="255"/>
      <c r="AC14" s="255"/>
      <c r="AD14" s="255"/>
      <c r="AE14" s="255"/>
      <c r="AF14" s="255"/>
      <c r="AG14" s="255"/>
      <c r="AH14" s="255"/>
      <c r="AI14" s="255"/>
      <c r="AJ14" s="255"/>
      <c r="AK14" s="255"/>
      <c r="AL14" s="255"/>
      <c r="AM14" s="255"/>
      <c r="AN14" s="255"/>
      <c r="AO14" s="255"/>
      <c r="AP14" s="255"/>
      <c r="AQ14" s="255"/>
      <c r="AR14" s="255"/>
      <c r="AS14" s="255"/>
      <c r="AT14" s="255"/>
      <c r="AU14" s="255"/>
      <c r="AV14" s="255"/>
      <c r="AW14" s="255"/>
      <c r="AX14" s="255"/>
      <c r="AY14" s="255"/>
      <c r="AZ14" s="255"/>
      <c r="BA14" s="255"/>
      <c r="BB14" s="255"/>
      <c r="BC14" s="255"/>
      <c r="BD14" s="255"/>
    </row>
    <row r="15" spans="2:57" s="99" customFormat="1" ht="12" customHeight="1" x14ac:dyDescent="0.3">
      <c r="B15" s="157"/>
      <c r="C15" s="157"/>
      <c r="D15" s="157"/>
      <c r="E15" s="157"/>
      <c r="F15" s="157"/>
      <c r="G15" s="157"/>
      <c r="H15" s="157"/>
      <c r="I15" s="145"/>
      <c r="J15" s="251" t="s">
        <v>108</v>
      </c>
      <c r="K15" s="252"/>
      <c r="L15" s="253"/>
      <c r="M15" s="253"/>
      <c r="N15" s="253"/>
      <c r="O15" s="253"/>
      <c r="P15" s="253"/>
      <c r="Q15" s="253"/>
      <c r="R15" s="253"/>
      <c r="S15" s="253"/>
      <c r="T15" s="253"/>
      <c r="U15" s="253"/>
      <c r="V15" s="253"/>
      <c r="W15" s="253"/>
      <c r="X15" s="253"/>
      <c r="Y15" s="253"/>
      <c r="Z15" s="253"/>
      <c r="AA15" s="253"/>
      <c r="AB15" s="253"/>
      <c r="AC15" s="253"/>
      <c r="AD15" s="253"/>
      <c r="AE15" s="253"/>
      <c r="AF15" s="253"/>
      <c r="AG15" s="253"/>
      <c r="AH15" s="253"/>
      <c r="AI15" s="253"/>
      <c r="AJ15" s="253"/>
      <c r="AK15" s="253"/>
      <c r="AL15" s="253"/>
      <c r="AM15" s="253"/>
      <c r="AN15" s="253"/>
      <c r="AO15" s="253"/>
      <c r="AP15" s="253"/>
      <c r="AQ15" s="253"/>
      <c r="AR15" s="253"/>
      <c r="AS15" s="253"/>
      <c r="AT15" s="253"/>
      <c r="AU15" s="253"/>
      <c r="AV15" s="253"/>
      <c r="AW15" s="253"/>
      <c r="AX15" s="253"/>
      <c r="AY15" s="253"/>
      <c r="AZ15" s="253"/>
      <c r="BA15" s="253"/>
      <c r="BB15" s="253"/>
      <c r="BC15" s="253"/>
      <c r="BD15" s="253"/>
    </row>
    <row r="16" spans="2:57" s="99" customFormat="1" ht="12" customHeight="1" x14ac:dyDescent="0.3">
      <c r="B16" s="157"/>
      <c r="C16" s="157"/>
      <c r="D16" s="157"/>
      <c r="E16" s="157"/>
      <c r="F16" s="157"/>
      <c r="G16" s="157"/>
      <c r="H16" s="157"/>
      <c r="I16" s="146"/>
      <c r="J16" s="123"/>
      <c r="K16" s="124"/>
      <c r="L16" s="255" t="s">
        <v>131</v>
      </c>
      <c r="M16" s="255"/>
      <c r="N16" s="255"/>
      <c r="O16" s="255"/>
      <c r="P16" s="255"/>
      <c r="Q16" s="255"/>
      <c r="R16" s="255"/>
      <c r="S16" s="255"/>
      <c r="T16" s="255"/>
      <c r="U16" s="255"/>
      <c r="V16" s="255"/>
      <c r="W16" s="255"/>
      <c r="X16" s="255"/>
      <c r="Y16" s="255"/>
      <c r="Z16" s="255"/>
      <c r="AA16" s="255"/>
      <c r="AB16" s="255"/>
      <c r="AC16" s="255"/>
      <c r="AD16" s="255"/>
      <c r="AE16" s="255"/>
      <c r="AF16" s="255"/>
      <c r="AG16" s="255"/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5"/>
      <c r="AU16" s="255"/>
      <c r="AV16" s="255"/>
      <c r="AW16" s="255"/>
      <c r="AX16" s="255"/>
      <c r="AY16" s="255"/>
      <c r="AZ16" s="255"/>
      <c r="BA16" s="255"/>
      <c r="BB16" s="255"/>
      <c r="BC16" s="255"/>
      <c r="BD16" s="255"/>
    </row>
    <row r="17" spans="2:56" s="99" customFormat="1" ht="12" customHeight="1" x14ac:dyDescent="0.3">
      <c r="B17" s="157"/>
      <c r="C17" s="157"/>
      <c r="D17" s="157"/>
      <c r="E17" s="157"/>
      <c r="F17" s="157"/>
      <c r="G17" s="157"/>
      <c r="H17" s="157"/>
      <c r="I17" s="146"/>
      <c r="J17" s="123"/>
      <c r="K17" s="124"/>
      <c r="L17" s="255" t="s">
        <v>132</v>
      </c>
      <c r="M17" s="255"/>
      <c r="N17" s="255"/>
      <c r="O17" s="255"/>
      <c r="P17" s="255"/>
      <c r="Q17" s="255"/>
      <c r="R17" s="255"/>
      <c r="S17" s="255"/>
      <c r="T17" s="255"/>
      <c r="U17" s="255"/>
      <c r="V17" s="255"/>
      <c r="W17" s="255"/>
      <c r="X17" s="255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255"/>
      <c r="AJ17" s="255"/>
      <c r="AK17" s="255"/>
      <c r="AL17" s="255"/>
      <c r="AM17" s="255"/>
      <c r="AN17" s="255"/>
      <c r="AO17" s="255"/>
      <c r="AP17" s="255"/>
      <c r="AQ17" s="255"/>
      <c r="AR17" s="255"/>
      <c r="AS17" s="255"/>
      <c r="AT17" s="255"/>
      <c r="AU17" s="255"/>
      <c r="AV17" s="255"/>
      <c r="AW17" s="255"/>
      <c r="AX17" s="255"/>
      <c r="AY17" s="255"/>
      <c r="AZ17" s="255"/>
      <c r="BA17" s="255"/>
      <c r="BB17" s="255"/>
      <c r="BC17" s="255"/>
      <c r="BD17" s="255"/>
    </row>
    <row r="18" spans="2:56" s="99" customFormat="1" ht="12" customHeight="1" x14ac:dyDescent="0.3">
      <c r="B18" s="157"/>
      <c r="C18" s="157"/>
      <c r="D18" s="157"/>
      <c r="E18" s="157"/>
      <c r="F18" s="157"/>
      <c r="G18" s="157"/>
      <c r="H18" s="157"/>
      <c r="I18" s="146"/>
      <c r="J18" s="123"/>
      <c r="K18" s="124"/>
      <c r="L18" s="255" t="s">
        <v>133</v>
      </c>
      <c r="M18" s="255"/>
      <c r="N18" s="255"/>
      <c r="O18" s="255"/>
      <c r="P18" s="255"/>
      <c r="Q18" s="255"/>
      <c r="R18" s="255"/>
      <c r="S18" s="255"/>
      <c r="T18" s="255"/>
      <c r="U18" s="255"/>
      <c r="V18" s="255"/>
      <c r="W18" s="255"/>
      <c r="X18" s="255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255"/>
      <c r="AJ18" s="255"/>
      <c r="AK18" s="255"/>
      <c r="AL18" s="255"/>
      <c r="AM18" s="255"/>
      <c r="AN18" s="255"/>
      <c r="AO18" s="255"/>
      <c r="AP18" s="255"/>
      <c r="AQ18" s="255"/>
      <c r="AR18" s="255"/>
      <c r="AS18" s="255"/>
      <c r="AT18" s="255"/>
      <c r="AU18" s="255"/>
      <c r="AV18" s="255"/>
      <c r="AW18" s="255"/>
      <c r="AX18" s="255"/>
      <c r="AY18" s="255"/>
      <c r="AZ18" s="255"/>
      <c r="BA18" s="255"/>
      <c r="BB18" s="255"/>
      <c r="BC18" s="255"/>
      <c r="BD18" s="255"/>
    </row>
    <row r="19" spans="2:56" s="99" customFormat="1" ht="12" customHeight="1" x14ac:dyDescent="0.3">
      <c r="B19" s="157"/>
      <c r="C19" s="157"/>
      <c r="D19" s="157"/>
      <c r="E19" s="157"/>
      <c r="F19" s="157"/>
      <c r="G19" s="157"/>
      <c r="H19" s="157"/>
      <c r="I19" s="145"/>
      <c r="J19" s="251" t="s">
        <v>109</v>
      </c>
      <c r="K19" s="252"/>
      <c r="L19" s="253"/>
      <c r="M19" s="253"/>
      <c r="N19" s="253"/>
      <c r="O19" s="253"/>
      <c r="P19" s="253"/>
      <c r="Q19" s="253"/>
      <c r="R19" s="253"/>
      <c r="S19" s="253"/>
      <c r="T19" s="253"/>
      <c r="U19" s="253"/>
      <c r="V19" s="253"/>
      <c r="W19" s="253"/>
      <c r="X19" s="253"/>
      <c r="Y19" s="253"/>
      <c r="Z19" s="253"/>
      <c r="AA19" s="253"/>
      <c r="AB19" s="253"/>
      <c r="AC19" s="253"/>
      <c r="AD19" s="253"/>
      <c r="AE19" s="253"/>
      <c r="AF19" s="253"/>
      <c r="AG19" s="253"/>
      <c r="AH19" s="253"/>
      <c r="AI19" s="253"/>
      <c r="AJ19" s="253"/>
      <c r="AK19" s="253"/>
      <c r="AL19" s="253"/>
      <c r="AM19" s="253"/>
      <c r="AN19" s="253"/>
      <c r="AO19" s="253"/>
      <c r="AP19" s="253"/>
      <c r="AQ19" s="253"/>
      <c r="AR19" s="253"/>
      <c r="AS19" s="253"/>
      <c r="AT19" s="253"/>
      <c r="AU19" s="253"/>
      <c r="AV19" s="253"/>
      <c r="AW19" s="253"/>
      <c r="AX19" s="253"/>
      <c r="AY19" s="253"/>
      <c r="AZ19" s="253"/>
      <c r="BA19" s="253"/>
      <c r="BB19" s="253"/>
      <c r="BC19" s="253"/>
      <c r="BD19" s="253"/>
    </row>
    <row r="20" spans="2:56" s="99" customFormat="1" ht="12" customHeight="1" x14ac:dyDescent="0.3">
      <c r="B20" s="157"/>
      <c r="C20" s="157"/>
      <c r="D20" s="157"/>
      <c r="E20" s="157"/>
      <c r="F20" s="157"/>
      <c r="G20" s="157"/>
      <c r="H20" s="157"/>
      <c r="I20" s="146"/>
      <c r="J20" s="123"/>
      <c r="K20" s="124"/>
      <c r="L20" s="255" t="s">
        <v>134</v>
      </c>
      <c r="M20" s="255"/>
      <c r="N20" s="255"/>
      <c r="O20" s="255"/>
      <c r="P20" s="255"/>
      <c r="Q20" s="255"/>
      <c r="R20" s="255"/>
      <c r="S20" s="255"/>
      <c r="T20" s="255"/>
      <c r="U20" s="255"/>
      <c r="V20" s="255"/>
      <c r="W20" s="255"/>
      <c r="X20" s="255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255"/>
      <c r="AJ20" s="255"/>
      <c r="AK20" s="255"/>
      <c r="AL20" s="255"/>
      <c r="AM20" s="255"/>
      <c r="AN20" s="255"/>
      <c r="AO20" s="255"/>
      <c r="AP20" s="255"/>
      <c r="AQ20" s="255"/>
      <c r="AR20" s="255"/>
      <c r="AS20" s="255"/>
      <c r="AT20" s="255"/>
      <c r="AU20" s="255"/>
      <c r="AV20" s="255"/>
      <c r="AW20" s="255"/>
      <c r="AX20" s="255"/>
      <c r="AY20" s="255"/>
      <c r="AZ20" s="255"/>
      <c r="BA20" s="255"/>
      <c r="BB20" s="255"/>
      <c r="BC20" s="255"/>
      <c r="BD20" s="255"/>
    </row>
    <row r="21" spans="2:56" s="99" customFormat="1" ht="12" customHeight="1" x14ac:dyDescent="0.3">
      <c r="B21" s="157"/>
      <c r="C21" s="157"/>
      <c r="D21" s="157"/>
      <c r="E21" s="157"/>
      <c r="F21" s="157"/>
      <c r="G21" s="157"/>
      <c r="H21" s="157"/>
      <c r="I21" s="146"/>
      <c r="J21" s="123"/>
      <c r="K21" s="124"/>
      <c r="L21" s="255" t="s">
        <v>135</v>
      </c>
      <c r="M21" s="255"/>
      <c r="N21" s="255"/>
      <c r="O21" s="255"/>
      <c r="P21" s="255"/>
      <c r="Q21" s="255"/>
      <c r="R21" s="255"/>
      <c r="S21" s="255"/>
      <c r="T21" s="255"/>
      <c r="U21" s="255"/>
      <c r="V21" s="255"/>
      <c r="W21" s="255"/>
      <c r="X21" s="255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255"/>
      <c r="AJ21" s="255"/>
      <c r="AK21" s="255"/>
      <c r="AL21" s="255"/>
      <c r="AM21" s="255"/>
      <c r="AN21" s="255"/>
      <c r="AO21" s="255"/>
      <c r="AP21" s="255"/>
      <c r="AQ21" s="255"/>
      <c r="AR21" s="255"/>
      <c r="AS21" s="255"/>
      <c r="AT21" s="255"/>
      <c r="AU21" s="255"/>
      <c r="AV21" s="255"/>
      <c r="AW21" s="255"/>
      <c r="AX21" s="255"/>
      <c r="AY21" s="255"/>
      <c r="AZ21" s="255"/>
      <c r="BA21" s="255"/>
      <c r="BB21" s="255"/>
      <c r="BC21" s="255"/>
      <c r="BD21" s="255"/>
    </row>
    <row r="22" spans="2:56" s="99" customFormat="1" ht="12" customHeight="1" thickBot="1" x14ac:dyDescent="0.35">
      <c r="B22" s="259"/>
      <c r="C22" s="259"/>
      <c r="D22" s="259"/>
      <c r="E22" s="259"/>
      <c r="F22" s="259"/>
      <c r="G22" s="259"/>
      <c r="H22" s="259"/>
      <c r="I22" s="147"/>
      <c r="J22" s="125"/>
      <c r="K22" s="126"/>
      <c r="L22" s="256" t="s">
        <v>136</v>
      </c>
      <c r="M22" s="256"/>
      <c r="N22" s="256"/>
      <c r="O22" s="256"/>
      <c r="P22" s="256"/>
      <c r="Q22" s="256"/>
      <c r="R22" s="256"/>
      <c r="S22" s="256"/>
      <c r="T22" s="256"/>
      <c r="U22" s="256"/>
      <c r="V22" s="256"/>
      <c r="W22" s="256"/>
      <c r="X22" s="256"/>
      <c r="Y22" s="256"/>
      <c r="Z22" s="256"/>
      <c r="AA22" s="256"/>
      <c r="AB22" s="256"/>
      <c r="AC22" s="256"/>
      <c r="AD22" s="256"/>
      <c r="AE22" s="256"/>
      <c r="AF22" s="256"/>
      <c r="AG22" s="256"/>
      <c r="AH22" s="256"/>
      <c r="AI22" s="256"/>
      <c r="AJ22" s="256"/>
      <c r="AK22" s="256"/>
      <c r="AL22" s="256"/>
      <c r="AM22" s="256"/>
      <c r="AN22" s="256"/>
      <c r="AO22" s="256"/>
      <c r="AP22" s="256"/>
      <c r="AQ22" s="256"/>
      <c r="AR22" s="256"/>
      <c r="AS22" s="256"/>
      <c r="AT22" s="256"/>
      <c r="AU22" s="256"/>
      <c r="AV22" s="256"/>
      <c r="AW22" s="256"/>
      <c r="AX22" s="256"/>
      <c r="AY22" s="256"/>
      <c r="AZ22" s="256"/>
      <c r="BA22" s="256"/>
      <c r="BB22" s="256"/>
      <c r="BC22" s="256"/>
      <c r="BD22" s="256"/>
    </row>
    <row r="23" spans="2:56" s="99" customFormat="1" ht="24" customHeight="1" x14ac:dyDescent="0.3">
      <c r="B23" s="157" t="s">
        <v>102</v>
      </c>
      <c r="C23" s="157"/>
      <c r="D23" s="157"/>
      <c r="E23" s="157"/>
      <c r="F23" s="157"/>
      <c r="G23" s="157"/>
      <c r="H23" s="157"/>
      <c r="I23" s="257" t="s">
        <v>179</v>
      </c>
      <c r="J23" s="258"/>
      <c r="K23" s="258"/>
      <c r="L23" s="258"/>
      <c r="M23" s="258"/>
      <c r="N23" s="258"/>
      <c r="O23" s="258"/>
      <c r="P23" s="258"/>
      <c r="Q23" s="258"/>
      <c r="R23" s="258"/>
      <c r="S23" s="258"/>
      <c r="T23" s="258"/>
      <c r="U23" s="258"/>
      <c r="V23" s="258"/>
      <c r="W23" s="258"/>
      <c r="X23" s="258"/>
      <c r="Y23" s="258"/>
      <c r="Z23" s="258"/>
      <c r="AA23" s="258"/>
      <c r="AB23" s="258"/>
      <c r="AC23" s="258"/>
      <c r="AD23" s="258"/>
      <c r="AE23" s="258"/>
      <c r="AF23" s="258"/>
      <c r="AG23" s="258"/>
      <c r="AH23" s="258"/>
      <c r="AI23" s="258"/>
      <c r="AJ23" s="258"/>
      <c r="AK23" s="258"/>
      <c r="AL23" s="258"/>
      <c r="AM23" s="258"/>
      <c r="AN23" s="258"/>
      <c r="AO23" s="258"/>
      <c r="AP23" s="258"/>
      <c r="AQ23" s="258"/>
      <c r="AR23" s="258"/>
      <c r="AS23" s="258"/>
      <c r="AT23" s="258"/>
      <c r="AU23" s="258"/>
      <c r="AV23" s="258"/>
      <c r="AW23" s="258"/>
      <c r="AX23" s="258"/>
      <c r="AY23" s="258"/>
      <c r="AZ23" s="258"/>
      <c r="BA23" s="258"/>
      <c r="BB23" s="258"/>
      <c r="BC23" s="258"/>
      <c r="BD23" s="258"/>
    </row>
    <row r="24" spans="2:56" s="99" customFormat="1" ht="12" customHeight="1" x14ac:dyDescent="0.3">
      <c r="B24" s="157" t="s">
        <v>102</v>
      </c>
      <c r="C24" s="157"/>
      <c r="D24" s="157"/>
      <c r="E24" s="157"/>
      <c r="F24" s="157"/>
      <c r="G24" s="157"/>
      <c r="H24" s="157"/>
      <c r="I24" s="145"/>
      <c r="J24" s="254" t="s">
        <v>110</v>
      </c>
      <c r="K24" s="253"/>
      <c r="L24" s="253"/>
      <c r="M24" s="253"/>
      <c r="N24" s="253"/>
      <c r="O24" s="253"/>
      <c r="P24" s="253"/>
      <c r="Q24" s="253"/>
      <c r="R24" s="253"/>
      <c r="S24" s="253"/>
      <c r="T24" s="253"/>
      <c r="U24" s="253"/>
      <c r="V24" s="253"/>
      <c r="W24" s="253"/>
      <c r="X24" s="253"/>
      <c r="Y24" s="253"/>
      <c r="Z24" s="253"/>
      <c r="AA24" s="253"/>
      <c r="AB24" s="253"/>
      <c r="AC24" s="253"/>
      <c r="AD24" s="253"/>
      <c r="AE24" s="253"/>
      <c r="AF24" s="253"/>
      <c r="AG24" s="253"/>
      <c r="AH24" s="253"/>
      <c r="AI24" s="253"/>
      <c r="AJ24" s="253"/>
      <c r="AK24" s="253"/>
      <c r="AL24" s="253"/>
      <c r="AM24" s="253"/>
      <c r="AN24" s="253"/>
      <c r="AO24" s="253"/>
      <c r="AP24" s="253"/>
      <c r="AQ24" s="253"/>
      <c r="AR24" s="253"/>
      <c r="AS24" s="253"/>
      <c r="AT24" s="253"/>
      <c r="AU24" s="253"/>
      <c r="AV24" s="253"/>
      <c r="AW24" s="253"/>
      <c r="AX24" s="253"/>
      <c r="AY24" s="253"/>
      <c r="AZ24" s="253"/>
      <c r="BA24" s="253"/>
      <c r="BB24" s="253"/>
      <c r="BC24" s="253"/>
      <c r="BD24" s="253"/>
    </row>
    <row r="25" spans="2:56" s="99" customFormat="1" ht="12" customHeight="1" x14ac:dyDescent="0.3">
      <c r="B25" s="157"/>
      <c r="C25" s="157"/>
      <c r="D25" s="157"/>
      <c r="E25" s="157"/>
      <c r="F25" s="157"/>
      <c r="G25" s="157"/>
      <c r="H25" s="157"/>
      <c r="I25" s="146"/>
      <c r="J25" s="123"/>
      <c r="K25" s="124"/>
      <c r="L25" s="255" t="s">
        <v>137</v>
      </c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Y25" s="255"/>
      <c r="Z25" s="255"/>
      <c r="AA25" s="255"/>
      <c r="AB25" s="255"/>
      <c r="AC25" s="255"/>
      <c r="AD25" s="255"/>
      <c r="AE25" s="255"/>
      <c r="AF25" s="255"/>
      <c r="AG25" s="255"/>
      <c r="AH25" s="255"/>
      <c r="AI25" s="255"/>
      <c r="AJ25" s="255"/>
      <c r="AK25" s="255"/>
      <c r="AL25" s="255"/>
      <c r="AM25" s="255"/>
      <c r="AN25" s="255"/>
      <c r="AO25" s="255"/>
      <c r="AP25" s="255"/>
      <c r="AQ25" s="255"/>
      <c r="AR25" s="255"/>
      <c r="AS25" s="255"/>
      <c r="AT25" s="255"/>
      <c r="AU25" s="255"/>
      <c r="AV25" s="255"/>
      <c r="AW25" s="255"/>
      <c r="AX25" s="255"/>
      <c r="AY25" s="255"/>
      <c r="AZ25" s="255"/>
      <c r="BA25" s="255"/>
      <c r="BB25" s="255"/>
      <c r="BC25" s="255"/>
      <c r="BD25" s="255"/>
    </row>
    <row r="26" spans="2:56" s="99" customFormat="1" ht="12" customHeight="1" x14ac:dyDescent="0.3">
      <c r="B26" s="157"/>
      <c r="C26" s="157"/>
      <c r="D26" s="157"/>
      <c r="E26" s="157"/>
      <c r="F26" s="157"/>
      <c r="G26" s="157"/>
      <c r="H26" s="157"/>
      <c r="I26" s="146"/>
      <c r="J26" s="123"/>
      <c r="K26" s="124"/>
      <c r="L26" s="255" t="s">
        <v>138</v>
      </c>
      <c r="M26" s="255"/>
      <c r="N26" s="255"/>
      <c r="O26" s="255"/>
      <c r="P26" s="255"/>
      <c r="Q26" s="255"/>
      <c r="R26" s="255"/>
      <c r="S26" s="255"/>
      <c r="T26" s="255"/>
      <c r="U26" s="255"/>
      <c r="V26" s="255"/>
      <c r="W26" s="255"/>
      <c r="X26" s="255"/>
      <c r="Y26" s="255"/>
      <c r="Z26" s="255"/>
      <c r="AA26" s="255"/>
      <c r="AB26" s="255"/>
      <c r="AC26" s="255"/>
      <c r="AD26" s="255"/>
      <c r="AE26" s="255"/>
      <c r="AF26" s="255"/>
      <c r="AG26" s="255"/>
      <c r="AH26" s="255"/>
      <c r="AI26" s="255"/>
      <c r="AJ26" s="255"/>
      <c r="AK26" s="255"/>
      <c r="AL26" s="255"/>
      <c r="AM26" s="255"/>
      <c r="AN26" s="255"/>
      <c r="AO26" s="255"/>
      <c r="AP26" s="255"/>
      <c r="AQ26" s="255"/>
      <c r="AR26" s="255"/>
      <c r="AS26" s="255"/>
      <c r="AT26" s="255"/>
      <c r="AU26" s="255"/>
      <c r="AV26" s="255"/>
      <c r="AW26" s="255"/>
      <c r="AX26" s="255"/>
      <c r="AY26" s="255"/>
      <c r="AZ26" s="255"/>
      <c r="BA26" s="255"/>
      <c r="BB26" s="255"/>
      <c r="BC26" s="255"/>
      <c r="BD26" s="255"/>
    </row>
    <row r="27" spans="2:56" s="99" customFormat="1" ht="12" customHeight="1" x14ac:dyDescent="0.3">
      <c r="B27" s="157"/>
      <c r="C27" s="157"/>
      <c r="D27" s="157"/>
      <c r="E27" s="157"/>
      <c r="F27" s="157"/>
      <c r="G27" s="157"/>
      <c r="H27" s="157"/>
      <c r="I27" s="146"/>
      <c r="J27" s="123"/>
      <c r="K27" s="124"/>
      <c r="L27" s="255" t="s">
        <v>139</v>
      </c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Y27" s="255"/>
      <c r="Z27" s="255"/>
      <c r="AA27" s="255"/>
      <c r="AB27" s="255"/>
      <c r="AC27" s="255"/>
      <c r="AD27" s="255"/>
      <c r="AE27" s="255"/>
      <c r="AF27" s="255"/>
      <c r="AG27" s="255"/>
      <c r="AH27" s="255"/>
      <c r="AI27" s="255"/>
      <c r="AJ27" s="255"/>
      <c r="AK27" s="255"/>
      <c r="AL27" s="255"/>
      <c r="AM27" s="255"/>
      <c r="AN27" s="255"/>
      <c r="AO27" s="255"/>
      <c r="AP27" s="255"/>
      <c r="AQ27" s="255"/>
      <c r="AR27" s="255"/>
      <c r="AS27" s="255"/>
      <c r="AT27" s="255"/>
      <c r="AU27" s="255"/>
      <c r="AV27" s="255"/>
      <c r="AW27" s="255"/>
      <c r="AX27" s="255"/>
      <c r="AY27" s="255"/>
      <c r="AZ27" s="255"/>
      <c r="BA27" s="255"/>
      <c r="BB27" s="255"/>
      <c r="BC27" s="255"/>
      <c r="BD27" s="255"/>
    </row>
    <row r="28" spans="2:56" s="99" customFormat="1" ht="12" customHeight="1" x14ac:dyDescent="0.3">
      <c r="B28" s="157"/>
      <c r="C28" s="157"/>
      <c r="D28" s="157"/>
      <c r="E28" s="157"/>
      <c r="F28" s="157"/>
      <c r="G28" s="157"/>
      <c r="H28" s="157"/>
      <c r="I28" s="145"/>
      <c r="J28" s="251" t="s">
        <v>111</v>
      </c>
      <c r="K28" s="252"/>
      <c r="L28" s="253"/>
      <c r="M28" s="253"/>
      <c r="N28" s="253"/>
      <c r="O28" s="253"/>
      <c r="P28" s="253"/>
      <c r="Q28" s="253"/>
      <c r="R28" s="253"/>
      <c r="S28" s="253"/>
      <c r="T28" s="253"/>
      <c r="U28" s="253"/>
      <c r="V28" s="253"/>
      <c r="W28" s="253"/>
      <c r="X28" s="253"/>
      <c r="Y28" s="253"/>
      <c r="Z28" s="253"/>
      <c r="AA28" s="253"/>
      <c r="AB28" s="253"/>
      <c r="AC28" s="253"/>
      <c r="AD28" s="253"/>
      <c r="AE28" s="253"/>
      <c r="AF28" s="253"/>
      <c r="AG28" s="253"/>
      <c r="AH28" s="253"/>
      <c r="AI28" s="253"/>
      <c r="AJ28" s="253"/>
      <c r="AK28" s="253"/>
      <c r="AL28" s="253"/>
      <c r="AM28" s="253"/>
      <c r="AN28" s="253"/>
      <c r="AO28" s="253"/>
      <c r="AP28" s="253"/>
      <c r="AQ28" s="253"/>
      <c r="AR28" s="253"/>
      <c r="AS28" s="253"/>
      <c r="AT28" s="253"/>
      <c r="AU28" s="253"/>
      <c r="AV28" s="253"/>
      <c r="AW28" s="253"/>
      <c r="AX28" s="253"/>
      <c r="AY28" s="253"/>
      <c r="AZ28" s="253"/>
      <c r="BA28" s="253"/>
      <c r="BB28" s="253"/>
      <c r="BC28" s="253"/>
      <c r="BD28" s="253"/>
    </row>
    <row r="29" spans="2:56" s="99" customFormat="1" ht="12" customHeight="1" x14ac:dyDescent="0.3">
      <c r="B29" s="157"/>
      <c r="C29" s="157"/>
      <c r="D29" s="157"/>
      <c r="E29" s="157"/>
      <c r="F29" s="157"/>
      <c r="G29" s="157"/>
      <c r="H29" s="157"/>
      <c r="I29" s="146"/>
      <c r="J29" s="123"/>
      <c r="K29" s="124"/>
      <c r="L29" s="255" t="s">
        <v>140</v>
      </c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Y29" s="255"/>
      <c r="Z29" s="255"/>
      <c r="AA29" s="255"/>
      <c r="AB29" s="255"/>
      <c r="AC29" s="255"/>
      <c r="AD29" s="255"/>
      <c r="AE29" s="255"/>
      <c r="AF29" s="255"/>
      <c r="AG29" s="255"/>
      <c r="AH29" s="255"/>
      <c r="AI29" s="255"/>
      <c r="AJ29" s="255"/>
      <c r="AK29" s="255"/>
      <c r="AL29" s="255"/>
      <c r="AM29" s="255"/>
      <c r="AN29" s="255"/>
      <c r="AO29" s="255"/>
      <c r="AP29" s="255"/>
      <c r="AQ29" s="255"/>
      <c r="AR29" s="255"/>
      <c r="AS29" s="255"/>
      <c r="AT29" s="255"/>
      <c r="AU29" s="255"/>
      <c r="AV29" s="255"/>
      <c r="AW29" s="255"/>
      <c r="AX29" s="255"/>
      <c r="AY29" s="255"/>
      <c r="AZ29" s="255"/>
      <c r="BA29" s="255"/>
      <c r="BB29" s="255"/>
      <c r="BC29" s="255"/>
      <c r="BD29" s="255"/>
    </row>
    <row r="30" spans="2:56" s="99" customFormat="1" ht="12" customHeight="1" x14ac:dyDescent="0.3">
      <c r="B30" s="157"/>
      <c r="C30" s="157"/>
      <c r="D30" s="157"/>
      <c r="E30" s="157"/>
      <c r="F30" s="157"/>
      <c r="G30" s="157"/>
      <c r="H30" s="157"/>
      <c r="I30" s="146"/>
      <c r="J30" s="123"/>
      <c r="K30" s="124"/>
      <c r="L30" s="255" t="s">
        <v>141</v>
      </c>
      <c r="M30" s="255"/>
      <c r="N30" s="255"/>
      <c r="O30" s="255"/>
      <c r="P30" s="255"/>
      <c r="Q30" s="255"/>
      <c r="R30" s="255"/>
      <c r="S30" s="255"/>
      <c r="T30" s="255"/>
      <c r="U30" s="255"/>
      <c r="V30" s="255"/>
      <c r="W30" s="255"/>
      <c r="X30" s="255"/>
      <c r="Y30" s="255"/>
      <c r="Z30" s="255"/>
      <c r="AA30" s="255"/>
      <c r="AB30" s="255"/>
      <c r="AC30" s="255"/>
      <c r="AD30" s="255"/>
      <c r="AE30" s="255"/>
      <c r="AF30" s="255"/>
      <c r="AG30" s="255"/>
      <c r="AH30" s="255"/>
      <c r="AI30" s="255"/>
      <c r="AJ30" s="255"/>
      <c r="AK30" s="255"/>
      <c r="AL30" s="255"/>
      <c r="AM30" s="255"/>
      <c r="AN30" s="255"/>
      <c r="AO30" s="255"/>
      <c r="AP30" s="255"/>
      <c r="AQ30" s="255"/>
      <c r="AR30" s="255"/>
      <c r="AS30" s="255"/>
      <c r="AT30" s="255"/>
      <c r="AU30" s="255"/>
      <c r="AV30" s="255"/>
      <c r="AW30" s="255"/>
      <c r="AX30" s="255"/>
      <c r="AY30" s="255"/>
      <c r="AZ30" s="255"/>
      <c r="BA30" s="255"/>
      <c r="BB30" s="255"/>
      <c r="BC30" s="255"/>
      <c r="BD30" s="255"/>
    </row>
    <row r="31" spans="2:56" s="99" customFormat="1" ht="12" customHeight="1" x14ac:dyDescent="0.3">
      <c r="B31" s="157"/>
      <c r="C31" s="157"/>
      <c r="D31" s="157"/>
      <c r="E31" s="157"/>
      <c r="F31" s="157"/>
      <c r="G31" s="157"/>
      <c r="H31" s="157"/>
      <c r="I31" s="146"/>
      <c r="J31" s="123"/>
      <c r="K31" s="124"/>
      <c r="L31" s="255" t="s">
        <v>142</v>
      </c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Y31" s="255"/>
      <c r="Z31" s="255"/>
      <c r="AA31" s="255"/>
      <c r="AB31" s="255"/>
      <c r="AC31" s="255"/>
      <c r="AD31" s="255"/>
      <c r="AE31" s="255"/>
      <c r="AF31" s="255"/>
      <c r="AG31" s="255"/>
      <c r="AH31" s="255"/>
      <c r="AI31" s="255"/>
      <c r="AJ31" s="255"/>
      <c r="AK31" s="255"/>
      <c r="AL31" s="255"/>
      <c r="AM31" s="255"/>
      <c r="AN31" s="255"/>
      <c r="AO31" s="255"/>
      <c r="AP31" s="255"/>
      <c r="AQ31" s="255"/>
      <c r="AR31" s="255"/>
      <c r="AS31" s="255"/>
      <c r="AT31" s="255"/>
      <c r="AU31" s="255"/>
      <c r="AV31" s="255"/>
      <c r="AW31" s="255"/>
      <c r="AX31" s="255"/>
      <c r="AY31" s="255"/>
      <c r="AZ31" s="255"/>
      <c r="BA31" s="255"/>
      <c r="BB31" s="255"/>
      <c r="BC31" s="255"/>
      <c r="BD31" s="255"/>
    </row>
    <row r="32" spans="2:56" s="99" customFormat="1" ht="12" customHeight="1" x14ac:dyDescent="0.3">
      <c r="B32" s="157"/>
      <c r="C32" s="157"/>
      <c r="D32" s="157"/>
      <c r="E32" s="157"/>
      <c r="F32" s="157"/>
      <c r="G32" s="157"/>
      <c r="H32" s="157"/>
      <c r="I32" s="145"/>
      <c r="J32" s="251" t="s">
        <v>112</v>
      </c>
      <c r="K32" s="252"/>
      <c r="L32" s="253"/>
      <c r="M32" s="253"/>
      <c r="N32" s="253"/>
      <c r="O32" s="253"/>
      <c r="P32" s="253"/>
      <c r="Q32" s="253"/>
      <c r="R32" s="253"/>
      <c r="S32" s="253"/>
      <c r="T32" s="253"/>
      <c r="U32" s="253"/>
      <c r="V32" s="253"/>
      <c r="W32" s="253"/>
      <c r="X32" s="253"/>
      <c r="Y32" s="253"/>
      <c r="Z32" s="253"/>
      <c r="AA32" s="253"/>
      <c r="AB32" s="253"/>
      <c r="AC32" s="253"/>
      <c r="AD32" s="253"/>
      <c r="AE32" s="253"/>
      <c r="AF32" s="253"/>
      <c r="AG32" s="253"/>
      <c r="AH32" s="253"/>
      <c r="AI32" s="253"/>
      <c r="AJ32" s="253"/>
      <c r="AK32" s="253"/>
      <c r="AL32" s="253"/>
      <c r="AM32" s="253"/>
      <c r="AN32" s="253"/>
      <c r="AO32" s="253"/>
      <c r="AP32" s="253"/>
      <c r="AQ32" s="253"/>
      <c r="AR32" s="253"/>
      <c r="AS32" s="253"/>
      <c r="AT32" s="253"/>
      <c r="AU32" s="253"/>
      <c r="AV32" s="253"/>
      <c r="AW32" s="253"/>
      <c r="AX32" s="253"/>
      <c r="AY32" s="253"/>
      <c r="AZ32" s="253"/>
      <c r="BA32" s="253"/>
      <c r="BB32" s="253"/>
      <c r="BC32" s="253"/>
      <c r="BD32" s="253"/>
    </row>
    <row r="33" spans="2:56" s="99" customFormat="1" ht="12" customHeight="1" x14ac:dyDescent="0.3">
      <c r="B33" s="157"/>
      <c r="C33" s="157"/>
      <c r="D33" s="157"/>
      <c r="E33" s="157"/>
      <c r="F33" s="157"/>
      <c r="G33" s="157"/>
      <c r="H33" s="157"/>
      <c r="I33" s="146"/>
      <c r="J33" s="123"/>
      <c r="K33" s="124"/>
      <c r="L33" s="255" t="s">
        <v>143</v>
      </c>
      <c r="M33" s="255"/>
      <c r="N33" s="255"/>
      <c r="O33" s="255"/>
      <c r="P33" s="255"/>
      <c r="Q33" s="255"/>
      <c r="R33" s="255"/>
      <c r="S33" s="255"/>
      <c r="T33" s="255"/>
      <c r="U33" s="255"/>
      <c r="V33" s="255"/>
      <c r="W33" s="255"/>
      <c r="X33" s="255"/>
      <c r="Y33" s="255"/>
      <c r="Z33" s="255"/>
      <c r="AA33" s="255"/>
      <c r="AB33" s="255"/>
      <c r="AC33" s="255"/>
      <c r="AD33" s="255"/>
      <c r="AE33" s="255"/>
      <c r="AF33" s="255"/>
      <c r="AG33" s="255"/>
      <c r="AH33" s="255"/>
      <c r="AI33" s="255"/>
      <c r="AJ33" s="255"/>
      <c r="AK33" s="255"/>
      <c r="AL33" s="255"/>
      <c r="AM33" s="255"/>
      <c r="AN33" s="255"/>
      <c r="AO33" s="255"/>
      <c r="AP33" s="255"/>
      <c r="AQ33" s="255"/>
      <c r="AR33" s="255"/>
      <c r="AS33" s="255"/>
      <c r="AT33" s="255"/>
      <c r="AU33" s="255"/>
      <c r="AV33" s="255"/>
      <c r="AW33" s="255"/>
      <c r="AX33" s="255"/>
      <c r="AY33" s="255"/>
      <c r="AZ33" s="255"/>
      <c r="BA33" s="255"/>
      <c r="BB33" s="255"/>
      <c r="BC33" s="255"/>
      <c r="BD33" s="255"/>
    </row>
    <row r="34" spans="2:56" s="99" customFormat="1" ht="12" customHeight="1" x14ac:dyDescent="0.3">
      <c r="B34" s="157"/>
      <c r="C34" s="157"/>
      <c r="D34" s="157"/>
      <c r="E34" s="157"/>
      <c r="F34" s="157"/>
      <c r="G34" s="157"/>
      <c r="H34" s="157"/>
      <c r="I34" s="146"/>
      <c r="J34" s="123"/>
      <c r="K34" s="124"/>
      <c r="L34" s="255" t="s">
        <v>144</v>
      </c>
      <c r="M34" s="255"/>
      <c r="N34" s="255"/>
      <c r="O34" s="255"/>
      <c r="P34" s="255"/>
      <c r="Q34" s="255"/>
      <c r="R34" s="255"/>
      <c r="S34" s="255"/>
      <c r="T34" s="255"/>
      <c r="U34" s="255"/>
      <c r="V34" s="255"/>
      <c r="W34" s="255"/>
      <c r="X34" s="255"/>
      <c r="Y34" s="255"/>
      <c r="Z34" s="255"/>
      <c r="AA34" s="255"/>
      <c r="AB34" s="255"/>
      <c r="AC34" s="255"/>
      <c r="AD34" s="255"/>
      <c r="AE34" s="255"/>
      <c r="AF34" s="255"/>
      <c r="AG34" s="255"/>
      <c r="AH34" s="255"/>
      <c r="AI34" s="255"/>
      <c r="AJ34" s="255"/>
      <c r="AK34" s="255"/>
      <c r="AL34" s="255"/>
      <c r="AM34" s="255"/>
      <c r="AN34" s="255"/>
      <c r="AO34" s="255"/>
      <c r="AP34" s="255"/>
      <c r="AQ34" s="255"/>
      <c r="AR34" s="255"/>
      <c r="AS34" s="255"/>
      <c r="AT34" s="255"/>
      <c r="AU34" s="255"/>
      <c r="AV34" s="255"/>
      <c r="AW34" s="255"/>
      <c r="AX34" s="255"/>
      <c r="AY34" s="255"/>
      <c r="AZ34" s="255"/>
      <c r="BA34" s="255"/>
      <c r="BB34" s="255"/>
      <c r="BC34" s="255"/>
      <c r="BD34" s="255"/>
    </row>
    <row r="35" spans="2:56" s="99" customFormat="1" ht="12" customHeight="1" thickBot="1" x14ac:dyDescent="0.35">
      <c r="B35" s="259"/>
      <c r="C35" s="259"/>
      <c r="D35" s="259"/>
      <c r="E35" s="259"/>
      <c r="F35" s="259"/>
      <c r="G35" s="259"/>
      <c r="H35" s="259"/>
      <c r="I35" s="147"/>
      <c r="J35" s="125"/>
      <c r="K35" s="126"/>
      <c r="L35" s="256" t="s">
        <v>145</v>
      </c>
      <c r="M35" s="256"/>
      <c r="N35" s="256"/>
      <c r="O35" s="256"/>
      <c r="P35" s="256"/>
      <c r="Q35" s="256"/>
      <c r="R35" s="256"/>
      <c r="S35" s="256"/>
      <c r="T35" s="256"/>
      <c r="U35" s="256"/>
      <c r="V35" s="256"/>
      <c r="W35" s="256"/>
      <c r="X35" s="256"/>
      <c r="Y35" s="256"/>
      <c r="Z35" s="256"/>
      <c r="AA35" s="256"/>
      <c r="AB35" s="256"/>
      <c r="AC35" s="256"/>
      <c r="AD35" s="256"/>
      <c r="AE35" s="256"/>
      <c r="AF35" s="256"/>
      <c r="AG35" s="256"/>
      <c r="AH35" s="256"/>
      <c r="AI35" s="256"/>
      <c r="AJ35" s="256"/>
      <c r="AK35" s="256"/>
      <c r="AL35" s="256"/>
      <c r="AM35" s="256"/>
      <c r="AN35" s="256"/>
      <c r="AO35" s="256"/>
      <c r="AP35" s="256"/>
      <c r="AQ35" s="256"/>
      <c r="AR35" s="256"/>
      <c r="AS35" s="256"/>
      <c r="AT35" s="256"/>
      <c r="AU35" s="256"/>
      <c r="AV35" s="256"/>
      <c r="AW35" s="256"/>
      <c r="AX35" s="256"/>
      <c r="AY35" s="256"/>
      <c r="AZ35" s="256"/>
      <c r="BA35" s="256"/>
      <c r="BB35" s="256"/>
      <c r="BC35" s="256"/>
      <c r="BD35" s="256"/>
    </row>
    <row r="36" spans="2:56" s="99" customFormat="1" ht="24" customHeight="1" x14ac:dyDescent="0.3">
      <c r="B36" s="157" t="s">
        <v>103</v>
      </c>
      <c r="C36" s="157"/>
      <c r="D36" s="157"/>
      <c r="E36" s="157"/>
      <c r="F36" s="157"/>
      <c r="G36" s="157"/>
      <c r="H36" s="157"/>
      <c r="I36" s="257" t="s">
        <v>180</v>
      </c>
      <c r="J36" s="258"/>
      <c r="K36" s="258"/>
      <c r="L36" s="258"/>
      <c r="M36" s="258"/>
      <c r="N36" s="258"/>
      <c r="O36" s="258"/>
      <c r="P36" s="258"/>
      <c r="Q36" s="258"/>
      <c r="R36" s="258"/>
      <c r="S36" s="258"/>
      <c r="T36" s="258"/>
      <c r="U36" s="258"/>
      <c r="V36" s="258"/>
      <c r="W36" s="258"/>
      <c r="X36" s="258"/>
      <c r="Y36" s="258"/>
      <c r="Z36" s="258"/>
      <c r="AA36" s="258"/>
      <c r="AB36" s="258"/>
      <c r="AC36" s="258"/>
      <c r="AD36" s="258"/>
      <c r="AE36" s="258"/>
      <c r="AF36" s="258"/>
      <c r="AG36" s="258"/>
      <c r="AH36" s="258"/>
      <c r="AI36" s="258"/>
      <c r="AJ36" s="258"/>
      <c r="AK36" s="258"/>
      <c r="AL36" s="258"/>
      <c r="AM36" s="258"/>
      <c r="AN36" s="258"/>
      <c r="AO36" s="258"/>
      <c r="AP36" s="258"/>
      <c r="AQ36" s="258"/>
      <c r="AR36" s="258"/>
      <c r="AS36" s="258"/>
      <c r="AT36" s="258"/>
      <c r="AU36" s="258"/>
      <c r="AV36" s="258"/>
      <c r="AW36" s="258"/>
      <c r="AX36" s="258"/>
      <c r="AY36" s="258"/>
      <c r="AZ36" s="258"/>
      <c r="BA36" s="258"/>
      <c r="BB36" s="258"/>
      <c r="BC36" s="258"/>
      <c r="BD36" s="258"/>
    </row>
    <row r="37" spans="2:56" s="99" customFormat="1" ht="12" customHeight="1" x14ac:dyDescent="0.3">
      <c r="B37" s="157" t="s">
        <v>11</v>
      </c>
      <c r="C37" s="157"/>
      <c r="D37" s="157"/>
      <c r="E37" s="157"/>
      <c r="F37" s="157"/>
      <c r="G37" s="157"/>
      <c r="H37" s="157"/>
      <c r="I37" s="145"/>
      <c r="J37" s="254" t="s">
        <v>113</v>
      </c>
      <c r="K37" s="253"/>
      <c r="L37" s="253"/>
      <c r="M37" s="253"/>
      <c r="N37" s="253"/>
      <c r="O37" s="253"/>
      <c r="P37" s="253"/>
      <c r="Q37" s="253"/>
      <c r="R37" s="253"/>
      <c r="S37" s="253"/>
      <c r="T37" s="253"/>
      <c r="U37" s="253"/>
      <c r="V37" s="253"/>
      <c r="W37" s="253"/>
      <c r="X37" s="253"/>
      <c r="Y37" s="253"/>
      <c r="Z37" s="253"/>
      <c r="AA37" s="253"/>
      <c r="AB37" s="253"/>
      <c r="AC37" s="253"/>
      <c r="AD37" s="253"/>
      <c r="AE37" s="253"/>
      <c r="AF37" s="253"/>
      <c r="AG37" s="253"/>
      <c r="AH37" s="253"/>
      <c r="AI37" s="253"/>
      <c r="AJ37" s="253"/>
      <c r="AK37" s="253"/>
      <c r="AL37" s="253"/>
      <c r="AM37" s="253"/>
      <c r="AN37" s="253"/>
      <c r="AO37" s="253"/>
      <c r="AP37" s="253"/>
      <c r="AQ37" s="253"/>
      <c r="AR37" s="253"/>
      <c r="AS37" s="253"/>
      <c r="AT37" s="253"/>
      <c r="AU37" s="253"/>
      <c r="AV37" s="253"/>
      <c r="AW37" s="253"/>
      <c r="AX37" s="253"/>
      <c r="AY37" s="253"/>
      <c r="AZ37" s="253"/>
      <c r="BA37" s="253"/>
      <c r="BB37" s="253"/>
      <c r="BC37" s="253"/>
      <c r="BD37" s="253"/>
    </row>
    <row r="38" spans="2:56" s="99" customFormat="1" ht="12" customHeight="1" x14ac:dyDescent="0.3">
      <c r="B38" s="157"/>
      <c r="C38" s="157"/>
      <c r="D38" s="157"/>
      <c r="E38" s="157"/>
      <c r="F38" s="157"/>
      <c r="G38" s="157"/>
      <c r="H38" s="157"/>
      <c r="I38" s="146"/>
      <c r="J38" s="123"/>
      <c r="K38" s="124"/>
      <c r="L38" s="255" t="s">
        <v>146</v>
      </c>
      <c r="M38" s="255"/>
      <c r="N38" s="255"/>
      <c r="O38" s="255"/>
      <c r="P38" s="255"/>
      <c r="Q38" s="255"/>
      <c r="R38" s="255"/>
      <c r="S38" s="255"/>
      <c r="T38" s="255"/>
      <c r="U38" s="255"/>
      <c r="V38" s="255"/>
      <c r="W38" s="255"/>
      <c r="X38" s="255"/>
      <c r="Y38" s="255"/>
      <c r="Z38" s="255"/>
      <c r="AA38" s="255"/>
      <c r="AB38" s="255"/>
      <c r="AC38" s="255"/>
      <c r="AD38" s="255"/>
      <c r="AE38" s="255"/>
      <c r="AF38" s="255"/>
      <c r="AG38" s="255"/>
      <c r="AH38" s="255"/>
      <c r="AI38" s="255"/>
      <c r="AJ38" s="255"/>
      <c r="AK38" s="255"/>
      <c r="AL38" s="255"/>
      <c r="AM38" s="255"/>
      <c r="AN38" s="255"/>
      <c r="AO38" s="255"/>
      <c r="AP38" s="255"/>
      <c r="AQ38" s="255"/>
      <c r="AR38" s="255"/>
      <c r="AS38" s="255"/>
      <c r="AT38" s="255"/>
      <c r="AU38" s="255"/>
      <c r="AV38" s="255"/>
      <c r="AW38" s="255"/>
      <c r="AX38" s="255"/>
      <c r="AY38" s="255"/>
      <c r="AZ38" s="255"/>
      <c r="BA38" s="255"/>
      <c r="BB38" s="255"/>
      <c r="BC38" s="255"/>
      <c r="BD38" s="255"/>
    </row>
    <row r="39" spans="2:56" s="99" customFormat="1" ht="12" customHeight="1" x14ac:dyDescent="0.3">
      <c r="B39" s="157"/>
      <c r="C39" s="157"/>
      <c r="D39" s="157"/>
      <c r="E39" s="157"/>
      <c r="F39" s="157"/>
      <c r="G39" s="157"/>
      <c r="H39" s="157"/>
      <c r="I39" s="146"/>
      <c r="J39" s="123"/>
      <c r="K39" s="124"/>
      <c r="L39" s="255" t="s">
        <v>147</v>
      </c>
      <c r="M39" s="255"/>
      <c r="N39" s="255"/>
      <c r="O39" s="255"/>
      <c r="P39" s="255"/>
      <c r="Q39" s="255"/>
      <c r="R39" s="255"/>
      <c r="S39" s="255"/>
      <c r="T39" s="255"/>
      <c r="U39" s="255"/>
      <c r="V39" s="255"/>
      <c r="W39" s="255"/>
      <c r="X39" s="255"/>
      <c r="Y39" s="255"/>
      <c r="Z39" s="255"/>
      <c r="AA39" s="255"/>
      <c r="AB39" s="255"/>
      <c r="AC39" s="255"/>
      <c r="AD39" s="255"/>
      <c r="AE39" s="255"/>
      <c r="AF39" s="255"/>
      <c r="AG39" s="255"/>
      <c r="AH39" s="255"/>
      <c r="AI39" s="255"/>
      <c r="AJ39" s="255"/>
      <c r="AK39" s="255"/>
      <c r="AL39" s="255"/>
      <c r="AM39" s="255"/>
      <c r="AN39" s="255"/>
      <c r="AO39" s="255"/>
      <c r="AP39" s="255"/>
      <c r="AQ39" s="255"/>
      <c r="AR39" s="255"/>
      <c r="AS39" s="255"/>
      <c r="AT39" s="255"/>
      <c r="AU39" s="255"/>
      <c r="AV39" s="255"/>
      <c r="AW39" s="255"/>
      <c r="AX39" s="255"/>
      <c r="AY39" s="255"/>
      <c r="AZ39" s="255"/>
      <c r="BA39" s="255"/>
      <c r="BB39" s="255"/>
      <c r="BC39" s="255"/>
      <c r="BD39" s="255"/>
    </row>
    <row r="40" spans="2:56" s="99" customFormat="1" ht="12" customHeight="1" x14ac:dyDescent="0.3">
      <c r="B40" s="157"/>
      <c r="C40" s="157"/>
      <c r="D40" s="157"/>
      <c r="E40" s="157"/>
      <c r="F40" s="157"/>
      <c r="G40" s="157"/>
      <c r="H40" s="157"/>
      <c r="I40" s="146"/>
      <c r="J40" s="123"/>
      <c r="K40" s="124"/>
      <c r="L40" s="255" t="s">
        <v>148</v>
      </c>
      <c r="M40" s="255"/>
      <c r="N40" s="255"/>
      <c r="O40" s="255"/>
      <c r="P40" s="255"/>
      <c r="Q40" s="255"/>
      <c r="R40" s="255"/>
      <c r="S40" s="255"/>
      <c r="T40" s="255"/>
      <c r="U40" s="255"/>
      <c r="V40" s="255"/>
      <c r="W40" s="255"/>
      <c r="X40" s="255"/>
      <c r="Y40" s="255"/>
      <c r="Z40" s="255"/>
      <c r="AA40" s="255"/>
      <c r="AB40" s="255"/>
      <c r="AC40" s="255"/>
      <c r="AD40" s="255"/>
      <c r="AE40" s="255"/>
      <c r="AF40" s="255"/>
      <c r="AG40" s="255"/>
      <c r="AH40" s="255"/>
      <c r="AI40" s="255"/>
      <c r="AJ40" s="255"/>
      <c r="AK40" s="255"/>
      <c r="AL40" s="255"/>
      <c r="AM40" s="255"/>
      <c r="AN40" s="255"/>
      <c r="AO40" s="255"/>
      <c r="AP40" s="255"/>
      <c r="AQ40" s="255"/>
      <c r="AR40" s="255"/>
      <c r="AS40" s="255"/>
      <c r="AT40" s="255"/>
      <c r="AU40" s="255"/>
      <c r="AV40" s="255"/>
      <c r="AW40" s="255"/>
      <c r="AX40" s="255"/>
      <c r="AY40" s="255"/>
      <c r="AZ40" s="255"/>
      <c r="BA40" s="255"/>
      <c r="BB40" s="255"/>
      <c r="BC40" s="255"/>
      <c r="BD40" s="255"/>
    </row>
    <row r="41" spans="2:56" s="99" customFormat="1" ht="12" customHeight="1" x14ac:dyDescent="0.3">
      <c r="B41" s="157"/>
      <c r="C41" s="157"/>
      <c r="D41" s="157"/>
      <c r="E41" s="157"/>
      <c r="F41" s="157"/>
      <c r="G41" s="157"/>
      <c r="H41" s="157"/>
      <c r="I41" s="145"/>
      <c r="J41" s="251" t="s">
        <v>114</v>
      </c>
      <c r="K41" s="252"/>
      <c r="L41" s="253"/>
      <c r="M41" s="253"/>
      <c r="N41" s="253"/>
      <c r="O41" s="253"/>
      <c r="P41" s="253"/>
      <c r="Q41" s="253"/>
      <c r="R41" s="253"/>
      <c r="S41" s="253"/>
      <c r="T41" s="253"/>
      <c r="U41" s="253"/>
      <c r="V41" s="253"/>
      <c r="W41" s="253"/>
      <c r="X41" s="253"/>
      <c r="Y41" s="253"/>
      <c r="Z41" s="253"/>
      <c r="AA41" s="253"/>
      <c r="AB41" s="253"/>
      <c r="AC41" s="253"/>
      <c r="AD41" s="253"/>
      <c r="AE41" s="253"/>
      <c r="AF41" s="253"/>
      <c r="AG41" s="253"/>
      <c r="AH41" s="253"/>
      <c r="AI41" s="253"/>
      <c r="AJ41" s="253"/>
      <c r="AK41" s="253"/>
      <c r="AL41" s="253"/>
      <c r="AM41" s="253"/>
      <c r="AN41" s="253"/>
      <c r="AO41" s="253"/>
      <c r="AP41" s="253"/>
      <c r="AQ41" s="253"/>
      <c r="AR41" s="253"/>
      <c r="AS41" s="253"/>
      <c r="AT41" s="253"/>
      <c r="AU41" s="253"/>
      <c r="AV41" s="253"/>
      <c r="AW41" s="253"/>
      <c r="AX41" s="253"/>
      <c r="AY41" s="253"/>
      <c r="AZ41" s="253"/>
      <c r="BA41" s="253"/>
      <c r="BB41" s="253"/>
      <c r="BC41" s="253"/>
      <c r="BD41" s="253"/>
    </row>
    <row r="42" spans="2:56" s="99" customFormat="1" ht="12" customHeight="1" x14ac:dyDescent="0.3">
      <c r="B42" s="157"/>
      <c r="C42" s="157"/>
      <c r="D42" s="157"/>
      <c r="E42" s="157"/>
      <c r="F42" s="157"/>
      <c r="G42" s="157"/>
      <c r="H42" s="157"/>
      <c r="I42" s="146"/>
      <c r="J42" s="123"/>
      <c r="K42" s="124"/>
      <c r="L42" s="255" t="s">
        <v>149</v>
      </c>
      <c r="M42" s="255"/>
      <c r="N42" s="255"/>
      <c r="O42" s="255"/>
      <c r="P42" s="255"/>
      <c r="Q42" s="255"/>
      <c r="R42" s="255"/>
      <c r="S42" s="255"/>
      <c r="T42" s="255"/>
      <c r="U42" s="255"/>
      <c r="V42" s="255"/>
      <c r="W42" s="255"/>
      <c r="X42" s="255"/>
      <c r="Y42" s="255"/>
      <c r="Z42" s="255"/>
      <c r="AA42" s="255"/>
      <c r="AB42" s="255"/>
      <c r="AC42" s="255"/>
      <c r="AD42" s="255"/>
      <c r="AE42" s="255"/>
      <c r="AF42" s="255"/>
      <c r="AG42" s="255"/>
      <c r="AH42" s="255"/>
      <c r="AI42" s="255"/>
      <c r="AJ42" s="255"/>
      <c r="AK42" s="255"/>
      <c r="AL42" s="255"/>
      <c r="AM42" s="255"/>
      <c r="AN42" s="255"/>
      <c r="AO42" s="255"/>
      <c r="AP42" s="255"/>
      <c r="AQ42" s="255"/>
      <c r="AR42" s="255"/>
      <c r="AS42" s="255"/>
      <c r="AT42" s="255"/>
      <c r="AU42" s="255"/>
      <c r="AV42" s="255"/>
      <c r="AW42" s="255"/>
      <c r="AX42" s="255"/>
      <c r="AY42" s="255"/>
      <c r="AZ42" s="255"/>
      <c r="BA42" s="255"/>
      <c r="BB42" s="255"/>
      <c r="BC42" s="255"/>
      <c r="BD42" s="255"/>
    </row>
    <row r="43" spans="2:56" s="99" customFormat="1" ht="12" customHeight="1" x14ac:dyDescent="0.3">
      <c r="B43" s="157"/>
      <c r="C43" s="157"/>
      <c r="D43" s="157"/>
      <c r="E43" s="157"/>
      <c r="F43" s="157"/>
      <c r="G43" s="157"/>
      <c r="H43" s="157"/>
      <c r="I43" s="146"/>
      <c r="J43" s="123"/>
      <c r="K43" s="124"/>
      <c r="L43" s="255" t="s">
        <v>150</v>
      </c>
      <c r="M43" s="255"/>
      <c r="N43" s="255"/>
      <c r="O43" s="255"/>
      <c r="P43" s="255"/>
      <c r="Q43" s="255"/>
      <c r="R43" s="255"/>
      <c r="S43" s="255"/>
      <c r="T43" s="255"/>
      <c r="U43" s="255"/>
      <c r="V43" s="255"/>
      <c r="W43" s="255"/>
      <c r="X43" s="255"/>
      <c r="Y43" s="255"/>
      <c r="Z43" s="255"/>
      <c r="AA43" s="255"/>
      <c r="AB43" s="255"/>
      <c r="AC43" s="255"/>
      <c r="AD43" s="255"/>
      <c r="AE43" s="255"/>
      <c r="AF43" s="255"/>
      <c r="AG43" s="255"/>
      <c r="AH43" s="255"/>
      <c r="AI43" s="255"/>
      <c r="AJ43" s="255"/>
      <c r="AK43" s="255"/>
      <c r="AL43" s="255"/>
      <c r="AM43" s="255"/>
      <c r="AN43" s="255"/>
      <c r="AO43" s="255"/>
      <c r="AP43" s="255"/>
      <c r="AQ43" s="255"/>
      <c r="AR43" s="255"/>
      <c r="AS43" s="255"/>
      <c r="AT43" s="255"/>
      <c r="AU43" s="255"/>
      <c r="AV43" s="255"/>
      <c r="AW43" s="255"/>
      <c r="AX43" s="255"/>
      <c r="AY43" s="255"/>
      <c r="AZ43" s="255"/>
      <c r="BA43" s="255"/>
      <c r="BB43" s="255"/>
      <c r="BC43" s="255"/>
      <c r="BD43" s="255"/>
    </row>
    <row r="44" spans="2:56" s="99" customFormat="1" ht="12" customHeight="1" x14ac:dyDescent="0.3">
      <c r="B44" s="157"/>
      <c r="C44" s="157"/>
      <c r="D44" s="157"/>
      <c r="E44" s="157"/>
      <c r="F44" s="157"/>
      <c r="G44" s="157"/>
      <c r="H44" s="157"/>
      <c r="I44" s="146"/>
      <c r="J44" s="123"/>
      <c r="K44" s="124"/>
      <c r="L44" s="255" t="s">
        <v>151</v>
      </c>
      <c r="M44" s="255"/>
      <c r="N44" s="255"/>
      <c r="O44" s="255"/>
      <c r="P44" s="255"/>
      <c r="Q44" s="255"/>
      <c r="R44" s="255"/>
      <c r="S44" s="255"/>
      <c r="T44" s="255"/>
      <c r="U44" s="255"/>
      <c r="V44" s="255"/>
      <c r="W44" s="255"/>
      <c r="X44" s="255"/>
      <c r="Y44" s="255"/>
      <c r="Z44" s="255"/>
      <c r="AA44" s="255"/>
      <c r="AB44" s="255"/>
      <c r="AC44" s="255"/>
      <c r="AD44" s="255"/>
      <c r="AE44" s="255"/>
      <c r="AF44" s="255"/>
      <c r="AG44" s="255"/>
      <c r="AH44" s="255"/>
      <c r="AI44" s="255"/>
      <c r="AJ44" s="255"/>
      <c r="AK44" s="255"/>
      <c r="AL44" s="255"/>
      <c r="AM44" s="255"/>
      <c r="AN44" s="255"/>
      <c r="AO44" s="255"/>
      <c r="AP44" s="255"/>
      <c r="AQ44" s="255"/>
      <c r="AR44" s="255"/>
      <c r="AS44" s="255"/>
      <c r="AT44" s="255"/>
      <c r="AU44" s="255"/>
      <c r="AV44" s="255"/>
      <c r="AW44" s="255"/>
      <c r="AX44" s="255"/>
      <c r="AY44" s="255"/>
      <c r="AZ44" s="255"/>
      <c r="BA44" s="255"/>
      <c r="BB44" s="255"/>
      <c r="BC44" s="255"/>
      <c r="BD44" s="255"/>
    </row>
    <row r="45" spans="2:56" s="99" customFormat="1" ht="12" customHeight="1" x14ac:dyDescent="0.3">
      <c r="B45" s="157"/>
      <c r="C45" s="157"/>
      <c r="D45" s="157"/>
      <c r="E45" s="157"/>
      <c r="F45" s="157"/>
      <c r="G45" s="157"/>
      <c r="H45" s="157"/>
      <c r="I45" s="145"/>
      <c r="J45" s="251" t="s">
        <v>115</v>
      </c>
      <c r="K45" s="252"/>
      <c r="L45" s="253"/>
      <c r="M45" s="253"/>
      <c r="N45" s="253"/>
      <c r="O45" s="253"/>
      <c r="P45" s="253"/>
      <c r="Q45" s="253"/>
      <c r="R45" s="253"/>
      <c r="S45" s="253"/>
      <c r="T45" s="253"/>
      <c r="U45" s="253"/>
      <c r="V45" s="253"/>
      <c r="W45" s="253"/>
      <c r="X45" s="253"/>
      <c r="Y45" s="253"/>
      <c r="Z45" s="253"/>
      <c r="AA45" s="253"/>
      <c r="AB45" s="253"/>
      <c r="AC45" s="253"/>
      <c r="AD45" s="253"/>
      <c r="AE45" s="253"/>
      <c r="AF45" s="253"/>
      <c r="AG45" s="253"/>
      <c r="AH45" s="253"/>
      <c r="AI45" s="253"/>
      <c r="AJ45" s="253"/>
      <c r="AK45" s="253"/>
      <c r="AL45" s="253"/>
      <c r="AM45" s="253"/>
      <c r="AN45" s="253"/>
      <c r="AO45" s="253"/>
      <c r="AP45" s="253"/>
      <c r="AQ45" s="253"/>
      <c r="AR45" s="253"/>
      <c r="AS45" s="253"/>
      <c r="AT45" s="253"/>
      <c r="AU45" s="253"/>
      <c r="AV45" s="253"/>
      <c r="AW45" s="253"/>
      <c r="AX45" s="253"/>
      <c r="AY45" s="253"/>
      <c r="AZ45" s="253"/>
      <c r="BA45" s="253"/>
      <c r="BB45" s="253"/>
      <c r="BC45" s="253"/>
      <c r="BD45" s="253"/>
    </row>
    <row r="46" spans="2:56" s="99" customFormat="1" ht="12" customHeight="1" x14ac:dyDescent="0.3">
      <c r="B46" s="157"/>
      <c r="C46" s="157"/>
      <c r="D46" s="157"/>
      <c r="E46" s="157"/>
      <c r="F46" s="157"/>
      <c r="G46" s="157"/>
      <c r="H46" s="157"/>
      <c r="I46" s="146"/>
      <c r="J46" s="123"/>
      <c r="K46" s="124"/>
      <c r="L46" s="255" t="s">
        <v>152</v>
      </c>
      <c r="M46" s="255"/>
      <c r="N46" s="255"/>
      <c r="O46" s="255"/>
      <c r="P46" s="255"/>
      <c r="Q46" s="255"/>
      <c r="R46" s="255"/>
      <c r="S46" s="255"/>
      <c r="T46" s="255"/>
      <c r="U46" s="255"/>
      <c r="V46" s="255"/>
      <c r="W46" s="255"/>
      <c r="X46" s="255"/>
      <c r="Y46" s="255"/>
      <c r="Z46" s="255"/>
      <c r="AA46" s="255"/>
      <c r="AB46" s="255"/>
      <c r="AC46" s="255"/>
      <c r="AD46" s="255"/>
      <c r="AE46" s="255"/>
      <c r="AF46" s="255"/>
      <c r="AG46" s="255"/>
      <c r="AH46" s="255"/>
      <c r="AI46" s="255"/>
      <c r="AJ46" s="255"/>
      <c r="AK46" s="255"/>
      <c r="AL46" s="255"/>
      <c r="AM46" s="255"/>
      <c r="AN46" s="255"/>
      <c r="AO46" s="255"/>
      <c r="AP46" s="255"/>
      <c r="AQ46" s="255"/>
      <c r="AR46" s="255"/>
      <c r="AS46" s="255"/>
      <c r="AT46" s="255"/>
      <c r="AU46" s="255"/>
      <c r="AV46" s="255"/>
      <c r="AW46" s="255"/>
      <c r="AX46" s="255"/>
      <c r="AY46" s="255"/>
      <c r="AZ46" s="255"/>
      <c r="BA46" s="255"/>
      <c r="BB46" s="255"/>
      <c r="BC46" s="255"/>
      <c r="BD46" s="255"/>
    </row>
    <row r="47" spans="2:56" s="99" customFormat="1" ht="12" customHeight="1" x14ac:dyDescent="0.3">
      <c r="B47" s="157"/>
      <c r="C47" s="157"/>
      <c r="D47" s="157"/>
      <c r="E47" s="157"/>
      <c r="F47" s="157"/>
      <c r="G47" s="157"/>
      <c r="H47" s="157"/>
      <c r="I47" s="146"/>
      <c r="J47" s="123"/>
      <c r="K47" s="124"/>
      <c r="L47" s="255" t="s">
        <v>153</v>
      </c>
      <c r="M47" s="255"/>
      <c r="N47" s="255"/>
      <c r="O47" s="255"/>
      <c r="P47" s="255"/>
      <c r="Q47" s="255"/>
      <c r="R47" s="255"/>
      <c r="S47" s="255"/>
      <c r="T47" s="255"/>
      <c r="U47" s="255"/>
      <c r="V47" s="255"/>
      <c r="W47" s="255"/>
      <c r="X47" s="255"/>
      <c r="Y47" s="255"/>
      <c r="Z47" s="255"/>
      <c r="AA47" s="255"/>
      <c r="AB47" s="255"/>
      <c r="AC47" s="255"/>
      <c r="AD47" s="255"/>
      <c r="AE47" s="255"/>
      <c r="AF47" s="255"/>
      <c r="AG47" s="255"/>
      <c r="AH47" s="255"/>
      <c r="AI47" s="255"/>
      <c r="AJ47" s="255"/>
      <c r="AK47" s="255"/>
      <c r="AL47" s="255"/>
      <c r="AM47" s="255"/>
      <c r="AN47" s="255"/>
      <c r="AO47" s="255"/>
      <c r="AP47" s="255"/>
      <c r="AQ47" s="255"/>
      <c r="AR47" s="255"/>
      <c r="AS47" s="255"/>
      <c r="AT47" s="255"/>
      <c r="AU47" s="255"/>
      <c r="AV47" s="255"/>
      <c r="AW47" s="255"/>
      <c r="AX47" s="255"/>
      <c r="AY47" s="255"/>
      <c r="AZ47" s="255"/>
      <c r="BA47" s="255"/>
      <c r="BB47" s="255"/>
      <c r="BC47" s="255"/>
      <c r="BD47" s="255"/>
    </row>
    <row r="48" spans="2:56" s="99" customFormat="1" ht="12" customHeight="1" thickBot="1" x14ac:dyDescent="0.35">
      <c r="B48" s="259"/>
      <c r="C48" s="259"/>
      <c r="D48" s="259"/>
      <c r="E48" s="259"/>
      <c r="F48" s="259"/>
      <c r="G48" s="259"/>
      <c r="H48" s="259"/>
      <c r="I48" s="147"/>
      <c r="J48" s="125"/>
      <c r="K48" s="126"/>
      <c r="L48" s="256" t="s">
        <v>154</v>
      </c>
      <c r="M48" s="256"/>
      <c r="N48" s="256"/>
      <c r="O48" s="256"/>
      <c r="P48" s="256"/>
      <c r="Q48" s="256"/>
      <c r="R48" s="256"/>
      <c r="S48" s="256"/>
      <c r="T48" s="256"/>
      <c r="U48" s="256"/>
      <c r="V48" s="256"/>
      <c r="W48" s="256"/>
      <c r="X48" s="256"/>
      <c r="Y48" s="256"/>
      <c r="Z48" s="256"/>
      <c r="AA48" s="256"/>
      <c r="AB48" s="256"/>
      <c r="AC48" s="256"/>
      <c r="AD48" s="256"/>
      <c r="AE48" s="256"/>
      <c r="AF48" s="256"/>
      <c r="AG48" s="256"/>
      <c r="AH48" s="256"/>
      <c r="AI48" s="256"/>
      <c r="AJ48" s="256"/>
      <c r="AK48" s="256"/>
      <c r="AL48" s="256"/>
      <c r="AM48" s="256"/>
      <c r="AN48" s="256"/>
      <c r="AO48" s="256"/>
      <c r="AP48" s="256"/>
      <c r="AQ48" s="256"/>
      <c r="AR48" s="256"/>
      <c r="AS48" s="256"/>
      <c r="AT48" s="256"/>
      <c r="AU48" s="256"/>
      <c r="AV48" s="256"/>
      <c r="AW48" s="256"/>
      <c r="AX48" s="256"/>
      <c r="AY48" s="256"/>
      <c r="AZ48" s="256"/>
      <c r="BA48" s="256"/>
      <c r="BB48" s="256"/>
      <c r="BC48" s="256"/>
      <c r="BD48" s="256"/>
    </row>
    <row r="49" spans="2:56" s="99" customFormat="1" ht="24" customHeight="1" x14ac:dyDescent="0.3">
      <c r="B49" s="157" t="s">
        <v>104</v>
      </c>
      <c r="C49" s="157"/>
      <c r="D49" s="157"/>
      <c r="E49" s="157"/>
      <c r="F49" s="157"/>
      <c r="G49" s="157"/>
      <c r="H49" s="157"/>
      <c r="I49" s="257" t="s">
        <v>181</v>
      </c>
      <c r="J49" s="258"/>
      <c r="K49" s="258"/>
      <c r="L49" s="258"/>
      <c r="M49" s="258"/>
      <c r="N49" s="258"/>
      <c r="O49" s="258"/>
      <c r="P49" s="258"/>
      <c r="Q49" s="258"/>
      <c r="R49" s="258"/>
      <c r="S49" s="258"/>
      <c r="T49" s="258"/>
      <c r="U49" s="258"/>
      <c r="V49" s="258"/>
      <c r="W49" s="258"/>
      <c r="X49" s="258"/>
      <c r="Y49" s="258"/>
      <c r="Z49" s="258"/>
      <c r="AA49" s="258"/>
      <c r="AB49" s="258"/>
      <c r="AC49" s="258"/>
      <c r="AD49" s="258"/>
      <c r="AE49" s="258"/>
      <c r="AF49" s="258"/>
      <c r="AG49" s="258"/>
      <c r="AH49" s="258"/>
      <c r="AI49" s="258"/>
      <c r="AJ49" s="258"/>
      <c r="AK49" s="258"/>
      <c r="AL49" s="258"/>
      <c r="AM49" s="258"/>
      <c r="AN49" s="258"/>
      <c r="AO49" s="258"/>
      <c r="AP49" s="258"/>
      <c r="AQ49" s="258"/>
      <c r="AR49" s="258"/>
      <c r="AS49" s="258"/>
      <c r="AT49" s="258"/>
      <c r="AU49" s="258"/>
      <c r="AV49" s="258"/>
      <c r="AW49" s="258"/>
      <c r="AX49" s="258"/>
      <c r="AY49" s="258"/>
      <c r="AZ49" s="258"/>
      <c r="BA49" s="258"/>
      <c r="BB49" s="258"/>
      <c r="BC49" s="258"/>
      <c r="BD49" s="258"/>
    </row>
    <row r="50" spans="2:56" s="99" customFormat="1" ht="12" customHeight="1" x14ac:dyDescent="0.3">
      <c r="B50" s="157" t="s">
        <v>104</v>
      </c>
      <c r="C50" s="157"/>
      <c r="D50" s="157"/>
      <c r="E50" s="157"/>
      <c r="F50" s="157"/>
      <c r="G50" s="157"/>
      <c r="H50" s="157"/>
      <c r="I50" s="145"/>
      <c r="J50" s="254" t="s">
        <v>116</v>
      </c>
      <c r="K50" s="253"/>
      <c r="L50" s="253"/>
      <c r="M50" s="253"/>
      <c r="N50" s="253"/>
      <c r="O50" s="253"/>
      <c r="P50" s="253"/>
      <c r="Q50" s="253"/>
      <c r="R50" s="253"/>
      <c r="S50" s="253"/>
      <c r="T50" s="253"/>
      <c r="U50" s="253"/>
      <c r="V50" s="253"/>
      <c r="W50" s="253"/>
      <c r="X50" s="253"/>
      <c r="Y50" s="253"/>
      <c r="Z50" s="253"/>
      <c r="AA50" s="253"/>
      <c r="AB50" s="253"/>
      <c r="AC50" s="253"/>
      <c r="AD50" s="253"/>
      <c r="AE50" s="253"/>
      <c r="AF50" s="253"/>
      <c r="AG50" s="253"/>
      <c r="AH50" s="253"/>
      <c r="AI50" s="253"/>
      <c r="AJ50" s="253"/>
      <c r="AK50" s="253"/>
      <c r="AL50" s="253"/>
      <c r="AM50" s="253"/>
      <c r="AN50" s="253"/>
      <c r="AO50" s="253"/>
      <c r="AP50" s="253"/>
      <c r="AQ50" s="253"/>
      <c r="AR50" s="253"/>
      <c r="AS50" s="253"/>
      <c r="AT50" s="253"/>
      <c r="AU50" s="253"/>
      <c r="AV50" s="253"/>
      <c r="AW50" s="253"/>
      <c r="AX50" s="253"/>
      <c r="AY50" s="253"/>
      <c r="AZ50" s="253"/>
      <c r="BA50" s="253"/>
      <c r="BB50" s="253"/>
      <c r="BC50" s="253"/>
      <c r="BD50" s="253"/>
    </row>
    <row r="51" spans="2:56" s="99" customFormat="1" ht="12" customHeight="1" x14ac:dyDescent="0.3">
      <c r="B51" s="157"/>
      <c r="C51" s="157"/>
      <c r="D51" s="157"/>
      <c r="E51" s="157"/>
      <c r="F51" s="157"/>
      <c r="G51" s="157"/>
      <c r="H51" s="157"/>
      <c r="I51" s="146"/>
      <c r="J51" s="123"/>
      <c r="K51" s="124"/>
      <c r="L51" s="255" t="s">
        <v>155</v>
      </c>
      <c r="M51" s="255"/>
      <c r="N51" s="255"/>
      <c r="O51" s="255"/>
      <c r="P51" s="255"/>
      <c r="Q51" s="255"/>
      <c r="R51" s="255"/>
      <c r="S51" s="255"/>
      <c r="T51" s="255"/>
      <c r="U51" s="255"/>
      <c r="V51" s="255"/>
      <c r="W51" s="255"/>
      <c r="X51" s="255"/>
      <c r="Y51" s="255"/>
      <c r="Z51" s="255"/>
      <c r="AA51" s="255"/>
      <c r="AB51" s="255"/>
      <c r="AC51" s="255"/>
      <c r="AD51" s="255"/>
      <c r="AE51" s="255"/>
      <c r="AF51" s="255"/>
      <c r="AG51" s="255"/>
      <c r="AH51" s="255"/>
      <c r="AI51" s="255"/>
      <c r="AJ51" s="255"/>
      <c r="AK51" s="255"/>
      <c r="AL51" s="255"/>
      <c r="AM51" s="255"/>
      <c r="AN51" s="255"/>
      <c r="AO51" s="255"/>
      <c r="AP51" s="255"/>
      <c r="AQ51" s="255"/>
      <c r="AR51" s="255"/>
      <c r="AS51" s="255"/>
      <c r="AT51" s="255"/>
      <c r="AU51" s="255"/>
      <c r="AV51" s="255"/>
      <c r="AW51" s="255"/>
      <c r="AX51" s="255"/>
      <c r="AY51" s="255"/>
      <c r="AZ51" s="255"/>
      <c r="BA51" s="255"/>
      <c r="BB51" s="255"/>
      <c r="BC51" s="255"/>
      <c r="BD51" s="255"/>
    </row>
    <row r="52" spans="2:56" s="99" customFormat="1" ht="12" customHeight="1" x14ac:dyDescent="0.3">
      <c r="B52" s="157"/>
      <c r="C52" s="157"/>
      <c r="D52" s="157"/>
      <c r="E52" s="157"/>
      <c r="F52" s="157"/>
      <c r="G52" s="157"/>
      <c r="H52" s="157"/>
      <c r="I52" s="146"/>
      <c r="J52" s="123"/>
      <c r="K52" s="124"/>
      <c r="L52" s="255" t="s">
        <v>156</v>
      </c>
      <c r="M52" s="255"/>
      <c r="N52" s="255"/>
      <c r="O52" s="255"/>
      <c r="P52" s="255"/>
      <c r="Q52" s="255"/>
      <c r="R52" s="255"/>
      <c r="S52" s="255"/>
      <c r="T52" s="255"/>
      <c r="U52" s="255"/>
      <c r="V52" s="255"/>
      <c r="W52" s="255"/>
      <c r="X52" s="255"/>
      <c r="Y52" s="255"/>
      <c r="Z52" s="255"/>
      <c r="AA52" s="255"/>
      <c r="AB52" s="255"/>
      <c r="AC52" s="255"/>
      <c r="AD52" s="255"/>
      <c r="AE52" s="255"/>
      <c r="AF52" s="255"/>
      <c r="AG52" s="255"/>
      <c r="AH52" s="255"/>
      <c r="AI52" s="255"/>
      <c r="AJ52" s="255"/>
      <c r="AK52" s="255"/>
      <c r="AL52" s="255"/>
      <c r="AM52" s="255"/>
      <c r="AN52" s="255"/>
      <c r="AO52" s="255"/>
      <c r="AP52" s="255"/>
      <c r="AQ52" s="255"/>
      <c r="AR52" s="255"/>
      <c r="AS52" s="255"/>
      <c r="AT52" s="255"/>
      <c r="AU52" s="255"/>
      <c r="AV52" s="255"/>
      <c r="AW52" s="255"/>
      <c r="AX52" s="255"/>
      <c r="AY52" s="255"/>
      <c r="AZ52" s="255"/>
      <c r="BA52" s="255"/>
      <c r="BB52" s="255"/>
      <c r="BC52" s="255"/>
      <c r="BD52" s="255"/>
    </row>
    <row r="53" spans="2:56" s="99" customFormat="1" ht="12" customHeight="1" x14ac:dyDescent="0.3">
      <c r="B53" s="157"/>
      <c r="C53" s="157"/>
      <c r="D53" s="157"/>
      <c r="E53" s="157"/>
      <c r="F53" s="157"/>
      <c r="G53" s="157"/>
      <c r="H53" s="157"/>
      <c r="I53" s="146"/>
      <c r="J53" s="123"/>
      <c r="K53" s="124"/>
      <c r="L53" s="255" t="s">
        <v>157</v>
      </c>
      <c r="M53" s="255"/>
      <c r="N53" s="255"/>
      <c r="O53" s="255"/>
      <c r="P53" s="255"/>
      <c r="Q53" s="255"/>
      <c r="R53" s="255"/>
      <c r="S53" s="255"/>
      <c r="T53" s="255"/>
      <c r="U53" s="255"/>
      <c r="V53" s="255"/>
      <c r="W53" s="255"/>
      <c r="X53" s="255"/>
      <c r="Y53" s="255"/>
      <c r="Z53" s="255"/>
      <c r="AA53" s="255"/>
      <c r="AB53" s="255"/>
      <c r="AC53" s="255"/>
      <c r="AD53" s="255"/>
      <c r="AE53" s="255"/>
      <c r="AF53" s="255"/>
      <c r="AG53" s="255"/>
      <c r="AH53" s="255"/>
      <c r="AI53" s="255"/>
      <c r="AJ53" s="255"/>
      <c r="AK53" s="255"/>
      <c r="AL53" s="255"/>
      <c r="AM53" s="255"/>
      <c r="AN53" s="255"/>
      <c r="AO53" s="255"/>
      <c r="AP53" s="255"/>
      <c r="AQ53" s="255"/>
      <c r="AR53" s="255"/>
      <c r="AS53" s="255"/>
      <c r="AT53" s="255"/>
      <c r="AU53" s="255"/>
      <c r="AV53" s="255"/>
      <c r="AW53" s="255"/>
      <c r="AX53" s="255"/>
      <c r="AY53" s="255"/>
      <c r="AZ53" s="255"/>
      <c r="BA53" s="255"/>
      <c r="BB53" s="255"/>
      <c r="BC53" s="255"/>
      <c r="BD53" s="255"/>
    </row>
    <row r="54" spans="2:56" s="99" customFormat="1" ht="12" customHeight="1" x14ac:dyDescent="0.3">
      <c r="B54" s="157"/>
      <c r="C54" s="157"/>
      <c r="D54" s="157"/>
      <c r="E54" s="157"/>
      <c r="F54" s="157"/>
      <c r="G54" s="157"/>
      <c r="H54" s="157"/>
      <c r="I54" s="145"/>
      <c r="J54" s="251" t="s">
        <v>117</v>
      </c>
      <c r="K54" s="252"/>
      <c r="L54" s="253"/>
      <c r="M54" s="253"/>
      <c r="N54" s="253"/>
      <c r="O54" s="253"/>
      <c r="P54" s="253"/>
      <c r="Q54" s="253"/>
      <c r="R54" s="253"/>
      <c r="S54" s="253"/>
      <c r="T54" s="253"/>
      <c r="U54" s="253"/>
      <c r="V54" s="253"/>
      <c r="W54" s="253"/>
      <c r="X54" s="253"/>
      <c r="Y54" s="253"/>
      <c r="Z54" s="253"/>
      <c r="AA54" s="253"/>
      <c r="AB54" s="253"/>
      <c r="AC54" s="253"/>
      <c r="AD54" s="253"/>
      <c r="AE54" s="253"/>
      <c r="AF54" s="253"/>
      <c r="AG54" s="253"/>
      <c r="AH54" s="253"/>
      <c r="AI54" s="253"/>
      <c r="AJ54" s="253"/>
      <c r="AK54" s="253"/>
      <c r="AL54" s="253"/>
      <c r="AM54" s="253"/>
      <c r="AN54" s="253"/>
      <c r="AO54" s="253"/>
      <c r="AP54" s="253"/>
      <c r="AQ54" s="253"/>
      <c r="AR54" s="253"/>
      <c r="AS54" s="253"/>
      <c r="AT54" s="253"/>
      <c r="AU54" s="253"/>
      <c r="AV54" s="253"/>
      <c r="AW54" s="253"/>
      <c r="AX54" s="253"/>
      <c r="AY54" s="253"/>
      <c r="AZ54" s="253"/>
      <c r="BA54" s="253"/>
      <c r="BB54" s="253"/>
      <c r="BC54" s="253"/>
      <c r="BD54" s="253"/>
    </row>
    <row r="55" spans="2:56" s="99" customFormat="1" ht="12" customHeight="1" x14ac:dyDescent="0.3">
      <c r="B55" s="157"/>
      <c r="C55" s="157"/>
      <c r="D55" s="157"/>
      <c r="E55" s="157"/>
      <c r="F55" s="157"/>
      <c r="G55" s="157"/>
      <c r="H55" s="157"/>
      <c r="I55" s="146"/>
      <c r="J55" s="123"/>
      <c r="K55" s="124"/>
      <c r="L55" s="255" t="s">
        <v>158</v>
      </c>
      <c r="M55" s="255"/>
      <c r="N55" s="255"/>
      <c r="O55" s="255"/>
      <c r="P55" s="255"/>
      <c r="Q55" s="255"/>
      <c r="R55" s="255"/>
      <c r="S55" s="255"/>
      <c r="T55" s="255"/>
      <c r="U55" s="255"/>
      <c r="V55" s="255"/>
      <c r="W55" s="255"/>
      <c r="X55" s="255"/>
      <c r="Y55" s="255"/>
      <c r="Z55" s="255"/>
      <c r="AA55" s="255"/>
      <c r="AB55" s="255"/>
      <c r="AC55" s="255"/>
      <c r="AD55" s="255"/>
      <c r="AE55" s="255"/>
      <c r="AF55" s="255"/>
      <c r="AG55" s="255"/>
      <c r="AH55" s="255"/>
      <c r="AI55" s="255"/>
      <c r="AJ55" s="255"/>
      <c r="AK55" s="255"/>
      <c r="AL55" s="255"/>
      <c r="AM55" s="255"/>
      <c r="AN55" s="255"/>
      <c r="AO55" s="255"/>
      <c r="AP55" s="255"/>
      <c r="AQ55" s="255"/>
      <c r="AR55" s="255"/>
      <c r="AS55" s="255"/>
      <c r="AT55" s="255"/>
      <c r="AU55" s="255"/>
      <c r="AV55" s="255"/>
      <c r="AW55" s="255"/>
      <c r="AX55" s="255"/>
      <c r="AY55" s="255"/>
      <c r="AZ55" s="255"/>
      <c r="BA55" s="255"/>
      <c r="BB55" s="255"/>
      <c r="BC55" s="255"/>
      <c r="BD55" s="255"/>
    </row>
    <row r="56" spans="2:56" s="99" customFormat="1" ht="12" customHeight="1" x14ac:dyDescent="0.3">
      <c r="B56" s="157"/>
      <c r="C56" s="157"/>
      <c r="D56" s="157"/>
      <c r="E56" s="157"/>
      <c r="F56" s="157"/>
      <c r="G56" s="157"/>
      <c r="H56" s="157"/>
      <c r="I56" s="146"/>
      <c r="J56" s="123"/>
      <c r="K56" s="124"/>
      <c r="L56" s="255" t="s">
        <v>159</v>
      </c>
      <c r="M56" s="255"/>
      <c r="N56" s="255"/>
      <c r="O56" s="255"/>
      <c r="P56" s="255"/>
      <c r="Q56" s="255"/>
      <c r="R56" s="255"/>
      <c r="S56" s="255"/>
      <c r="T56" s="255"/>
      <c r="U56" s="255"/>
      <c r="V56" s="255"/>
      <c r="W56" s="255"/>
      <c r="X56" s="255"/>
      <c r="Y56" s="255"/>
      <c r="Z56" s="255"/>
      <c r="AA56" s="255"/>
      <c r="AB56" s="255"/>
      <c r="AC56" s="255"/>
      <c r="AD56" s="255"/>
      <c r="AE56" s="255"/>
      <c r="AF56" s="255"/>
      <c r="AG56" s="255"/>
      <c r="AH56" s="255"/>
      <c r="AI56" s="255"/>
      <c r="AJ56" s="255"/>
      <c r="AK56" s="255"/>
      <c r="AL56" s="255"/>
      <c r="AM56" s="255"/>
      <c r="AN56" s="255"/>
      <c r="AO56" s="255"/>
      <c r="AP56" s="255"/>
      <c r="AQ56" s="255"/>
      <c r="AR56" s="255"/>
      <c r="AS56" s="255"/>
      <c r="AT56" s="255"/>
      <c r="AU56" s="255"/>
      <c r="AV56" s="255"/>
      <c r="AW56" s="255"/>
      <c r="AX56" s="255"/>
      <c r="AY56" s="255"/>
      <c r="AZ56" s="255"/>
      <c r="BA56" s="255"/>
      <c r="BB56" s="255"/>
      <c r="BC56" s="255"/>
      <c r="BD56" s="255"/>
    </row>
    <row r="57" spans="2:56" s="99" customFormat="1" ht="12" customHeight="1" x14ac:dyDescent="0.3">
      <c r="B57" s="157"/>
      <c r="C57" s="157"/>
      <c r="D57" s="157"/>
      <c r="E57" s="157"/>
      <c r="F57" s="157"/>
      <c r="G57" s="157"/>
      <c r="H57" s="157"/>
      <c r="I57" s="146"/>
      <c r="J57" s="123"/>
      <c r="K57" s="124"/>
      <c r="L57" s="255" t="s">
        <v>160</v>
      </c>
      <c r="M57" s="255"/>
      <c r="N57" s="255"/>
      <c r="O57" s="255"/>
      <c r="P57" s="255"/>
      <c r="Q57" s="255"/>
      <c r="R57" s="255"/>
      <c r="S57" s="255"/>
      <c r="T57" s="255"/>
      <c r="U57" s="255"/>
      <c r="V57" s="255"/>
      <c r="W57" s="255"/>
      <c r="X57" s="255"/>
      <c r="Y57" s="255"/>
      <c r="Z57" s="255"/>
      <c r="AA57" s="255"/>
      <c r="AB57" s="255"/>
      <c r="AC57" s="255"/>
      <c r="AD57" s="255"/>
      <c r="AE57" s="255"/>
      <c r="AF57" s="255"/>
      <c r="AG57" s="255"/>
      <c r="AH57" s="255"/>
      <c r="AI57" s="255"/>
      <c r="AJ57" s="255"/>
      <c r="AK57" s="255"/>
      <c r="AL57" s="255"/>
      <c r="AM57" s="255"/>
      <c r="AN57" s="255"/>
      <c r="AO57" s="255"/>
      <c r="AP57" s="255"/>
      <c r="AQ57" s="255"/>
      <c r="AR57" s="255"/>
      <c r="AS57" s="255"/>
      <c r="AT57" s="255"/>
      <c r="AU57" s="255"/>
      <c r="AV57" s="255"/>
      <c r="AW57" s="255"/>
      <c r="AX57" s="255"/>
      <c r="AY57" s="255"/>
      <c r="AZ57" s="255"/>
      <c r="BA57" s="255"/>
      <c r="BB57" s="255"/>
      <c r="BC57" s="255"/>
      <c r="BD57" s="255"/>
    </row>
    <row r="58" spans="2:56" s="99" customFormat="1" ht="12" customHeight="1" x14ac:dyDescent="0.3">
      <c r="B58" s="157"/>
      <c r="C58" s="157"/>
      <c r="D58" s="157"/>
      <c r="E58" s="157"/>
      <c r="F58" s="157"/>
      <c r="G58" s="157"/>
      <c r="H58" s="157"/>
      <c r="I58" s="145"/>
      <c r="J58" s="251" t="s">
        <v>118</v>
      </c>
      <c r="K58" s="252"/>
      <c r="L58" s="253"/>
      <c r="M58" s="253"/>
      <c r="N58" s="253"/>
      <c r="O58" s="253"/>
      <c r="P58" s="253"/>
      <c r="Q58" s="253"/>
      <c r="R58" s="253"/>
      <c r="S58" s="253"/>
      <c r="T58" s="253"/>
      <c r="U58" s="253"/>
      <c r="V58" s="253"/>
      <c r="W58" s="253"/>
      <c r="X58" s="253"/>
      <c r="Y58" s="253"/>
      <c r="Z58" s="253"/>
      <c r="AA58" s="253"/>
      <c r="AB58" s="253"/>
      <c r="AC58" s="253"/>
      <c r="AD58" s="253"/>
      <c r="AE58" s="253"/>
      <c r="AF58" s="253"/>
      <c r="AG58" s="253"/>
      <c r="AH58" s="253"/>
      <c r="AI58" s="253"/>
      <c r="AJ58" s="253"/>
      <c r="AK58" s="253"/>
      <c r="AL58" s="253"/>
      <c r="AM58" s="253"/>
      <c r="AN58" s="253"/>
      <c r="AO58" s="253"/>
      <c r="AP58" s="253"/>
      <c r="AQ58" s="253"/>
      <c r="AR58" s="253"/>
      <c r="AS58" s="253"/>
      <c r="AT58" s="253"/>
      <c r="AU58" s="253"/>
      <c r="AV58" s="253"/>
      <c r="AW58" s="253"/>
      <c r="AX58" s="253"/>
      <c r="AY58" s="253"/>
      <c r="AZ58" s="253"/>
      <c r="BA58" s="253"/>
      <c r="BB58" s="253"/>
      <c r="BC58" s="253"/>
      <c r="BD58" s="253"/>
    </row>
    <row r="59" spans="2:56" s="99" customFormat="1" ht="12" customHeight="1" x14ac:dyDescent="0.3">
      <c r="B59" s="157"/>
      <c r="C59" s="157"/>
      <c r="D59" s="157"/>
      <c r="E59" s="157"/>
      <c r="F59" s="157"/>
      <c r="G59" s="157"/>
      <c r="H59" s="157"/>
      <c r="I59" s="146"/>
      <c r="J59" s="123"/>
      <c r="K59" s="124"/>
      <c r="L59" s="255" t="s">
        <v>161</v>
      </c>
      <c r="M59" s="255"/>
      <c r="N59" s="255"/>
      <c r="O59" s="255"/>
      <c r="P59" s="255"/>
      <c r="Q59" s="255"/>
      <c r="R59" s="255"/>
      <c r="S59" s="255"/>
      <c r="T59" s="255"/>
      <c r="U59" s="255"/>
      <c r="V59" s="255"/>
      <c r="W59" s="255"/>
      <c r="X59" s="255"/>
      <c r="Y59" s="255"/>
      <c r="Z59" s="255"/>
      <c r="AA59" s="255"/>
      <c r="AB59" s="255"/>
      <c r="AC59" s="255"/>
      <c r="AD59" s="255"/>
      <c r="AE59" s="255"/>
      <c r="AF59" s="255"/>
      <c r="AG59" s="255"/>
      <c r="AH59" s="255"/>
      <c r="AI59" s="255"/>
      <c r="AJ59" s="255"/>
      <c r="AK59" s="255"/>
      <c r="AL59" s="255"/>
      <c r="AM59" s="255"/>
      <c r="AN59" s="255"/>
      <c r="AO59" s="255"/>
      <c r="AP59" s="255"/>
      <c r="AQ59" s="255"/>
      <c r="AR59" s="255"/>
      <c r="AS59" s="255"/>
      <c r="AT59" s="255"/>
      <c r="AU59" s="255"/>
      <c r="AV59" s="255"/>
      <c r="AW59" s="255"/>
      <c r="AX59" s="255"/>
      <c r="AY59" s="255"/>
      <c r="AZ59" s="255"/>
      <c r="BA59" s="255"/>
      <c r="BB59" s="255"/>
      <c r="BC59" s="255"/>
      <c r="BD59" s="255"/>
    </row>
    <row r="60" spans="2:56" s="99" customFormat="1" ht="12" customHeight="1" x14ac:dyDescent="0.3">
      <c r="B60" s="157"/>
      <c r="C60" s="157"/>
      <c r="D60" s="157"/>
      <c r="E60" s="157"/>
      <c r="F60" s="157"/>
      <c r="G60" s="157"/>
      <c r="H60" s="157"/>
      <c r="I60" s="146"/>
      <c r="J60" s="123"/>
      <c r="K60" s="124"/>
      <c r="L60" s="255" t="s">
        <v>162</v>
      </c>
      <c r="M60" s="255"/>
      <c r="N60" s="255"/>
      <c r="O60" s="255"/>
      <c r="P60" s="255"/>
      <c r="Q60" s="255"/>
      <c r="R60" s="255"/>
      <c r="S60" s="255"/>
      <c r="T60" s="255"/>
      <c r="U60" s="255"/>
      <c r="V60" s="255"/>
      <c r="W60" s="255"/>
      <c r="X60" s="255"/>
      <c r="Y60" s="255"/>
      <c r="Z60" s="255"/>
      <c r="AA60" s="255"/>
      <c r="AB60" s="255"/>
      <c r="AC60" s="255"/>
      <c r="AD60" s="255"/>
      <c r="AE60" s="255"/>
      <c r="AF60" s="255"/>
      <c r="AG60" s="255"/>
      <c r="AH60" s="255"/>
      <c r="AI60" s="255"/>
      <c r="AJ60" s="255"/>
      <c r="AK60" s="255"/>
      <c r="AL60" s="255"/>
      <c r="AM60" s="255"/>
      <c r="AN60" s="255"/>
      <c r="AO60" s="255"/>
      <c r="AP60" s="255"/>
      <c r="AQ60" s="255"/>
      <c r="AR60" s="255"/>
      <c r="AS60" s="255"/>
      <c r="AT60" s="255"/>
      <c r="AU60" s="255"/>
      <c r="AV60" s="255"/>
      <c r="AW60" s="255"/>
      <c r="AX60" s="255"/>
      <c r="AY60" s="255"/>
      <c r="AZ60" s="255"/>
      <c r="BA60" s="255"/>
      <c r="BB60" s="255"/>
      <c r="BC60" s="255"/>
      <c r="BD60" s="255"/>
    </row>
    <row r="61" spans="2:56" s="99" customFormat="1" ht="12" customHeight="1" thickBot="1" x14ac:dyDescent="0.35">
      <c r="B61" s="259"/>
      <c r="C61" s="259"/>
      <c r="D61" s="259"/>
      <c r="E61" s="259"/>
      <c r="F61" s="259"/>
      <c r="G61" s="259"/>
      <c r="H61" s="259"/>
      <c r="I61" s="147"/>
      <c r="J61" s="125"/>
      <c r="K61" s="126"/>
      <c r="L61" s="256" t="s">
        <v>163</v>
      </c>
      <c r="M61" s="256"/>
      <c r="N61" s="256"/>
      <c r="O61" s="256"/>
      <c r="P61" s="256"/>
      <c r="Q61" s="256"/>
      <c r="R61" s="256"/>
      <c r="S61" s="256"/>
      <c r="T61" s="256"/>
      <c r="U61" s="256"/>
      <c r="V61" s="256"/>
      <c r="W61" s="256"/>
      <c r="X61" s="256"/>
      <c r="Y61" s="256"/>
      <c r="Z61" s="256"/>
      <c r="AA61" s="256"/>
      <c r="AB61" s="256"/>
      <c r="AC61" s="256"/>
      <c r="AD61" s="256"/>
      <c r="AE61" s="256"/>
      <c r="AF61" s="256"/>
      <c r="AG61" s="256"/>
      <c r="AH61" s="256"/>
      <c r="AI61" s="256"/>
      <c r="AJ61" s="256"/>
      <c r="AK61" s="256"/>
      <c r="AL61" s="256"/>
      <c r="AM61" s="256"/>
      <c r="AN61" s="256"/>
      <c r="AO61" s="256"/>
      <c r="AP61" s="256"/>
      <c r="AQ61" s="256"/>
      <c r="AR61" s="256"/>
      <c r="AS61" s="256"/>
      <c r="AT61" s="256"/>
      <c r="AU61" s="256"/>
      <c r="AV61" s="256"/>
      <c r="AW61" s="256"/>
      <c r="AX61" s="256"/>
      <c r="AY61" s="256"/>
      <c r="AZ61" s="256"/>
      <c r="BA61" s="256"/>
      <c r="BB61" s="256"/>
      <c r="BC61" s="256"/>
      <c r="BD61" s="256"/>
    </row>
    <row r="62" spans="2:56" ht="15" customHeight="1" x14ac:dyDescent="0.3"/>
  </sheetData>
  <mergeCells count="57">
    <mergeCell ref="L61:BD61"/>
    <mergeCell ref="B10:H22"/>
    <mergeCell ref="B7:H8"/>
    <mergeCell ref="B23:H35"/>
    <mergeCell ref="I23:BD23"/>
    <mergeCell ref="B36:H48"/>
    <mergeCell ref="I36:BD36"/>
    <mergeCell ref="B49:H61"/>
    <mergeCell ref="I49:BD49"/>
    <mergeCell ref="L53:BD53"/>
    <mergeCell ref="L55:BD55"/>
    <mergeCell ref="L56:BD56"/>
    <mergeCell ref="L57:BD57"/>
    <mergeCell ref="L59:BD59"/>
    <mergeCell ref="L60:BD60"/>
    <mergeCell ref="L44:BD44"/>
    <mergeCell ref="L46:BD46"/>
    <mergeCell ref="L47:BD47"/>
    <mergeCell ref="L48:BD48"/>
    <mergeCell ref="L51:BD51"/>
    <mergeCell ref="L52:BD52"/>
    <mergeCell ref="L42:BD42"/>
    <mergeCell ref="J28:BD28"/>
    <mergeCell ref="J32:BD32"/>
    <mergeCell ref="J37:BD37"/>
    <mergeCell ref="J41:BD41"/>
    <mergeCell ref="L25:BD25"/>
    <mergeCell ref="J11:BD11"/>
    <mergeCell ref="J15:BD15"/>
    <mergeCell ref="J19:BD19"/>
    <mergeCell ref="J24:BD24"/>
    <mergeCell ref="L17:BD17"/>
    <mergeCell ref="L18:BD18"/>
    <mergeCell ref="L20:BD20"/>
    <mergeCell ref="L21:BD21"/>
    <mergeCell ref="L22:BD22"/>
    <mergeCell ref="I10:BD10"/>
    <mergeCell ref="L12:BD12"/>
    <mergeCell ref="L13:BD13"/>
    <mergeCell ref="L14:BD14"/>
    <mergeCell ref="L16:BD16"/>
    <mergeCell ref="J45:BD45"/>
    <mergeCell ref="J50:BD50"/>
    <mergeCell ref="J54:BD54"/>
    <mergeCell ref="J58:BD58"/>
    <mergeCell ref="L26:BD26"/>
    <mergeCell ref="L43:BD43"/>
    <mergeCell ref="L27:BD27"/>
    <mergeCell ref="L29:BD29"/>
    <mergeCell ref="L30:BD30"/>
    <mergeCell ref="L31:BD31"/>
    <mergeCell ref="L33:BD33"/>
    <mergeCell ref="L34:BD34"/>
    <mergeCell ref="L35:BD35"/>
    <mergeCell ref="L38:BD38"/>
    <mergeCell ref="L39:BD39"/>
    <mergeCell ref="L40:BD40"/>
  </mergeCells>
  <phoneticPr fontId="2" type="noConversion"/>
  <printOptions horizontalCentered="1"/>
  <pageMargins left="0.51181102362204722" right="0.51181102362204722" top="0.55118110236220474" bottom="0.55118110236220474" header="0.31496062992125984" footer="0.31496062992125984"/>
  <pageSetup paperSize="9" scale="9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D8222-35FF-45D6-9BB6-A5453181C8FE}">
  <sheetPr>
    <tabColor rgb="FFFFC000"/>
  </sheetPr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F5684-BF51-4B76-AB67-365FF9614165}">
  <sheetPr>
    <tabColor rgb="FFFFC000"/>
  </sheetPr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95775-840B-49C1-8244-E102B8D02B0E}">
  <sheetPr>
    <tabColor rgb="FFFFC000"/>
  </sheetPr>
  <dimension ref="C1:D1"/>
  <sheetViews>
    <sheetView workbookViewId="0"/>
  </sheetViews>
  <sheetFormatPr defaultRowHeight="16.5" x14ac:dyDescent="0.3"/>
  <cols>
    <col min="3" max="4" width="9" style="149"/>
  </cols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3</vt:i4>
      </vt:variant>
    </vt:vector>
  </HeadingPairs>
  <TitlesOfParts>
    <vt:vector size="9" baseType="lpstr">
      <vt:lpstr>1.NPS대시보드</vt:lpstr>
      <vt:lpstr>2.NSS,CCI대시보드</vt:lpstr>
      <vt:lpstr>3.VOC대시보드</vt:lpstr>
      <vt:lpstr>BU_NPS_RAW</vt:lpstr>
      <vt:lpstr>NPS관리활동_RAW</vt:lpstr>
      <vt:lpstr>고객경험단계별NPS_RAW</vt:lpstr>
      <vt:lpstr>'1.NPS대시보드'!Print_Area</vt:lpstr>
      <vt:lpstr>'2.NSS,CCI대시보드'!Print_Area</vt:lpstr>
      <vt:lpstr>'3.VOC대시보드'!Print_Area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김혁주</dc:creator>
  <cp:lastModifiedBy>서승원 팀원(대리)</cp:lastModifiedBy>
  <cp:lastPrinted>2025-12-18T05:15:54Z</cp:lastPrinted>
  <dcterms:created xsi:type="dcterms:W3CDTF">2025-12-16T04:49:44Z</dcterms:created>
  <dcterms:modified xsi:type="dcterms:W3CDTF">2026-04-03T04:23:19Z</dcterms:modified>
</cp:coreProperties>
</file>