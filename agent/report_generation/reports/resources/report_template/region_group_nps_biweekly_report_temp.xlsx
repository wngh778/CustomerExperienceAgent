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902163\Desktop\workspace\cxagent\batch\app\agent\report_generation\reports\resources\report_template\"/>
    </mc:Choice>
  </mc:AlternateContent>
  <xr:revisionPtr revIDLastSave="0" documentId="13_ncr:1_{EB8894FA-7988-4A76-9B7A-67DF1051C1D7}" xr6:coauthVersionLast="47" xr6:coauthVersionMax="47" xr10:uidLastSave="{00000000-0000-0000-0000-000000000000}"/>
  <bookViews>
    <workbookView xWindow="-16260" yWindow="-60" windowWidth="16320" windowHeight="28920" xr2:uid="{6588568A-049A-44A3-8333-B8BB86CBF93A}"/>
  </bookViews>
  <sheets>
    <sheet name="1.NPS대시보드" sheetId="4" r:id="rId1"/>
    <sheet name="2.VOC대시보드" sheetId="7" r:id="rId2"/>
    <sheet name="CCI raw" sheetId="9" r:id="rId3"/>
  </sheets>
  <definedNames>
    <definedName name="_xlnm.Print_Area" localSheetId="0">'1.NPS대시보드'!$A$1:$BE$101</definedName>
    <definedName name="_xlnm.Print_Area" localSheetId="1">'2.VOC대시보드'!$A$1:$BE$44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7" l="1"/>
  <c r="K8" i="7"/>
  <c r="BH14" i="7" a="1"/>
  <c r="BH14" i="7" s="1"/>
  <c r="C11" i="7" s="1" a="1"/>
  <c r="C11" i="7" s="1"/>
  <c r="J11" i="7"/>
  <c r="BI32" i="7"/>
  <c r="BJ32" i="7" s="1"/>
  <c r="BI31" i="7"/>
  <c r="BJ31" i="7" s="1"/>
  <c r="BI30" i="7"/>
  <c r="BJ30" i="7" s="1"/>
  <c r="BI29" i="7"/>
  <c r="BJ29" i="7" s="1"/>
  <c r="BI28" i="7"/>
  <c r="BJ28" i="7" s="1"/>
  <c r="BI27" i="7"/>
  <c r="BJ27" i="7" s="1"/>
  <c r="BI26" i="7"/>
  <c r="BJ26" i="7" s="1"/>
  <c r="BI25" i="7"/>
  <c r="BJ25" i="7" s="1"/>
  <c r="BI24" i="7"/>
  <c r="BJ24" i="7" s="1"/>
  <c r="BI23" i="7"/>
  <c r="BJ23" i="7" s="1"/>
  <c r="BI22" i="7"/>
  <c r="BJ22" i="7" s="1"/>
  <c r="BI21" i="7"/>
  <c r="BJ21" i="7" s="1"/>
  <c r="BH32" i="7"/>
  <c r="BH31" i="7"/>
  <c r="BH30" i="7"/>
  <c r="BH29" i="7"/>
  <c r="BH28" i="7"/>
  <c r="BH27" i="7"/>
  <c r="BH26" i="7"/>
  <c r="BH25" i="7"/>
  <c r="BH24" i="7"/>
  <c r="BH23" i="7"/>
  <c r="BH22" i="7"/>
  <c r="BH21" i="7"/>
  <c r="BI6" i="7"/>
  <c r="BI7" i="7" s="1"/>
  <c r="BI8" i="7" s="1"/>
  <c r="BI9" i="7" s="1"/>
  <c r="BI10" i="7" s="1"/>
  <c r="BH7" i="7"/>
  <c r="BH8" i="7"/>
  <c r="BH9" i="7"/>
  <c r="BH10" i="7"/>
  <c r="BH6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<sst xmlns="http://schemas.openxmlformats.org/spreadsheetml/2006/main" count="931" uniqueCount="852">
  <si>
    <t xml:space="preserve"> 1. NPS 현황</t>
    <phoneticPr fontId="4" type="noConversion"/>
  </si>
  <si>
    <t>이번주</t>
    <phoneticPr fontId="1" type="noConversion"/>
  </si>
  <si>
    <t>대비</t>
    <phoneticPr fontId="1" type="noConversion"/>
  </si>
  <si>
    <t>1월</t>
    <phoneticPr fontId="1" type="noConversion"/>
  </si>
  <si>
    <t>누적 NPS</t>
    <phoneticPr fontId="1" type="noConversion"/>
  </si>
  <si>
    <t>월별 NPS</t>
    <phoneticPr fontId="1" type="noConversion"/>
  </si>
  <si>
    <t>영업점</t>
    <phoneticPr fontId="1" type="noConversion"/>
  </si>
  <si>
    <t>직원</t>
    <phoneticPr fontId="1" type="noConversion"/>
  </si>
  <si>
    <t>추천비율</t>
    <phoneticPr fontId="1" type="noConversion"/>
  </si>
  <si>
    <t>중립비율</t>
    <phoneticPr fontId="1" type="noConversion"/>
  </si>
  <si>
    <t>비추천비율</t>
    <phoneticPr fontId="1" type="noConversion"/>
  </si>
  <si>
    <t>{{S1_NPS_1}}</t>
  </si>
  <si>
    <t>{{S1_NPS_2}}</t>
  </si>
  <si>
    <t>{{S1_NPS_3}}</t>
  </si>
  <si>
    <t>{{S1_NPS_4}}</t>
  </si>
  <si>
    <t>{{S1_NPS_5}}</t>
  </si>
  <si>
    <t>{{S1_NPS_6}}</t>
  </si>
  <si>
    <t>{{S1_NPS_7}}</t>
  </si>
  <si>
    <t>{{S1_NPS_8}}</t>
  </si>
  <si>
    <t>{{S1_NPS_9}}</t>
  </si>
  <si>
    <t>{{S1_NPS_10}}</t>
  </si>
  <si>
    <t>{{S1_NPS_11}}</t>
  </si>
  <si>
    <t>{{S1_NPS_12}}</t>
  </si>
  <si>
    <t>NPS</t>
  </si>
  <si>
    <t>기준월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</si>
  <si>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</si>
  <si>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</si>
  <si>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</si>
  <si>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</si>
  <si>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</si>
  <si>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</si>
  <si>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</si>
  <si>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</si>
  <si>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</si>
  <si>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</si>
  <si>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</si>
  <si>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</si>
  <si>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{{region_group_name}} 대면채널 NPS 주간 보고서(1/2)</t>
    <phoneticPr fontId="1" type="noConversion"/>
  </si>
  <si>
    <t>전월 대비</t>
    <phoneticPr fontId="1" type="noConversion"/>
  </si>
  <si>
    <t>전월</t>
    <phoneticPr fontId="1" type="noConversion"/>
  </si>
  <si>
    <t>전행NPS</t>
    <phoneticPr fontId="1" type="noConversion"/>
  </si>
  <si>
    <t>지역영업그룹</t>
    <phoneticPr fontId="1" type="noConversion"/>
  </si>
  <si>
    <t>{{region_group_name}} 대면채널 NPS 주간 보고서(2/2)</t>
    <phoneticPr fontId="1" type="noConversion"/>
  </si>
  <si>
    <t xml:space="preserve"> 3. 고객불만지수(Customer Complaint Index)</t>
    <phoneticPr fontId="4" type="noConversion"/>
  </si>
  <si>
    <t>고객경험 VOC 분석결과로, 고객불만지수가 높을수록 고객 불만의견이 많다는 의미입니다.</t>
  </si>
  <si>
    <t>CCI</t>
  </si>
  <si>
    <t>칭찬비율</t>
    <phoneticPr fontId="1" type="noConversion"/>
  </si>
  <si>
    <t>불만비율</t>
    <phoneticPr fontId="1" type="noConversion"/>
  </si>
  <si>
    <t>{{S1_금주NPS_1}}</t>
    <phoneticPr fontId="1" type="noConversion"/>
  </si>
  <si>
    <t>{{S1_전월NPS_1}}</t>
    <phoneticPr fontId="1" type="noConversion"/>
  </si>
  <si>
    <t>{{S1_NPS변동구분_1}}</t>
    <phoneticPr fontId="1" type="noConversion"/>
  </si>
  <si>
    <t>{{S1_NPS변동_1}}</t>
    <phoneticPr fontId="1" type="noConversion"/>
  </si>
  <si>
    <t>{{S1_전행NPS_1}}</t>
  </si>
  <si>
    <t>{{S1_전행NPS_2}}</t>
  </si>
  <si>
    <t>{{S1_전행NPS_3}}</t>
  </si>
  <si>
    <t>{{S1_전행NPS_4}}</t>
  </si>
  <si>
    <t>{{S1_전행NPS_5}}</t>
  </si>
  <si>
    <t>{{S1_지역영업그룹NPS_1}}</t>
  </si>
  <si>
    <t>{{S1_지역영업그룹NPS_2}}</t>
  </si>
  <si>
    <t>{{S1_지역영업그룹NPS_3}}</t>
  </si>
  <si>
    <t>{{S1_지역영업그룹NPS_4}}</t>
  </si>
  <si>
    <t>{{S1_지역영업그룹NPS_5}}</t>
  </si>
  <si>
    <t>{{S1_추천비율_1}}</t>
  </si>
  <si>
    <t>{{S1_중립비율_1}}</t>
  </si>
  <si>
    <t>{{S1_비추천비율_1}}</t>
  </si>
  <si>
    <t>{{S1_추천비율_2}}</t>
  </si>
  <si>
    <t>{{S1_중립비율_2}}</t>
  </si>
  <si>
    <t>{{S1_비추천비율_2}}</t>
  </si>
  <si>
    <t>{{S1_추천비율_3}}</t>
  </si>
  <si>
    <t>{{S1_중립비율_3}}</t>
  </si>
  <si>
    <t>{{S1_비추천비율_3}}</t>
  </si>
  <si>
    <t>{{S1_추천비율_4}}</t>
  </si>
  <si>
    <t>{{S1_중립비율_4}}</t>
  </si>
  <si>
    <t>{{S1_비추천비율_4}}</t>
  </si>
  <si>
    <t>{{S1_추천비율_5}}</t>
  </si>
  <si>
    <t>{{S1_중립비율_5}}</t>
  </si>
  <si>
    <t>{{S1_비추천비율_5}}</t>
  </si>
  <si>
    <t>{{S1_추천비율_6}}</t>
  </si>
  <si>
    <t>{{S1_중립비율_6}}</t>
  </si>
  <si>
    <t>{{S1_비추천비율_6}}</t>
  </si>
  <si>
    <t>{{S1_추천비율_7}}</t>
  </si>
  <si>
    <t>{{S1_중립비율_7}}</t>
  </si>
  <si>
    <t>{{S1_비추천비율_7}}</t>
  </si>
  <si>
    <t>{{S1_추천비율_8}}</t>
  </si>
  <si>
    <t>{{S1_중립비율_8}}</t>
  </si>
  <si>
    <t>{{S1_비추천비율_8}}</t>
  </si>
  <si>
    <t>{{S1_추천비율_9}}</t>
  </si>
  <si>
    <t>{{S1_중립비율_9}}</t>
  </si>
  <si>
    <t>{{S1_비추천비율_9}}</t>
  </si>
  <si>
    <t>{{S1_추천비율_10}}</t>
  </si>
  <si>
    <t>{{S1_중립비율_10}}</t>
  </si>
  <si>
    <t>{{S1_비추천비율_10}}</t>
  </si>
  <si>
    <t>{{S1_추천비율_11}}</t>
  </si>
  <si>
    <t>{{S1_중립비율_11}}</t>
  </si>
  <si>
    <t>{{S1_비추천비율_11}}</t>
  </si>
  <si>
    <t>{{S1_추천비율_12}}</t>
  </si>
  <si>
    <t>{{S1_중립비율_12}}</t>
  </si>
  <si>
    <t>{{S1_비추천비율_12}}</t>
  </si>
  <si>
    <t>{{S1_지역본부_1}}</t>
    <phoneticPr fontId="1" type="noConversion"/>
  </si>
  <si>
    <t>{{S1_PGNPS변동_1}}</t>
    <phoneticPr fontId="1" type="noConversion"/>
  </si>
  <si>
    <t>{{S1_PGNPS변동_2}}</t>
  </si>
  <si>
    <t>{{S1_PGNPS변동_3}}</t>
  </si>
  <si>
    <t>{{S1_PGNPS변동_4}}</t>
  </si>
  <si>
    <t>{{S1_PGNPS변동_5}}</t>
  </si>
  <si>
    <t>{{S1_PGNPS변동_6}}</t>
  </si>
  <si>
    <t>{{S1_PGNPS변동_7}}</t>
  </si>
  <si>
    <t>{{S1_PGNPS변동_8}}</t>
  </si>
  <si>
    <t>{{S1_PGNPS변동_9}}</t>
  </si>
  <si>
    <t>{{S1_PGNPS변동_10}}</t>
  </si>
  <si>
    <t>{{S1_PGNPS변동_11}}</t>
  </si>
  <si>
    <t>{{S1_PGNPS변동_12}}</t>
  </si>
  <si>
    <t>{{S1_PGNPS변동_13}}</t>
  </si>
  <si>
    <t>{{S1_PGNPS변동_14}}</t>
  </si>
  <si>
    <t>{{S1_PGNPS변동_15}}</t>
  </si>
  <si>
    <t>{{S1_PGNPS변동_16}}</t>
  </si>
  <si>
    <t>{{S1_PGNPS변동_17}}</t>
  </si>
  <si>
    <t>{{S1_PGNPS변동_18}}</t>
  </si>
  <si>
    <t>{{S1_PGNPS변동_19}}</t>
  </si>
  <si>
    <t>{{S1_PGNPS변동_20}}</t>
  </si>
  <si>
    <t>{{S1_PGNPS변동_21}}</t>
  </si>
  <si>
    <t>{{S1_PGNPS변동_22}}</t>
  </si>
  <si>
    <t>{{S1_PGNPS변동_23}}</t>
  </si>
  <si>
    <t>{{S1_PGNPS변동_24}}</t>
  </si>
  <si>
    <t>{{S1_PGNPS변동_25}}</t>
  </si>
  <si>
    <t>{{S1_PGNPS변동_26}}</t>
  </si>
  <si>
    <t>{{S1_PGNPS변동_27}}</t>
  </si>
  <si>
    <t>{{S1_PGNPS변동_28}}</t>
  </si>
  <si>
    <t>{{S1_지역본부_3}}</t>
    <phoneticPr fontId="1" type="noConversion"/>
  </si>
  <si>
    <t>{{S1_지역본부_5}}</t>
  </si>
  <si>
    <t>{{S1_지역본부_7}}</t>
  </si>
  <si>
    <t>{{S1_지역본부_9}}</t>
  </si>
  <si>
    <t>{{S1_지역본부_11}}</t>
  </si>
  <si>
    <t>{{S1_지역본부_13}}</t>
  </si>
  <si>
    <t>{{S1_지역본부_15}}</t>
  </si>
  <si>
    <t>{{S1_지역본부_17}}</t>
  </si>
  <si>
    <t>{{S1_지역본부_19}}</t>
  </si>
  <si>
    <t>{{S1_지역본부_21}}</t>
  </si>
  <si>
    <t>{{S1_지역본부_23}}</t>
  </si>
  <si>
    <t>{{S1_지역본부_25}}</t>
  </si>
  <si>
    <t>{{S1_지역본부_27}}</t>
  </si>
  <si>
    <t>{{S1_지역영업그룹_1}}</t>
    <phoneticPr fontId="1" type="noConversion"/>
  </si>
  <si>
    <t>{{S1_지역영업그룹_2}}</t>
  </si>
  <si>
    <t>{{S1_지역영업그룹_3}}</t>
  </si>
  <si>
    <t>{{S1_지역영업그룹_4}}</t>
  </si>
  <si>
    <t>{{S1_지역영업그룹_5}}</t>
  </si>
  <si>
    <t>전행CCI</t>
  </si>
  <si>
    <t>{{S1_1월PGNPS_1}}</t>
  </si>
  <si>
    <t>{{S1_2월PGNPS_1}}</t>
  </si>
  <si>
    <t>{{S1_3월PGNPS_1}}</t>
  </si>
  <si>
    <t>{{S1_4월PGNPS_1}}</t>
  </si>
  <si>
    <t>{{S1_5월PGNPS_1}}</t>
  </si>
  <si>
    <t>{{S1_6월PGNPS_1}}</t>
  </si>
  <si>
    <t>{{S1_7월PGNPS_1}}</t>
  </si>
  <si>
    <t>{{S1_8월PGNPS_1}}</t>
  </si>
  <si>
    <t>{{S1_9월PGNPS_1}}</t>
  </si>
  <si>
    <t>{{S1_10월PGNPS_1}}</t>
  </si>
  <si>
    <t>{{S1_11월PGNPS_1}}</t>
  </si>
  <si>
    <t>{{S1_12월PGNPS_1}}</t>
  </si>
  <si>
    <t>{{S1_1월PGNPS_2}}</t>
  </si>
  <si>
    <t>{{S1_2월PGNPS_2}}</t>
  </si>
  <si>
    <t>{{S1_3월PGNPS_2}}</t>
  </si>
  <si>
    <t>{{S1_4월PGNPS_2}}</t>
  </si>
  <si>
    <t>{{S1_5월PGNPS_2}}</t>
  </si>
  <si>
    <t>{{S1_6월PGNPS_2}}</t>
  </si>
  <si>
    <t>{{S1_7월PGNPS_2}}</t>
  </si>
  <si>
    <t>{{S1_8월PGNPS_2}}</t>
  </si>
  <si>
    <t>{{S1_9월PGNPS_2}}</t>
  </si>
  <si>
    <t>{{S1_10월PGNPS_2}}</t>
  </si>
  <si>
    <t>{{S1_11월PGNPS_2}}</t>
  </si>
  <si>
    <t>{{S1_12월PGNPS_2}}</t>
  </si>
  <si>
    <t>{{S1_1월PGNPS_3}}</t>
  </si>
  <si>
    <t>{{S1_2월PGNPS_3}}</t>
  </si>
  <si>
    <t>{{S1_3월PGNPS_3}}</t>
  </si>
  <si>
    <t>{{S1_4월PGNPS_3}}</t>
  </si>
  <si>
    <t>{{S1_5월PGNPS_3}}</t>
  </si>
  <si>
    <t>{{S1_6월PGNPS_3}}</t>
  </si>
  <si>
    <t>{{S1_7월PGNPS_3}}</t>
  </si>
  <si>
    <t>{{S1_8월PGNPS_3}}</t>
  </si>
  <si>
    <t>{{S1_9월PGNPS_3}}</t>
  </si>
  <si>
    <t>{{S1_10월PGNPS_3}}</t>
  </si>
  <si>
    <t>{{S1_11월PGNPS_3}}</t>
  </si>
  <si>
    <t>{{S1_1월PGNPS_4}}</t>
  </si>
  <si>
    <t>{{S1_2월PGNPS_4}}</t>
  </si>
  <si>
    <t>{{S1_3월PGNPS_4}}</t>
  </si>
  <si>
    <t>{{S1_4월PGNPS_4}}</t>
  </si>
  <si>
    <t>{{S1_5월PGNPS_4}}</t>
  </si>
  <si>
    <t>{{S1_6월PGNPS_4}}</t>
  </si>
  <si>
    <t>{{S1_7월PGNPS_4}}</t>
  </si>
  <si>
    <t>{{S1_8월PGNPS_4}}</t>
  </si>
  <si>
    <t>{{S1_9월PGNPS_4}}</t>
  </si>
  <si>
    <t>{{S1_10월PGNPS_4}}</t>
  </si>
  <si>
    <t>{{S1_11월PGNPS_4}}</t>
  </si>
  <si>
    <t>{{S1_1월PGNPS_5}}</t>
  </si>
  <si>
    <t>{{S1_2월PGNPS_5}}</t>
  </si>
  <si>
    <t>{{S1_3월PGNPS_5}}</t>
  </si>
  <si>
    <t>{{S1_4월PGNPS_5}}</t>
  </si>
  <si>
    <t>{{S1_5월PGNPS_5}}</t>
  </si>
  <si>
    <t>{{S1_6월PGNPS_5}}</t>
  </si>
  <si>
    <t>{{S1_7월PGNPS_5}}</t>
  </si>
  <si>
    <t>{{S1_8월PGNPS_5}}</t>
  </si>
  <si>
    <t>{{S1_9월PGNPS_5}}</t>
  </si>
  <si>
    <t>{{S1_10월PGNPS_5}}</t>
  </si>
  <si>
    <t>{{S1_11월PGNPS_5}}</t>
  </si>
  <si>
    <t>{{S1_12월PGNPS_5}}</t>
  </si>
  <si>
    <t>{{S1_1월PGNPS_6}}</t>
  </si>
  <si>
    <t>{{S1_2월PGNPS_6}}</t>
  </si>
  <si>
    <t>{{S1_3월PGNPS_6}}</t>
  </si>
  <si>
    <t>{{S1_4월PGNPS_6}}</t>
  </si>
  <si>
    <t>{{S1_5월PGNPS_6}}</t>
  </si>
  <si>
    <t>{{S1_6월PGNPS_6}}</t>
  </si>
  <si>
    <t>{{S1_7월PGNPS_6}}</t>
  </si>
  <si>
    <t>{{S1_8월PGNPS_6}}</t>
  </si>
  <si>
    <t>{{S1_9월PGNPS_6}}</t>
  </si>
  <si>
    <t>{{S1_10월PGNPS_6}}</t>
  </si>
  <si>
    <t>{{S1_11월PGNPS_6}}</t>
  </si>
  <si>
    <t>{{S1_12월PGNPS_6}}</t>
  </si>
  <si>
    <t>{{S1_1월PGNPS_7}}</t>
  </si>
  <si>
    <t>{{S1_2월PGNPS_7}}</t>
  </si>
  <si>
    <t>{{S1_3월PGNPS_7}}</t>
  </si>
  <si>
    <t>{{S1_4월PGNPS_7}}</t>
  </si>
  <si>
    <t>{{S1_5월PGNPS_7}}</t>
  </si>
  <si>
    <t>{{S1_6월PGNPS_7}}</t>
  </si>
  <si>
    <t>{{S1_7월PGNPS_7}}</t>
  </si>
  <si>
    <t>{{S1_8월PGNPS_7}}</t>
  </si>
  <si>
    <t>{{S1_9월PGNPS_7}}</t>
  </si>
  <si>
    <t>{{S1_10월PGNPS_7}}</t>
  </si>
  <si>
    <t>{{S1_11월PGNPS_7}}</t>
  </si>
  <si>
    <t>{{S1_12월PGNPS_7}}</t>
  </si>
  <si>
    <t>{{S1_1월PGNPS_8}}</t>
  </si>
  <si>
    <t>{{S1_2월PGNPS_8}}</t>
  </si>
  <si>
    <t>{{S1_3월PGNPS_8}}</t>
  </si>
  <si>
    <t>{{S1_4월PGNPS_8}}</t>
  </si>
  <si>
    <t>{{S1_5월PGNPS_8}}</t>
  </si>
  <si>
    <t>{{S1_6월PGNPS_8}}</t>
  </si>
  <si>
    <t>{{S1_7월PGNPS_8}}</t>
  </si>
  <si>
    <t>{{S1_8월PGNPS_8}}</t>
  </si>
  <si>
    <t>{{S1_9월PGNPS_8}}</t>
  </si>
  <si>
    <t>{{S1_10월PGNPS_8}}</t>
  </si>
  <si>
    <t>{{S1_11월PGNPS_8}}</t>
  </si>
  <si>
    <t>{{S1_12월PGNPS_8}}</t>
  </si>
  <si>
    <t>{{S1_1월PGNPS_9}}</t>
  </si>
  <si>
    <t>{{S1_2월PGNPS_9}}</t>
  </si>
  <si>
    <t>{{S1_3월PGNPS_9}}</t>
  </si>
  <si>
    <t>{{S1_4월PGNPS_9}}</t>
  </si>
  <si>
    <t>{{S1_5월PGNPS_9}}</t>
  </si>
  <si>
    <t>{{S1_6월PGNPS_9}}</t>
  </si>
  <si>
    <t>{{S1_7월PGNPS_9}}</t>
  </si>
  <si>
    <t>{{S1_8월PGNPS_9}}</t>
  </si>
  <si>
    <t>{{S1_9월PGNPS_9}}</t>
  </si>
  <si>
    <t>{{S1_10월PGNPS_9}}</t>
  </si>
  <si>
    <t>{{S1_11월PGNPS_9}}</t>
  </si>
  <si>
    <t>{{S1_12월PGNPS_9}}</t>
  </si>
  <si>
    <t>{{S1_1월PGNPS_10}}</t>
  </si>
  <si>
    <t>{{S1_2월PGNPS_10}}</t>
  </si>
  <si>
    <t>{{S1_3월PGNPS_10}}</t>
  </si>
  <si>
    <t>{{S1_4월PGNPS_10}}</t>
  </si>
  <si>
    <t>{{S1_5월PGNPS_10}}</t>
  </si>
  <si>
    <t>{{S1_6월PGNPS_10}}</t>
  </si>
  <si>
    <t>{{S1_7월PGNPS_10}}</t>
  </si>
  <si>
    <t>{{S1_8월PGNPS_10}}</t>
  </si>
  <si>
    <t>{{S1_9월PGNPS_10}}</t>
  </si>
  <si>
    <t>{{S1_10월PGNPS_10}}</t>
  </si>
  <si>
    <t>{{S1_11월PGNPS_10}}</t>
  </si>
  <si>
    <t>{{S1_12월PGNPS_10}}</t>
  </si>
  <si>
    <t>{{S1_1월PGNPS_11}}</t>
  </si>
  <si>
    <t>{{S1_2월PGNPS_11}}</t>
  </si>
  <si>
    <t>{{S1_3월PGNPS_11}}</t>
  </si>
  <si>
    <t>{{S1_4월PGNPS_11}}</t>
  </si>
  <si>
    <t>{{S1_5월PGNPS_11}}</t>
  </si>
  <si>
    <t>{{S1_6월PGNPS_11}}</t>
  </si>
  <si>
    <t>{{S1_7월PGNPS_11}}</t>
  </si>
  <si>
    <t>{{S1_8월PGNPS_11}}</t>
  </si>
  <si>
    <t>{{S1_9월PGNPS_11}}</t>
  </si>
  <si>
    <t>{{S1_10월PGNPS_11}}</t>
  </si>
  <si>
    <t>{{S1_11월PGNPS_11}}</t>
  </si>
  <si>
    <t>{{S1_12월PGNPS_11}}</t>
  </si>
  <si>
    <t>{{S1_1월PGNPS_12}}</t>
  </si>
  <si>
    <t>{{S1_2월PGNPS_12}}</t>
  </si>
  <si>
    <t>{{S1_3월PGNPS_12}}</t>
  </si>
  <si>
    <t>{{S1_4월PGNPS_12}}</t>
  </si>
  <si>
    <t>{{S1_5월PGNPS_12}}</t>
  </si>
  <si>
    <t>{{S1_6월PGNPS_12}}</t>
  </si>
  <si>
    <t>{{S1_7월PGNPS_12}}</t>
  </si>
  <si>
    <t>{{S1_8월PGNPS_12}}</t>
  </si>
  <si>
    <t>{{S1_9월PGNPS_12}}</t>
  </si>
  <si>
    <t>{{S1_10월PGNPS_12}}</t>
  </si>
  <si>
    <t>{{S1_11월PGNPS_12}}</t>
  </si>
  <si>
    <t>{{S1_12월PGNPS_12}}</t>
  </si>
  <si>
    <t>{{S1_1월PGNPS_13}}</t>
  </si>
  <si>
    <t>{{S1_2월PGNPS_13}}</t>
  </si>
  <si>
    <t>{{S1_3월PGNPS_13}}</t>
  </si>
  <si>
    <t>{{S1_4월PGNPS_13}}</t>
  </si>
  <si>
    <t>{{S1_5월PGNPS_13}}</t>
  </si>
  <si>
    <t>{{S1_6월PGNPS_13}}</t>
  </si>
  <si>
    <t>{{S1_7월PGNPS_13}}</t>
  </si>
  <si>
    <t>{{S1_8월PGNPS_13}}</t>
  </si>
  <si>
    <t>{{S1_9월PGNPS_13}}</t>
  </si>
  <si>
    <t>{{S1_10월PGNPS_13}}</t>
  </si>
  <si>
    <t>{{S1_11월PGNPS_13}}</t>
  </si>
  <si>
    <t>{{S1_12월PGNPS_13}}</t>
  </si>
  <si>
    <t>{{S1_1월PGNPS_14}}</t>
  </si>
  <si>
    <t>{{S1_2월PGNPS_14}}</t>
  </si>
  <si>
    <t>{{S1_3월PGNPS_14}}</t>
  </si>
  <si>
    <t>{{S1_4월PGNPS_14}}</t>
  </si>
  <si>
    <t>{{S1_5월PGNPS_14}}</t>
  </si>
  <si>
    <t>{{S1_6월PGNPS_14}}</t>
  </si>
  <si>
    <t>{{S1_7월PGNPS_14}}</t>
  </si>
  <si>
    <t>{{S1_8월PGNPS_14}}</t>
  </si>
  <si>
    <t>{{S1_9월PGNPS_14}}</t>
  </si>
  <si>
    <t>{{S1_10월PGNPS_14}}</t>
  </si>
  <si>
    <t>{{S1_11월PGNPS_14}}</t>
  </si>
  <si>
    <t>{{S1_12월PGNPS_14}}</t>
  </si>
  <si>
    <t>{{S1_1월PGNPS_15}}</t>
  </si>
  <si>
    <t>{{S1_2월PGNPS_15}}</t>
  </si>
  <si>
    <t>{{S1_3월PGNPS_15}}</t>
  </si>
  <si>
    <t>{{S1_4월PGNPS_15}}</t>
  </si>
  <si>
    <t>{{S1_5월PGNPS_15}}</t>
  </si>
  <si>
    <t>{{S1_6월PGNPS_15}}</t>
  </si>
  <si>
    <t>{{S1_7월PGNPS_15}}</t>
  </si>
  <si>
    <t>{{S1_8월PGNPS_15}}</t>
  </si>
  <si>
    <t>{{S1_9월PGNPS_15}}</t>
  </si>
  <si>
    <t>{{S1_10월PGNPS_15}}</t>
  </si>
  <si>
    <t>{{S1_11월PGNPS_15}}</t>
  </si>
  <si>
    <t>{{S1_12월PGNPS_15}}</t>
  </si>
  <si>
    <t>{{S1_1월PGNPS_16}}</t>
  </si>
  <si>
    <t>{{S1_2월PGNPS_16}}</t>
  </si>
  <si>
    <t>{{S1_3월PGNPS_16}}</t>
  </si>
  <si>
    <t>{{S1_4월PGNPS_16}}</t>
  </si>
  <si>
    <t>{{S1_5월PGNPS_16}}</t>
  </si>
  <si>
    <t>{{S1_6월PGNPS_16}}</t>
  </si>
  <si>
    <t>{{S1_7월PGNPS_16}}</t>
  </si>
  <si>
    <t>{{S1_8월PGNPS_16}}</t>
  </si>
  <si>
    <t>{{S1_9월PGNPS_16}}</t>
  </si>
  <si>
    <t>{{S1_10월PGNPS_16}}</t>
  </si>
  <si>
    <t>{{S1_11월PGNPS_16}}</t>
  </si>
  <si>
    <t>{{S1_12월PGNPS_16}}</t>
  </si>
  <si>
    <t>{{S1_1월PGNPS_17}}</t>
  </si>
  <si>
    <t>{{S1_2월PGNPS_17}}</t>
  </si>
  <si>
    <t>{{S1_3월PGNPS_17}}</t>
  </si>
  <si>
    <t>{{S1_4월PGNPS_17}}</t>
  </si>
  <si>
    <t>{{S1_5월PGNPS_17}}</t>
  </si>
  <si>
    <t>{{S1_6월PGNPS_17}}</t>
  </si>
  <si>
    <t>{{S1_7월PGNPS_17}}</t>
  </si>
  <si>
    <t>{{S1_8월PGNPS_17}}</t>
  </si>
  <si>
    <t>{{S1_9월PGNPS_17}}</t>
  </si>
  <si>
    <t>{{S1_10월PGNPS_17}}</t>
  </si>
  <si>
    <t>{{S1_11월PGNPS_17}}</t>
  </si>
  <si>
    <t>{{S1_12월PGNPS_17}}</t>
  </si>
  <si>
    <t>{{S1_1월PGNPS_18}}</t>
  </si>
  <si>
    <t>{{S1_2월PGNPS_18}}</t>
  </si>
  <si>
    <t>{{S1_3월PGNPS_18}}</t>
  </si>
  <si>
    <t>{{S1_4월PGNPS_18}}</t>
  </si>
  <si>
    <t>{{S1_5월PGNPS_18}}</t>
  </si>
  <si>
    <t>{{S1_6월PGNPS_18}}</t>
  </si>
  <si>
    <t>{{S1_7월PGNPS_18}}</t>
  </si>
  <si>
    <t>{{S1_8월PGNPS_18}}</t>
  </si>
  <si>
    <t>{{S1_9월PGNPS_18}}</t>
  </si>
  <si>
    <t>{{S1_10월PGNPS_18}}</t>
  </si>
  <si>
    <t>{{S1_11월PGNPS_18}}</t>
  </si>
  <si>
    <t>{{S1_12월PGNPS_18}}</t>
  </si>
  <si>
    <t>{{S1_1월PGNPS_19}}</t>
  </si>
  <si>
    <t>{{S1_2월PGNPS_19}}</t>
  </si>
  <si>
    <t>{{S1_3월PGNPS_19}}</t>
  </si>
  <si>
    <t>{{S1_4월PGNPS_19}}</t>
  </si>
  <si>
    <t>{{S1_5월PGNPS_19}}</t>
  </si>
  <si>
    <t>{{S1_6월PGNPS_19}}</t>
  </si>
  <si>
    <t>{{S1_7월PGNPS_19}}</t>
  </si>
  <si>
    <t>{{S1_8월PGNPS_19}}</t>
  </si>
  <si>
    <t>{{S1_9월PGNPS_19}}</t>
  </si>
  <si>
    <t>{{S1_10월PGNPS_19}}</t>
  </si>
  <si>
    <t>{{S1_11월PGNPS_19}}</t>
  </si>
  <si>
    <t>{{S1_12월PGNPS_19}}</t>
  </si>
  <si>
    <t>{{S1_1월PGNPS_20}}</t>
  </si>
  <si>
    <t>{{S1_2월PGNPS_20}}</t>
  </si>
  <si>
    <t>{{S1_3월PGNPS_20}}</t>
  </si>
  <si>
    <t>{{S1_4월PGNPS_20}}</t>
  </si>
  <si>
    <t>{{S1_5월PGNPS_20}}</t>
  </si>
  <si>
    <t>{{S1_6월PGNPS_20}}</t>
  </si>
  <si>
    <t>{{S1_7월PGNPS_20}}</t>
  </si>
  <si>
    <t>{{S1_8월PGNPS_20}}</t>
  </si>
  <si>
    <t>{{S1_9월PGNPS_20}}</t>
  </si>
  <si>
    <t>{{S1_10월PGNPS_20}}</t>
  </si>
  <si>
    <t>{{S1_11월PGNPS_20}}</t>
  </si>
  <si>
    <t>{{S1_12월PGNPS_20}}</t>
  </si>
  <si>
    <t>{{S1_1월PGNPS_21}}</t>
  </si>
  <si>
    <t>{{S1_2월PGNPS_21}}</t>
  </si>
  <si>
    <t>{{S1_3월PGNPS_21}}</t>
  </si>
  <si>
    <t>{{S1_4월PGNPS_21}}</t>
  </si>
  <si>
    <t>{{S1_5월PGNPS_21}}</t>
  </si>
  <si>
    <t>{{S1_6월PGNPS_21}}</t>
  </si>
  <si>
    <t>{{S1_7월PGNPS_21}}</t>
  </si>
  <si>
    <t>{{S1_8월PGNPS_21}}</t>
  </si>
  <si>
    <t>{{S1_9월PGNPS_21}}</t>
  </si>
  <si>
    <t>{{S1_10월PGNPS_21}}</t>
  </si>
  <si>
    <t>{{S1_11월PGNPS_21}}</t>
  </si>
  <si>
    <t>{{S1_12월PGNPS_21}}</t>
  </si>
  <si>
    <t>{{S1_1월PGNPS_22}}</t>
  </si>
  <si>
    <t>{{S1_2월PGNPS_22}}</t>
  </si>
  <si>
    <t>{{S1_3월PGNPS_22}}</t>
  </si>
  <si>
    <t>{{S1_4월PGNPS_22}}</t>
  </si>
  <si>
    <t>{{S1_5월PGNPS_22}}</t>
  </si>
  <si>
    <t>{{S1_6월PGNPS_22}}</t>
  </si>
  <si>
    <t>{{S1_7월PGNPS_22}}</t>
  </si>
  <si>
    <t>{{S1_8월PGNPS_22}}</t>
  </si>
  <si>
    <t>{{S1_9월PGNPS_22}}</t>
  </si>
  <si>
    <t>{{S1_10월PGNPS_22}}</t>
  </si>
  <si>
    <t>{{S1_11월PGNPS_22}}</t>
  </si>
  <si>
    <t>{{S1_12월PGNPS_22}}</t>
  </si>
  <si>
    <t>{{S1_1월PGNPS_23}}</t>
  </si>
  <si>
    <t>{{S1_2월PGNPS_23}}</t>
  </si>
  <si>
    <t>{{S1_3월PGNPS_23}}</t>
  </si>
  <si>
    <t>{{S1_4월PGNPS_23}}</t>
  </si>
  <si>
    <t>{{S1_5월PGNPS_23}}</t>
  </si>
  <si>
    <t>{{S1_6월PGNPS_23}}</t>
  </si>
  <si>
    <t>{{S1_7월PGNPS_23}}</t>
  </si>
  <si>
    <t>{{S1_8월PGNPS_23}}</t>
  </si>
  <si>
    <t>{{S1_9월PGNPS_23}}</t>
  </si>
  <si>
    <t>{{S1_10월PGNPS_23}}</t>
  </si>
  <si>
    <t>{{S1_11월PGNPS_23}}</t>
  </si>
  <si>
    <t>{{S1_12월PGNPS_23}}</t>
  </si>
  <si>
    <t>{{S1_1월PGNPS_24}}</t>
  </si>
  <si>
    <t>{{S1_2월PGNPS_24}}</t>
  </si>
  <si>
    <t>{{S1_3월PGNPS_24}}</t>
  </si>
  <si>
    <t>{{S1_4월PGNPS_24}}</t>
  </si>
  <si>
    <t>{{S1_5월PGNPS_24}}</t>
  </si>
  <si>
    <t>{{S1_6월PGNPS_24}}</t>
  </si>
  <si>
    <t>{{S1_7월PGNPS_24}}</t>
  </si>
  <si>
    <t>{{S1_8월PGNPS_24}}</t>
  </si>
  <si>
    <t>{{S1_9월PGNPS_24}}</t>
  </si>
  <si>
    <t>{{S1_10월PGNPS_24}}</t>
  </si>
  <si>
    <t>{{S1_11월PGNPS_24}}</t>
  </si>
  <si>
    <t>{{S1_12월PGNPS_24}}</t>
  </si>
  <si>
    <t>{{S1_1월PGNPS_25}}</t>
  </si>
  <si>
    <t>{{S1_2월PGNPS_25}}</t>
  </si>
  <si>
    <t>{{S1_3월PGNPS_25}}</t>
  </si>
  <si>
    <t>{{S1_4월PGNPS_25}}</t>
  </si>
  <si>
    <t>{{S1_5월PGNPS_25}}</t>
  </si>
  <si>
    <t>{{S1_6월PGNPS_25}}</t>
  </si>
  <si>
    <t>{{S1_7월PGNPS_25}}</t>
  </si>
  <si>
    <t>{{S1_8월PGNPS_25}}</t>
  </si>
  <si>
    <t>{{S1_9월PGNPS_25}}</t>
  </si>
  <si>
    <t>{{S1_10월PGNPS_25}}</t>
  </si>
  <si>
    <t>{{S1_11월PGNPS_25}}</t>
  </si>
  <si>
    <t>{{S1_12월PGNPS_25}}</t>
  </si>
  <si>
    <t>{{S1_1월PGNPS_26}}</t>
  </si>
  <si>
    <t>{{S1_2월PGNPS_26}}</t>
  </si>
  <si>
    <t>{{S1_3월PGNPS_26}}</t>
  </si>
  <si>
    <t>{{S1_4월PGNPS_26}}</t>
  </si>
  <si>
    <t>{{S1_5월PGNPS_26}}</t>
  </si>
  <si>
    <t>{{S1_6월PGNPS_26}}</t>
  </si>
  <si>
    <t>{{S1_7월PGNPS_26}}</t>
  </si>
  <si>
    <t>{{S1_8월PGNPS_26}}</t>
  </si>
  <si>
    <t>{{S1_9월PGNPS_26}}</t>
  </si>
  <si>
    <t>{{S1_10월PGNPS_26}}</t>
  </si>
  <si>
    <t>{{S1_11월PGNPS_26}}</t>
  </si>
  <si>
    <t>{{S1_12월PGNPS_26}}</t>
  </si>
  <si>
    <t>{{S1_1월PGNPS_27}}</t>
  </si>
  <si>
    <t>{{S1_2월PGNPS_27}}</t>
  </si>
  <si>
    <t>{{S1_3월PGNPS_27}}</t>
  </si>
  <si>
    <t>{{S1_4월PGNPS_27}}</t>
  </si>
  <si>
    <t>{{S1_5월PGNPS_27}}</t>
  </si>
  <si>
    <t>{{S1_6월PGNPS_27}}</t>
  </si>
  <si>
    <t>{{S1_7월PGNPS_27}}</t>
  </si>
  <si>
    <t>{{S1_8월PGNPS_27}}</t>
  </si>
  <si>
    <t>{{S1_9월PGNPS_27}}</t>
  </si>
  <si>
    <t>{{S1_10월PGNPS_27}}</t>
  </si>
  <si>
    <t>{{S1_11월PGNPS_27}}</t>
  </si>
  <si>
    <t>{{S1_12월PGNPS_27}}</t>
  </si>
  <si>
    <t>{{S1_1월PGNPS_28}}</t>
  </si>
  <si>
    <t>{{S1_2월PGNPS_28}}</t>
  </si>
  <si>
    <t>{{S1_3월PGNPS_28}}</t>
  </si>
  <si>
    <t>{{S1_4월PGNPS_28}}</t>
  </si>
  <si>
    <t>{{S1_5월PGNPS_28}}</t>
  </si>
  <si>
    <t>{{S1_6월PGNPS_28}}</t>
  </si>
  <si>
    <t>{{S1_7월PGNPS_28}}</t>
  </si>
  <si>
    <t>{{S1_8월PGNPS_28}}</t>
  </si>
  <si>
    <t>{{S1_9월PGNPS_28}}</t>
  </si>
  <si>
    <t>{{S1_10월PGNPS_28}}</t>
  </si>
  <si>
    <t>{{S1_11월PGNPS_28}}</t>
  </si>
  <si>
    <t>{{S1_12월PGNPS_28}}</t>
  </si>
  <si>
    <t>불만 VOC 예시</t>
    <phoneticPr fontId="1" type="noConversion"/>
  </si>
  <si>
    <t xml:space="preserve"> 4. {{region_group_name}} 불만 VOC 요약</t>
    <phoneticPr fontId="4" type="noConversion"/>
  </si>
  <si>
    <t>불만사항 요약</t>
  </si>
  <si>
    <t>예시) {{S2_complaint1_3}}</t>
  </si>
  <si>
    <t>예시) {{S2_complaint2_3}}</t>
  </si>
  <si>
    <t>예시) {{S2_complaint2_4}}</t>
  </si>
  <si>
    <t>예시) {{S2_complaint3_3}}</t>
  </si>
  <si>
    <t>예시) {{S2_complaint3_4}}</t>
  </si>
  <si>
    <t>('{{start_date}}~'{{friday_b01w}} 응답 기준)</t>
    <phoneticPr fontId="1" type="noConversion"/>
  </si>
  <si>
    <t>{{base_date}} 기준</t>
    <phoneticPr fontId="1" type="noConversion"/>
  </si>
  <si>
    <t>고객경험단계</t>
    <phoneticPr fontId="1" type="noConversion"/>
  </si>
  <si>
    <t>예시) {{S2_complaint2_5}}</t>
  </si>
  <si>
    <t>예시) {{S2_complaint3_5}}</t>
  </si>
  <si>
    <t>{{S2_complaint2_2}}</t>
  </si>
  <si>
    <t>{{S2_complaint3_2}}</t>
  </si>
  <si>
    <t>{{S2_complaint1_2}}</t>
    <phoneticPr fontId="1" type="noConversion"/>
  </si>
  <si>
    <t>{{S2_complaint1_1}}</t>
    <phoneticPr fontId="1" type="noConversion"/>
  </si>
  <si>
    <t>{{S2_complaint2_1}}</t>
    <phoneticPr fontId="1" type="noConversion"/>
  </si>
  <si>
    <t>{{S2_complaint3_1}}</t>
    <phoneticPr fontId="1" type="noConversion"/>
  </si>
  <si>
    <t xml:space="preserve"> 2. {{region_group_name}} PG/RG별 NPS 현황</t>
    <phoneticPr fontId="4" type="noConversion"/>
  </si>
  <si>
    <t>PG/RG명</t>
    <phoneticPr fontId="1" type="noConversion"/>
  </si>
  <si>
    <t>{{S1_PGNPS변동_29}}</t>
  </si>
  <si>
    <t>{{S1_1월PGNPS_29}}</t>
  </si>
  <si>
    <t>{{S1_2월PGNPS_29}}</t>
  </si>
  <si>
    <t>{{S1_3월PGNPS_29}}</t>
  </si>
  <si>
    <t>{{S1_4월PGNPS_29}}</t>
  </si>
  <si>
    <t>{{S1_5월PGNPS_29}}</t>
  </si>
  <si>
    <t>{{S1_6월PGNPS_29}}</t>
  </si>
  <si>
    <t>{{S1_7월PGNPS_29}}</t>
  </si>
  <si>
    <t>{{S1_8월PGNPS_29}}</t>
  </si>
  <si>
    <t>{{S1_9월PGNPS_29}}</t>
  </si>
  <si>
    <t>{{S1_10월PGNPS_29}}</t>
  </si>
  <si>
    <t>{{S1_11월PGNPS_29}}</t>
  </si>
  <si>
    <t>{{S1_12월PGNPS_29}}</t>
  </si>
  <si>
    <t>{{S1_PGNPS변동_30}}</t>
  </si>
  <si>
    <t>{{S1_1월PGNPS_30}}</t>
  </si>
  <si>
    <t>{{S1_2월PGNPS_30}}</t>
  </si>
  <si>
    <t>{{S1_3월PGNPS_30}}</t>
  </si>
  <si>
    <t>{{S1_4월PGNPS_30}}</t>
  </si>
  <si>
    <t>{{S1_5월PGNPS_30}}</t>
  </si>
  <si>
    <t>{{S1_6월PGNPS_30}}</t>
  </si>
  <si>
    <t>{{S1_7월PGNPS_30}}</t>
  </si>
  <si>
    <t>{{S1_8월PGNPS_30}}</t>
  </si>
  <si>
    <t>{{S1_9월PGNPS_30}}</t>
  </si>
  <si>
    <t>{{S1_10월PGNPS_30}}</t>
  </si>
  <si>
    <t>{{S1_11월PGNPS_30}}</t>
  </si>
  <si>
    <t>{{S1_12월PGNPS_30}}</t>
  </si>
  <si>
    <t>{{S1_PGNPS변동_31}}</t>
  </si>
  <si>
    <t>{{S1_1월PGNPS_31}}</t>
  </si>
  <si>
    <t>{{S1_2월PGNPS_31}}</t>
  </si>
  <si>
    <t>{{S1_3월PGNPS_31}}</t>
  </si>
  <si>
    <t>{{S1_4월PGNPS_31}}</t>
  </si>
  <si>
    <t>{{S1_5월PGNPS_31}}</t>
  </si>
  <si>
    <t>{{S1_6월PGNPS_31}}</t>
  </si>
  <si>
    <t>{{S1_7월PGNPS_31}}</t>
  </si>
  <si>
    <t>{{S1_8월PGNPS_31}}</t>
  </si>
  <si>
    <t>{{S1_9월PGNPS_31}}</t>
  </si>
  <si>
    <t>{{S1_10월PGNPS_31}}</t>
  </si>
  <si>
    <t>{{S1_11월PGNPS_31}}</t>
  </si>
  <si>
    <t>{{S1_12월PGNPS_31}}</t>
  </si>
  <si>
    <t>{{S1_PGNPS변동_32}}</t>
  </si>
  <si>
    <t>{{S1_1월PGNPS_32}}</t>
  </si>
  <si>
    <t>{{S1_2월PGNPS_32}}</t>
  </si>
  <si>
    <t>{{S1_3월PGNPS_32}}</t>
  </si>
  <si>
    <t>{{S1_4월PGNPS_32}}</t>
  </si>
  <si>
    <t>{{S1_5월PGNPS_32}}</t>
  </si>
  <si>
    <t>{{S1_6월PGNPS_32}}</t>
  </si>
  <si>
    <t>{{S1_7월PGNPS_32}}</t>
  </si>
  <si>
    <t>{{S1_8월PGNPS_32}}</t>
  </si>
  <si>
    <t>{{S1_9월PGNPS_32}}</t>
  </si>
  <si>
    <t>{{S1_10월PGNPS_32}}</t>
  </si>
  <si>
    <t>{{S1_11월PGNPS_32}}</t>
  </si>
  <si>
    <t>{{S1_12월PGNPS_32}}</t>
  </si>
  <si>
    <t>{{S1_지역본부_29}}</t>
  </si>
  <si>
    <t>{{S1_PGNPS변동_33}}</t>
  </si>
  <si>
    <t>{{S1_1월PGNPS_33}}</t>
  </si>
  <si>
    <t>{{S1_2월PGNPS_33}}</t>
  </si>
  <si>
    <t>{{S1_3월PGNPS_33}}</t>
  </si>
  <si>
    <t>{{S1_4월PGNPS_33}}</t>
  </si>
  <si>
    <t>{{S1_5월PGNPS_33}}</t>
  </si>
  <si>
    <t>{{S1_6월PGNPS_33}}</t>
  </si>
  <si>
    <t>{{S1_7월PGNPS_33}}</t>
  </si>
  <si>
    <t>{{S1_8월PGNPS_33}}</t>
  </si>
  <si>
    <t>{{S1_9월PGNPS_33}}</t>
  </si>
  <si>
    <t>{{S1_10월PGNPS_33}}</t>
  </si>
  <si>
    <t>{{S1_11월PGNPS_33}}</t>
  </si>
  <si>
    <t>{{S1_12월PGNPS_33}}</t>
  </si>
  <si>
    <t>{{S1_PGNPS변동_34}}</t>
  </si>
  <si>
    <t>{{S1_1월PGNPS_34}}</t>
  </si>
  <si>
    <t>{{S1_2월PGNPS_34}}</t>
  </si>
  <si>
    <t>{{S1_3월PGNPS_34}}</t>
  </si>
  <si>
    <t>{{S1_4월PGNPS_34}}</t>
  </si>
  <si>
    <t>{{S1_5월PGNPS_34}}</t>
  </si>
  <si>
    <t>{{S1_6월PGNPS_34}}</t>
  </si>
  <si>
    <t>{{S1_7월PGNPS_34}}</t>
  </si>
  <si>
    <t>{{S1_8월PGNPS_34}}</t>
  </si>
  <si>
    <t>{{S1_9월PGNPS_34}}</t>
  </si>
  <si>
    <t>{{S1_10월PGNPS_34}}</t>
  </si>
  <si>
    <t>{{S1_11월PGNPS_34}}</t>
  </si>
  <si>
    <t>{{S1_12월PGNPS_34}}</t>
  </si>
  <si>
    <t>{{S1_지역본부_31}}</t>
  </si>
  <si>
    <t>{{S1_지역본부_33}}</t>
  </si>
  <si>
    <t>{{S1_지역본부_35}}</t>
  </si>
  <si>
    <t>{{S1_PGNPS변동_35}}</t>
  </si>
  <si>
    <t>{{S1_1월PGNPS_35}}</t>
  </si>
  <si>
    <t>{{S1_3월PGNPS_35}}</t>
  </si>
  <si>
    <t>{{S1_4월PGNPS_35}}</t>
  </si>
  <si>
    <t>{{S1_5월PGNPS_35}}</t>
  </si>
  <si>
    <t>{{S1_6월PGNPS_35}}</t>
  </si>
  <si>
    <t>{{S1_7월PGNPS_35}}</t>
  </si>
  <si>
    <t>{{S1_8월PGNPS_35}}</t>
  </si>
  <si>
    <t>{{S1_9월PGNPS_35}}</t>
  </si>
  <si>
    <t>{{S1_10월PGNPS_35}}</t>
  </si>
  <si>
    <t>{{S1_11월PGNPS_35}}</t>
  </si>
  <si>
    <t>{{S1_12월PGNPS_35}}</t>
  </si>
  <si>
    <t>{{S1_PGNPS변동_36}}</t>
  </si>
  <si>
    <t>{{S1_1월PGNPS_36}}</t>
  </si>
  <si>
    <t>{{S1_3월PGNPS_36}}</t>
  </si>
  <si>
    <t>{{S1_4월PGNPS_36}}</t>
  </si>
  <si>
    <t>{{S1_5월PGNPS_36}}</t>
  </si>
  <si>
    <t>{{S1_6월PGNPS_36}}</t>
  </si>
  <si>
    <t>{{S1_7월PGNPS_36}}</t>
  </si>
  <si>
    <t>{{S1_8월PGNPS_36}}</t>
  </si>
  <si>
    <t>{{S1_9월PGNPS_36}}</t>
  </si>
  <si>
    <t>{{S1_10월PGNPS_36}}</t>
  </si>
  <si>
    <t>{{S1_11월PGNPS_36}}</t>
  </si>
  <si>
    <t>{{S1_12월PGNPS_36}}</t>
  </si>
  <si>
    <t>{{S1_지역본부_37}}</t>
  </si>
  <si>
    <t>{{S1_지역본부_39}}</t>
  </si>
  <si>
    <t>{{S1_지역본부_41}}</t>
  </si>
  <si>
    <t>{{S1_지역본부_43}}</t>
  </si>
  <si>
    <t>{{S1_지역본부_45}}</t>
  </si>
  <si>
    <t>{{S1_12월PGNPS_3}}</t>
  </si>
  <si>
    <t>{{S1_12월PGNPS_4}}</t>
  </si>
  <si>
    <t>{{S1_2월PGNPS_35}}</t>
  </si>
  <si>
    <t>{{S1_2월PGNPS_36}}</t>
  </si>
  <si>
    <t>{{S1_PGNPS변동_37}}</t>
  </si>
  <si>
    <t>{{S1_1월PGNPS_37}}</t>
  </si>
  <si>
    <t>{{S1_2월PGNPS_37}}</t>
  </si>
  <si>
    <t>{{S1_3월PGNPS_37}}</t>
  </si>
  <si>
    <t>{{S1_4월PGNPS_37}}</t>
  </si>
  <si>
    <t>{{S1_5월PGNPS_37}}</t>
  </si>
  <si>
    <t>{{S1_6월PGNPS_37}}</t>
  </si>
  <si>
    <t>{{S1_7월PGNPS_37}}</t>
  </si>
  <si>
    <t>{{S1_8월PGNPS_37}}</t>
  </si>
  <si>
    <t>{{S1_9월PGNPS_37}}</t>
  </si>
  <si>
    <t>{{S1_10월PGNPS_37}}</t>
  </si>
  <si>
    <t>{{S1_11월PGNPS_37}}</t>
  </si>
  <si>
    <t>{{S1_12월PGNPS_37}}</t>
  </si>
  <si>
    <t>{{S1_PGNPS변동_38}}</t>
  </si>
  <si>
    <t>{{S1_1월PGNPS_38}}</t>
  </si>
  <si>
    <t>{{S1_2월PGNPS_38}}</t>
  </si>
  <si>
    <t>{{S1_3월PGNPS_38}}</t>
  </si>
  <si>
    <t>{{S1_4월PGNPS_38}}</t>
  </si>
  <si>
    <t>{{S1_5월PGNPS_38}}</t>
  </si>
  <si>
    <t>{{S1_6월PGNPS_38}}</t>
  </si>
  <si>
    <t>{{S1_7월PGNPS_38}}</t>
  </si>
  <si>
    <t>{{S1_8월PGNPS_38}}</t>
  </si>
  <si>
    <t>{{S1_9월PGNPS_38}}</t>
  </si>
  <si>
    <t>{{S1_10월PGNPS_38}}</t>
  </si>
  <si>
    <t>{{S1_11월PGNPS_38}}</t>
  </si>
  <si>
    <t>{{S1_12월PGNPS_38}}</t>
  </si>
  <si>
    <t>{{S1_PGNPS변동_39}}</t>
  </si>
  <si>
    <t>{{S1_1월PGNPS_39}}</t>
  </si>
  <si>
    <t>{{S1_2월PGNPS_39}}</t>
  </si>
  <si>
    <t>{{S1_3월PGNPS_39}}</t>
  </si>
  <si>
    <t>{{S1_4월PGNPS_39}}</t>
  </si>
  <si>
    <t>{{S1_5월PGNPS_39}}</t>
  </si>
  <si>
    <t>{{S1_6월PGNPS_39}}</t>
  </si>
  <si>
    <t>{{S1_7월PGNPS_39}}</t>
  </si>
  <si>
    <t>{{S1_8월PGNPS_39}}</t>
  </si>
  <si>
    <t>{{S1_9월PGNPS_39}}</t>
  </si>
  <si>
    <t>{{S1_10월PGNPS_39}}</t>
  </si>
  <si>
    <t>{{S1_11월PGNPS_39}}</t>
  </si>
  <si>
    <t>{{S1_12월PGNPS_39}}</t>
  </si>
  <si>
    <t>{{S1_PGNPS변동_40}}</t>
  </si>
  <si>
    <t>{{S1_1월PGNPS_40}}</t>
  </si>
  <si>
    <t>{{S1_2월PGNPS_40}}</t>
  </si>
  <si>
    <t>{{S1_3월PGNPS_40}}</t>
  </si>
  <si>
    <t>{{S1_4월PGNPS_40}}</t>
  </si>
  <si>
    <t>{{S1_5월PGNPS_40}}</t>
  </si>
  <si>
    <t>{{S1_6월PGNPS_40}}</t>
  </si>
  <si>
    <t>{{S1_7월PGNPS_40}}</t>
  </si>
  <si>
    <t>{{S1_8월PGNPS_40}}</t>
  </si>
  <si>
    <t>{{S1_9월PGNPS_40}}</t>
  </si>
  <si>
    <t>{{S1_10월PGNPS_40}}</t>
  </si>
  <si>
    <t>{{S1_11월PGNPS_40}}</t>
  </si>
  <si>
    <t>{{S1_12월PGNPS_40}}</t>
  </si>
  <si>
    <t>{{S1_PGNPS변동_41}}</t>
  </si>
  <si>
    <t>{{S1_1월PGNPS_41}}</t>
  </si>
  <si>
    <t>{{S1_2월PGNPS_41}}</t>
  </si>
  <si>
    <t>{{S1_3월PGNPS_41}}</t>
  </si>
  <si>
    <t>{{S1_4월PGNPS_41}}</t>
  </si>
  <si>
    <t>{{S1_5월PGNPS_41}}</t>
  </si>
  <si>
    <t>{{S1_6월PGNPS_41}}</t>
  </si>
  <si>
    <t>{{S1_7월PGNPS_41}}</t>
  </si>
  <si>
    <t>{{S1_8월PGNPS_41}}</t>
  </si>
  <si>
    <t>{{S1_9월PGNPS_41}}</t>
  </si>
  <si>
    <t>{{S1_10월PGNPS_41}}</t>
  </si>
  <si>
    <t>{{S1_11월PGNPS_41}}</t>
  </si>
  <si>
    <t>{{S1_12월PGNPS_41}}</t>
  </si>
  <si>
    <t>{{S1_PGNPS변동_42}}</t>
  </si>
  <si>
    <t>{{S1_1월PGNPS_42}}</t>
  </si>
  <si>
    <t>{{S1_2월PGNPS_42}}</t>
  </si>
  <si>
    <t>{{S1_3월PGNPS_42}}</t>
  </si>
  <si>
    <t>{{S1_4월PGNPS_42}}</t>
  </si>
  <si>
    <t>{{S1_5월PGNPS_42}}</t>
  </si>
  <si>
    <t>{{S1_6월PGNPS_42}}</t>
  </si>
  <si>
    <t>{{S1_7월PGNPS_42}}</t>
  </si>
  <si>
    <t>{{S1_8월PGNPS_42}}</t>
  </si>
  <si>
    <t>{{S1_9월PGNPS_42}}</t>
  </si>
  <si>
    <t>{{S1_10월PGNPS_42}}</t>
  </si>
  <si>
    <t>{{S1_11월PGNPS_42}}</t>
  </si>
  <si>
    <t>{{S1_12월PGNPS_42}}</t>
  </si>
  <si>
    <t>{{S1_PGNPS변동_43}}</t>
  </si>
  <si>
    <t>{{S1_1월PGNPS_43}}</t>
  </si>
  <si>
    <t>{{S1_2월PGNPS_43}}</t>
  </si>
  <si>
    <t>{{S1_3월PGNPS_43}}</t>
  </si>
  <si>
    <t>{{S1_4월PGNPS_43}}</t>
  </si>
  <si>
    <t>{{S1_5월PGNPS_43}}</t>
  </si>
  <si>
    <t>{{S1_6월PGNPS_43}}</t>
  </si>
  <si>
    <t>{{S1_7월PGNPS_43}}</t>
  </si>
  <si>
    <t>{{S1_8월PGNPS_43}}</t>
  </si>
  <si>
    <t>{{S1_9월PGNPS_43}}</t>
  </si>
  <si>
    <t>{{S1_10월PGNPS_43}}</t>
  </si>
  <si>
    <t>{{S1_11월PGNPS_43}}</t>
  </si>
  <si>
    <t>{{S1_12월PGNPS_43}}</t>
  </si>
  <si>
    <t>{{S1_PGNPS변동_44}}</t>
  </si>
  <si>
    <t>{{S1_1월PGNPS_44}}</t>
  </si>
  <si>
    <t>{{S1_2월PGNPS_44}}</t>
  </si>
  <si>
    <t>{{S1_3월PGNPS_44}}</t>
  </si>
  <si>
    <t>{{S1_4월PGNPS_44}}</t>
  </si>
  <si>
    <t>{{S1_5월PGNPS_44}}</t>
  </si>
  <si>
    <t>{{S1_6월PGNPS_44}}</t>
  </si>
  <si>
    <t>{{S1_7월PGNPS_44}}</t>
  </si>
  <si>
    <t>{{S1_8월PGNPS_44}}</t>
  </si>
  <si>
    <t>{{S1_9월PGNPS_44}}</t>
  </si>
  <si>
    <t>{{S1_10월PGNPS_44}}</t>
  </si>
  <si>
    <t>{{S1_11월PGNPS_44}}</t>
  </si>
  <si>
    <t>{{S1_12월PGNPS_44}}</t>
  </si>
  <si>
    <t>{{S1_PGNPS변동_45}}</t>
  </si>
  <si>
    <t>{{S1_1월PGNPS_45}}</t>
  </si>
  <si>
    <t>{{S1_2월PGNPS_45}}</t>
  </si>
  <si>
    <t>{{S1_3월PGNPS_45}}</t>
  </si>
  <si>
    <t>{{S1_4월PGNPS_45}}</t>
  </si>
  <si>
    <t>{{S1_5월PGNPS_45}}</t>
  </si>
  <si>
    <t>{{S1_6월PGNPS_45}}</t>
  </si>
  <si>
    <t>{{S1_7월PGNPS_45}}</t>
  </si>
  <si>
    <t>{{S1_8월PGNPS_45}}</t>
  </si>
  <si>
    <t>{{S1_9월PGNPS_45}}</t>
  </si>
  <si>
    <t>{{S1_10월PGNPS_45}}</t>
  </si>
  <si>
    <t>{{S1_11월PGNPS_45}}</t>
  </si>
  <si>
    <t>{{S1_12월PGNPS_45}}</t>
  </si>
  <si>
    <t>{{S1_PGNPS변동_46}}</t>
  </si>
  <si>
    <t>{{S1_1월PGNPS_46}}</t>
  </si>
  <si>
    <t>{{S1_2월PGNPS_46}}</t>
  </si>
  <si>
    <t>{{S1_3월PGNPS_46}}</t>
  </si>
  <si>
    <t>{{S1_4월PGNPS_46}}</t>
  </si>
  <si>
    <t>{{S1_5월PGNPS_46}}</t>
  </si>
  <si>
    <t>{{S1_6월PGNPS_46}}</t>
  </si>
  <si>
    <t>{{S1_7월PGNPS_46}}</t>
  </si>
  <si>
    <t>{{S1_8월PGNPS_46}}</t>
  </si>
  <si>
    <t>{{S1_9월PGNPS_46}}</t>
  </si>
  <si>
    <t>{{S1_10월PGNPS_46}}</t>
  </si>
  <si>
    <t>{{S1_11월PGNPS_46}}</t>
  </si>
  <si>
    <t>{{S1_12월PGNPS_46}}</t>
  </si>
  <si>
    <t>예시) {{S2_complaint1_4}}</t>
    <phoneticPr fontId="1" type="noConversion"/>
  </si>
  <si>
    <t>예시) {{S2_complaint1_5}}</t>
    <phoneticPr fontId="1" type="noConversion"/>
  </si>
  <si>
    <t>('{{monday_b02w}}~'{{friday_b01w}} 응답 기준)</t>
    <phoneticPr fontId="1" type="noConversion"/>
  </si>
  <si>
    <t>순고객추천지수(NPS)</t>
    <phoneticPr fontId="1" type="noConversion"/>
  </si>
  <si>
    <t>월별 고객 충성도 그룹 및 NPS 추이</t>
    <phoneticPr fontId="1" type="noConversion"/>
  </si>
  <si>
    <t>고객불만지수(CCI)</t>
    <phoneticPr fontId="1" type="noConversion"/>
  </si>
  <si>
    <t>월별 고객불만지수 추이</t>
    <phoneticPr fontId="1" type="noConversion"/>
  </si>
  <si>
    <t>고객경험단계별 VOC 불만사항 요약과 VOC 예시입니다. (※ 3건 미만인 경우 VOC 원문만 표출)</t>
    <phoneticPr fontId="1" type="noConversion"/>
  </si>
  <si>
    <t>당월</t>
    <phoneticPr fontId="1" type="noConversion"/>
  </si>
  <si>
    <t>{{S1_전월PGNPS_1}}</t>
  </si>
  <si>
    <t>{{S1_전월PGNPS_2}}</t>
  </si>
  <si>
    <t>{{S1_전월PGNPS_3}}</t>
  </si>
  <si>
    <t>{{S1_전월PGNPS_4}}</t>
  </si>
  <si>
    <t>{{S1_전월PGNPS_5}}</t>
  </si>
  <si>
    <t>{{S1_전월PGNPS_6}}</t>
  </si>
  <si>
    <t>{{S1_전월PGNPS_7}}</t>
  </si>
  <si>
    <t>{{S1_전월PGNPS_8}}</t>
  </si>
  <si>
    <t>{{S1_전월PGNPS_9}}</t>
  </si>
  <si>
    <t>{{S1_전월PGNPS_10}}</t>
  </si>
  <si>
    <t>{{S1_전월PGNPS_11}}</t>
  </si>
  <si>
    <t>{{S1_전월PGNPS_12}}</t>
  </si>
  <si>
    <t>{{S1_전월PGNPS_13}}</t>
  </si>
  <si>
    <t>{{S1_전월PGNPS_14}}</t>
  </si>
  <si>
    <t>{{S1_전월PGNPS_15}}</t>
  </si>
  <si>
    <t>{{S1_전월PGNPS_16}}</t>
  </si>
  <si>
    <t>{{S1_전월PGNPS_17}}</t>
  </si>
  <si>
    <t>{{S1_전월PGNPS_18}}</t>
  </si>
  <si>
    <t>{{S1_전월PGNPS_19}}</t>
  </si>
  <si>
    <t>{{S1_전월PGNPS_20}}</t>
  </si>
  <si>
    <t>{{S1_전월PGNPS_21}}</t>
  </si>
  <si>
    <t>{{S1_전월PGNPS_22}}</t>
  </si>
  <si>
    <t>{{S1_전월PGNPS_23}}</t>
  </si>
  <si>
    <t>{{S1_전월PGNPS_24}}</t>
  </si>
  <si>
    <t>{{S1_전월PGNPS_25}}</t>
  </si>
  <si>
    <t>{{S1_전월PGNPS_26}}</t>
  </si>
  <si>
    <t>{{S1_전월PGNPS_27}}</t>
  </si>
  <si>
    <t>{{S1_전월PGNPS_28}}</t>
  </si>
  <si>
    <t>{{S1_전월PGNPS_29}}</t>
  </si>
  <si>
    <t>{{S1_전월PGNPS_30}}</t>
  </si>
  <si>
    <t>{{S1_전월PGNPS_31}}</t>
  </si>
  <si>
    <t>{{S1_전월PGNPS_32}}</t>
  </si>
  <si>
    <t>{{S1_전월PGNPS_33}}</t>
  </si>
  <si>
    <t>{{S1_전월PGNPS_34}}</t>
  </si>
  <si>
    <t>{{S1_전월PGNPS_35}}</t>
  </si>
  <si>
    <t>{{S1_전월PGNPS_36}}</t>
  </si>
  <si>
    <t>{{S1_전월PGNPS_37}}</t>
  </si>
  <si>
    <t>{{S1_전월PGNPS_38}}</t>
  </si>
  <si>
    <t>{{S1_전월PGNPS_39}}</t>
  </si>
  <si>
    <t>{{S1_전월PGNPS_40}}</t>
  </si>
  <si>
    <t>{{S1_전월PGNPS_41}}</t>
  </si>
  <si>
    <t>{{S1_전월PGNPS_42}}</t>
  </si>
  <si>
    <t>{{S1_전월PGNPS_43}}</t>
  </si>
  <si>
    <t>{{S1_전월PGNPS_44}}</t>
  </si>
  <si>
    <t>{{S1_전월PGNPS_45}}</t>
  </si>
  <si>
    <t>{{S1_전월PGNPS_46}}</t>
  </si>
  <si>
    <t>{{S1_당월PGNPS_1}}</t>
  </si>
  <si>
    <t>{{S1_당월PGNPS_2}}</t>
  </si>
  <si>
    <t>{{S1_당월PGNPS_3}}</t>
  </si>
  <si>
    <t>{{S1_당월PGNPS_4}}</t>
  </si>
  <si>
    <t>{{S1_당월PGNPS_5}}</t>
  </si>
  <si>
    <t>{{S1_당월PGNPS_6}}</t>
  </si>
  <si>
    <t>{{S1_당월PGNPS_7}}</t>
  </si>
  <si>
    <t>{{S1_당월PGNPS_8}}</t>
  </si>
  <si>
    <t>{{S1_당월PGNPS_9}}</t>
  </si>
  <si>
    <t>{{S1_당월PGNPS_10}}</t>
  </si>
  <si>
    <t>{{S1_당월PGNPS_11}}</t>
  </si>
  <si>
    <t>{{S1_당월PGNPS_12}}</t>
  </si>
  <si>
    <t>{{S1_당월PGNPS_13}}</t>
  </si>
  <si>
    <t>{{S1_당월PGNPS_14}}</t>
  </si>
  <si>
    <t>{{S1_당월PGNPS_15}}</t>
  </si>
  <si>
    <t>{{S1_당월PGNPS_16}}</t>
  </si>
  <si>
    <t>{{S1_당월PGNPS_17}}</t>
  </si>
  <si>
    <t>{{S1_당월PGNPS_18}}</t>
  </si>
  <si>
    <t>{{S1_당월PGNPS_19}}</t>
  </si>
  <si>
    <t>{{S1_당월PGNPS_20}}</t>
  </si>
  <si>
    <t>{{S1_당월PGNPS_21}}</t>
  </si>
  <si>
    <t>{{S1_당월PGNPS_22}}</t>
  </si>
  <si>
    <t>{{S1_당월PGNPS_23}}</t>
  </si>
  <si>
    <t>{{S1_당월PGNPS_24}}</t>
  </si>
  <si>
    <t>{{S1_당월PGNPS_25}}</t>
  </si>
  <si>
    <t>{{S1_당월PGNPS_26}}</t>
  </si>
  <si>
    <t>{{S1_당월PGNPS_27}}</t>
  </si>
  <si>
    <t>{{S1_당월PGNPS_28}}</t>
  </si>
  <si>
    <t>{{S1_당월PGNPS_29}}</t>
  </si>
  <si>
    <t>{{S1_당월PGNPS_30}}</t>
  </si>
  <si>
    <t>{{S1_당월PGNPS_31}}</t>
  </si>
  <si>
    <t>{{S1_당월PGNPS_32}}</t>
  </si>
  <si>
    <t>{{S1_당월PGNPS_33}}</t>
  </si>
  <si>
    <t>{{S1_당월PGNPS_34}}</t>
  </si>
  <si>
    <t>{{S1_당월PGNPS_35}}</t>
  </si>
  <si>
    <t>{{S1_당월PGNPS_36}}</t>
  </si>
  <si>
    <t>{{S1_당월PGNPS_37}}</t>
  </si>
  <si>
    <t>{{S1_당월PGNPS_38}}</t>
  </si>
  <si>
    <t>{{S1_당월PGNPS_39}}</t>
  </si>
  <si>
    <t>{{S1_당월PGNPS_40}}</t>
  </si>
  <si>
    <t>{{S1_당월PGNPS_41}}</t>
  </si>
  <si>
    <t>{{S1_당월PGNPS_42}}</t>
  </si>
  <si>
    <t>{{S1_당월PGNPS_43}}</t>
  </si>
  <si>
    <t>{{S1_당월PGNPS_44}}</t>
  </si>
  <si>
    <t>{{S1_당월PGNPS_45}}</t>
  </si>
  <si>
    <t>{{S1_당월PGNPS_46}}</t>
  </si>
  <si>
    <t>강남영업추진그룹</t>
    <phoneticPr fontId="1" type="noConversion"/>
  </si>
  <si>
    <t>강북영업추진그룹</t>
    <phoneticPr fontId="1" type="noConversion"/>
  </si>
  <si>
    <t>수도권영업추진그룹</t>
    <phoneticPr fontId="1" type="noConversion"/>
  </si>
  <si>
    <t>영남영업추진그룹</t>
    <phoneticPr fontId="1" type="noConversion"/>
  </si>
  <si>
    <t>충청호남영업추진그룹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</si>
</sst>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.0;[Red]\-#,##0.0"/>
    <numFmt numFmtId="177" formatCode="0.0"/>
    <numFmt numFmtId="178" formatCode="0.0_ ;[Red]\-0.0\ 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1F497D"/>
      <name val="KB금융 본문체 Light"/>
      <family val="3"/>
      <charset val="129"/>
    </font>
    <font>
      <sz val="10"/>
      <color theme="0"/>
      <name val="KB금융 제목체 Bold"/>
      <family val="3"/>
      <charset val="129"/>
    </font>
    <font>
      <sz val="8"/>
      <name val="KB금융 본문체 Light"/>
      <family val="2"/>
      <charset val="129"/>
    </font>
    <font>
      <sz val="10"/>
      <color theme="1"/>
      <name val="맑은 고딕"/>
      <family val="2"/>
      <charset val="129"/>
      <scheme val="minor"/>
    </font>
    <font>
      <sz val="9"/>
      <color theme="1"/>
      <name val="KB금융 본문체 Light"/>
      <family val="3"/>
      <charset val="129"/>
    </font>
    <font>
      <b/>
      <sz val="9"/>
      <color theme="1"/>
      <name val="KB금융 본문체 Light"/>
      <family val="3"/>
      <charset val="129"/>
    </font>
    <font>
      <sz val="11"/>
      <color theme="1"/>
      <name val="KB금융 본문체 Light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KB금융 본문체 Light"/>
      <family val="3"/>
      <charset val="129"/>
    </font>
    <font>
      <sz val="16"/>
      <color theme="1"/>
      <name val="KB금융 제목체 Bold"/>
      <family val="3"/>
      <charset val="129"/>
    </font>
    <font>
      <sz val="16"/>
      <color theme="1"/>
      <name val="KB금융 본문체 Light"/>
      <family val="3"/>
      <charset val="129"/>
    </font>
    <font>
      <b/>
      <sz val="10"/>
      <name val="KB금융 본문체 Light"/>
      <family val="3"/>
      <charset val="129"/>
    </font>
    <font>
      <sz val="9"/>
      <color theme="1"/>
      <name val="맑은 고딕"/>
      <family val="2"/>
      <charset val="129"/>
      <scheme val="minor"/>
    </font>
    <font>
      <b/>
      <sz val="11"/>
      <color rgb="FFFF0000"/>
      <name val="KB금융 제목체 Bold"/>
      <family val="3"/>
      <charset val="129"/>
    </font>
    <font>
      <sz val="10"/>
      <color theme="1"/>
      <name val="KB금융 제목체 Medium"/>
      <family val="3"/>
      <charset val="129"/>
    </font>
    <font>
      <sz val="9"/>
      <color theme="1"/>
      <name val="KB금융 본문체 Medium"/>
      <family val="3"/>
      <charset val="129"/>
    </font>
    <font>
      <sz val="9"/>
      <color theme="0"/>
      <name val="KB금융 본문체 Medium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34998626667073579"/>
        <bgColor indexed="64"/>
      </patternFill>
    </fill>
  </fills>
  <borders count="46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/>
      <diagonal/>
    </border>
    <border>
      <left/>
      <right style="thin">
        <color theme="0" tint="-0.34998626667073579"/>
      </right>
      <top/>
      <bottom style="medium">
        <color theme="0" tint="-0.34998626667073579"/>
      </bottom>
      <diagonal/>
    </border>
    <border>
      <left/>
      <right/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thin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/>
      <top/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medium">
        <color theme="0" tint="-0.34998626667073579"/>
      </bottom>
      <diagonal/>
    </border>
    <border>
      <left/>
      <right/>
      <top style="hair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/>
      <diagonal/>
    </border>
    <border>
      <left style="medium">
        <color theme="0" tint="-0.34998626667073579"/>
      </left>
      <right/>
      <top style="thin">
        <color theme="0" tint="-0.34998626667073579"/>
      </top>
      <bottom/>
      <diagonal/>
    </border>
    <border>
      <left style="medium">
        <color theme="0" tint="-0.34998626667073579"/>
      </left>
      <right/>
      <top/>
      <bottom style="thin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thin">
        <color theme="0" tint="-0.34998626667073579"/>
      </bottom>
      <diagonal/>
    </border>
    <border>
      <left/>
      <right/>
      <top style="hair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>
      <alignment vertical="center"/>
    </xf>
    <xf numFmtId="41" fontId="9" fillId="0" borderId="0">
      <alignment vertical="center"/>
    </xf>
  </cellStyleXfs>
  <cellXfs count="112">
    <xf numFmtId="0" fontId="0" fillId="0" borderId="0" xfId="0">
      <alignment vertical="center"/>
    </xf>
    <xf numFmtId="0" fontId="2" fillId="0" borderId="1" xfId="0" applyFont="1" applyBorder="1" applyAlignment="1">
      <alignment horizontal="centerContinuous" vertical="center"/>
    </xf>
    <xf numFmtId="0" fontId="5" fillId="0" borderId="0" xfId="0" applyFont="1">
      <alignment vertical="center"/>
    </xf>
    <xf numFmtId="0" fontId="3" fillId="3" borderId="2" xfId="0" applyFont="1" applyFill="1" applyBorder="1">
      <alignment vertical="center"/>
    </xf>
    <xf numFmtId="0" fontId="5" fillId="3" borderId="2" xfId="0" applyFont="1" applyFill="1" applyBorder="1">
      <alignment vertical="center"/>
    </xf>
    <xf numFmtId="0" fontId="8" fillId="0" borderId="0" xfId="0" applyFont="1">
      <alignment vertical="center"/>
    </xf>
    <xf numFmtId="0" fontId="6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quotePrefix="1" applyFont="1">
      <alignment vertical="center"/>
    </xf>
    <xf numFmtId="176" fontId="8" fillId="0" borderId="0" xfId="0" applyNumberFormat="1" applyFont="1">
      <alignment vertical="center"/>
    </xf>
    <xf numFmtId="0" fontId="13" fillId="3" borderId="2" xfId="0" applyFont="1" applyFill="1" applyBorder="1">
      <alignment vertical="center"/>
    </xf>
    <xf numFmtId="0" fontId="7" fillId="0" borderId="0" xfId="0" applyFont="1">
      <alignment vertical="center"/>
    </xf>
    <xf numFmtId="0" fontId="10" fillId="3" borderId="2" xfId="0" applyFont="1" applyFill="1" applyBorder="1" applyAlignment="1">
      <alignment horizontal="right" vertical="center"/>
    </xf>
    <xf numFmtId="0" fontId="0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7" fillId="2" borderId="10" xfId="0" applyFont="1" applyFill="1" applyBorder="1">
      <alignment vertical="center"/>
    </xf>
    <xf numFmtId="0" fontId="6" fillId="2" borderId="10" xfId="0" applyFont="1" applyFill="1" applyBorder="1">
      <alignment vertical="center"/>
    </xf>
    <xf numFmtId="0" fontId="7" fillId="0" borderId="0" xfId="0" applyFont="1" applyBorder="1" applyAlignment="1">
      <alignment horizontal="right" vertical="center"/>
    </xf>
    <xf numFmtId="0" fontId="7" fillId="0" borderId="0" xfId="0" applyFont="1" applyBorder="1">
      <alignment vertical="center"/>
    </xf>
    <xf numFmtId="0" fontId="10" fillId="0" borderId="0" xfId="0" applyFont="1" applyBorder="1">
      <alignment vertical="center"/>
    </xf>
    <xf numFmtId="0" fontId="6" fillId="0" borderId="0" xfId="0" applyFont="1" applyBorder="1" applyAlignment="1">
      <alignment vertical="center"/>
    </xf>
    <xf numFmtId="0" fontId="7" fillId="2" borderId="0" xfId="0" applyFont="1" applyFill="1" applyBorder="1">
      <alignment vertical="center"/>
    </xf>
    <xf numFmtId="0" fontId="6" fillId="2" borderId="0" xfId="0" applyFont="1" applyFill="1" applyBorder="1">
      <alignment vertical="center"/>
    </xf>
    <xf numFmtId="0" fontId="7" fillId="0" borderId="6" xfId="0" applyFont="1" applyBorder="1">
      <alignment vertical="center"/>
    </xf>
    <xf numFmtId="0" fontId="10" fillId="0" borderId="6" xfId="0" applyFont="1" applyBorder="1">
      <alignment vertical="center"/>
    </xf>
    <xf numFmtId="0" fontId="6" fillId="0" borderId="6" xfId="0" applyFont="1" applyBorder="1" applyAlignment="1">
      <alignment vertical="center"/>
    </xf>
    <xf numFmtId="0" fontId="7" fillId="0" borderId="6" xfId="0" applyFont="1" applyBorder="1" applyAlignment="1">
      <alignment horizontal="right" vertical="center"/>
    </xf>
    <xf numFmtId="0" fontId="15" fillId="0" borderId="1" xfId="0" applyFont="1" applyBorder="1" applyAlignment="1">
      <alignment horizontal="centerContinuous" vertical="center"/>
    </xf>
    <xf numFmtId="0" fontId="11" fillId="2" borderId="35" xfId="0" quotePrefix="1" applyFont="1" applyFill="1" applyBorder="1" applyAlignment="1">
      <alignment horizontal="centerContinuous" vertical="center"/>
    </xf>
    <xf numFmtId="0" fontId="12" fillId="2" borderId="35" xfId="0" quotePrefix="1" applyFont="1" applyFill="1" applyBorder="1" applyAlignment="1">
      <alignment horizontal="centerContinuous" vertical="center"/>
    </xf>
    <xf numFmtId="0" fontId="16" fillId="3" borderId="2" xfId="0" applyFont="1" applyFill="1" applyBorder="1" applyAlignment="1">
      <alignment horizontal="right" vertical="center" indent="1"/>
    </xf>
    <xf numFmtId="0" fontId="7" fillId="2" borderId="10" xfId="0" applyFont="1" applyFill="1" applyBorder="1" applyAlignment="1">
      <alignment horizontal="left" vertical="center" indent="1"/>
    </xf>
    <xf numFmtId="177" fontId="8" fillId="0" borderId="0" xfId="0" applyNumberFormat="1" applyFont="1">
      <alignment vertical="center"/>
    </xf>
    <xf numFmtId="0" fontId="7" fillId="2" borderId="6" xfId="0" applyFont="1" applyFill="1" applyBorder="1">
      <alignment vertical="center"/>
    </xf>
    <xf numFmtId="0" fontId="7" fillId="0" borderId="30" xfId="0" applyFont="1" applyBorder="1" applyAlignment="1">
      <alignment horizontal="left" vertical="center" indent="1"/>
    </xf>
    <xf numFmtId="0" fontId="7" fillId="0" borderId="31" xfId="0" applyFont="1" applyBorder="1">
      <alignment vertical="center"/>
    </xf>
    <xf numFmtId="0" fontId="7" fillId="2" borderId="0" xfId="0" applyFont="1" applyFill="1">
      <alignment vertical="center"/>
    </xf>
    <xf numFmtId="0" fontId="7" fillId="2" borderId="22" xfId="0" applyFont="1" applyFill="1" applyBorder="1">
      <alignment vertical="center"/>
    </xf>
    <xf numFmtId="0" fontId="7" fillId="2" borderId="43" xfId="0" applyFont="1" applyFill="1" applyBorder="1">
      <alignment vertical="center"/>
    </xf>
    <xf numFmtId="0" fontId="7" fillId="2" borderId="34" xfId="0" applyFont="1" applyFill="1" applyBorder="1">
      <alignment vertical="center"/>
    </xf>
    <xf numFmtId="0" fontId="7" fillId="2" borderId="39" xfId="0" applyFont="1" applyFill="1" applyBorder="1">
      <alignment vertical="center"/>
    </xf>
    <xf numFmtId="0" fontId="6" fillId="2" borderId="22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right" vertical="center"/>
    </xf>
    <xf numFmtId="0" fontId="6" fillId="0" borderId="13" xfId="0" applyFont="1" applyBorder="1" applyAlignment="1">
      <alignment horizontal="right" vertical="center"/>
    </xf>
    <xf numFmtId="0" fontId="6" fillId="0" borderId="20" xfId="0" applyFont="1" applyBorder="1" applyAlignment="1">
      <alignment horizontal="right" vertical="center"/>
    </xf>
    <xf numFmtId="0" fontId="6" fillId="0" borderId="21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6" fillId="2" borderId="23" xfId="0" applyFont="1" applyFill="1" applyBorder="1" applyAlignment="1">
      <alignment horizontal="right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right" vertical="center"/>
    </xf>
    <xf numFmtId="0" fontId="6" fillId="0" borderId="25" xfId="0" applyFont="1" applyBorder="1" applyAlignment="1">
      <alignment horizontal="right" vertical="center"/>
    </xf>
    <xf numFmtId="0" fontId="6" fillId="0" borderId="26" xfId="0" applyFont="1" applyBorder="1" applyAlignment="1">
      <alignment horizontal="right" vertical="center"/>
    </xf>
    <xf numFmtId="0" fontId="6" fillId="0" borderId="6" xfId="0" applyFont="1" applyBorder="1" applyAlignment="1">
      <alignment horizontal="right" vertical="center"/>
    </xf>
    <xf numFmtId="0" fontId="6" fillId="0" borderId="24" xfId="0" applyFont="1" applyBorder="1" applyAlignment="1">
      <alignment horizontal="right" vertical="center"/>
    </xf>
    <xf numFmtId="0" fontId="6" fillId="0" borderId="27" xfId="0" applyFont="1" applyBorder="1" applyAlignment="1">
      <alignment horizontal="right" vertical="center"/>
    </xf>
    <xf numFmtId="0" fontId="6" fillId="2" borderId="18" xfId="0" applyFont="1" applyFill="1" applyBorder="1" applyAlignment="1">
      <alignment horizontal="right" vertical="center"/>
    </xf>
    <xf numFmtId="0" fontId="6" fillId="2" borderId="10" xfId="0" applyFont="1" applyFill="1" applyBorder="1" applyAlignment="1">
      <alignment horizontal="right" vertical="center"/>
    </xf>
    <xf numFmtId="0" fontId="7" fillId="2" borderId="10" xfId="0" applyFont="1" applyFill="1" applyBorder="1" applyAlignment="1">
      <alignment horizontal="right" vertical="center"/>
    </xf>
    <xf numFmtId="0" fontId="6" fillId="2" borderId="19" xfId="0" applyFont="1" applyFill="1" applyBorder="1" applyAlignment="1">
      <alignment horizontal="right" vertical="center"/>
    </xf>
    <xf numFmtId="0" fontId="17" fillId="4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horizontal="center" vertical="center"/>
    </xf>
    <xf numFmtId="0" fontId="6" fillId="0" borderId="28" xfId="0" applyFont="1" applyBorder="1" applyAlignment="1">
      <alignment horizontal="left" vertical="center" indent="1"/>
    </xf>
    <xf numFmtId="0" fontId="6" fillId="0" borderId="29" xfId="0" applyFont="1" applyBorder="1" applyAlignment="1">
      <alignment horizontal="left" vertical="center" indent="1"/>
    </xf>
    <xf numFmtId="0" fontId="6" fillId="0" borderId="30" xfId="0" applyFont="1" applyBorder="1" applyAlignment="1">
      <alignment horizontal="left" vertical="center" indent="1"/>
    </xf>
    <xf numFmtId="0" fontId="6" fillId="0" borderId="31" xfId="0" applyFont="1" applyBorder="1" applyAlignment="1">
      <alignment horizontal="left" vertical="center" indent="1"/>
    </xf>
    <xf numFmtId="0" fontId="7" fillId="2" borderId="19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left" vertical="center" indent="1"/>
    </xf>
    <xf numFmtId="0" fontId="7" fillId="2" borderId="10" xfId="0" applyFont="1" applyFill="1" applyBorder="1" applyAlignment="1">
      <alignment horizontal="left" vertical="center" indent="1"/>
    </xf>
    <xf numFmtId="0" fontId="6" fillId="0" borderId="40" xfId="0" applyFont="1" applyBorder="1" applyAlignment="1">
      <alignment horizontal="left" vertical="center" indent="1"/>
    </xf>
    <xf numFmtId="0" fontId="6" fillId="0" borderId="41" xfId="0" applyFont="1" applyBorder="1" applyAlignment="1">
      <alignment horizontal="left" vertical="center" indent="1"/>
    </xf>
    <xf numFmtId="0" fontId="7" fillId="2" borderId="42" xfId="0" applyFont="1" applyFill="1" applyBorder="1" applyAlignment="1">
      <alignment horizontal="left" vertical="center" indent="1"/>
    </xf>
    <xf numFmtId="0" fontId="7" fillId="2" borderId="33" xfId="0" applyFont="1" applyFill="1" applyBorder="1" applyAlignment="1">
      <alignment horizontal="left" vertical="center" indent="1"/>
    </xf>
    <xf numFmtId="0" fontId="18" fillId="5" borderId="0" xfId="0" applyFont="1" applyFill="1" applyAlignment="1">
      <alignment horizontal="center" vertical="center" wrapText="1"/>
    </xf>
    <xf numFmtId="0" fontId="18" fillId="5" borderId="0" xfId="0" applyFont="1" applyFill="1" applyAlignment="1">
      <alignment horizontal="center" vertical="center"/>
    </xf>
    <xf numFmtId="0" fontId="6" fillId="0" borderId="44" xfId="0" applyFont="1" applyBorder="1" applyAlignment="1">
      <alignment horizontal="left" vertical="center" indent="1"/>
    </xf>
    <xf numFmtId="0" fontId="6" fillId="0" borderId="45" xfId="0" applyFont="1" applyBorder="1" applyAlignment="1">
      <alignment horizontal="left" vertical="center" indent="1"/>
    </xf>
    <xf numFmtId="0" fontId="7" fillId="2" borderId="22" xfId="0" applyFont="1" applyFill="1" applyBorder="1" applyAlignment="1">
      <alignment horizontal="left" vertical="center" indent="1"/>
    </xf>
    <xf numFmtId="0" fontId="7" fillId="2" borderId="0" xfId="0" applyFont="1" applyFill="1" applyAlignment="1">
      <alignment horizontal="left" vertical="center" indent="1"/>
    </xf>
    <xf numFmtId="178" fontId="6" fillId="0" borderId="0" xfId="0" applyNumberFormat="1" applyFont="1" applyAlignment="1">
      <alignment horizontal="right" vertical="center"/>
    </xf>
    <xf numFmtId="178" fontId="6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14" fillId="0" borderId="0" xfId="0" applyNumberFormat="1" applyFont="1" applyAlignment="1">
      <alignment horizontal="center" vertical="center"/>
    </xf>
  </cellXfs>
  <cellStyles count="2">
    <cellStyle name="쉼표 [0] 2" xfId="1" xr:uid="{4B050377-B97D-4A5D-A8A8-7AC8E5BA7327}"/>
    <cellStyle name="표준" xfId="0" builtinId="0"/>
  </cellStyles>
  <dxfs count="5"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414330218068536E-2"/>
          <c:y val="8.5096910963052691E-2"/>
          <c:w val="0.93196261682242987"/>
          <c:h val="0.596411371715162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'1.NPS대시보드'!$BH$5</c:f>
              <c:strCache>
                <c:ptCount val="1"/>
                <c:pt idx="0">
                  <c:v>NPS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BD4-4EC5-A6FF-1A1C4012AAF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BD4-4EC5-A6FF-1A1C4012AAF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BD4-4EC5-A6FF-1A1C4012AAF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BD4-4EC5-A6FF-1A1C4012AAF2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'1.NPS대시보드'!$BG$6:$BG$10</c:f>
              <c:strCache>
                <c:ptCount val="5"/>
                <c:pt idx="0">
                  <c:v>{{S1_지역영업그룹_1}}</c:v>
                </c:pt>
                <c:pt idx="1">
                  <c:v>{{S1_지역영업그룹_2}}</c:v>
                </c:pt>
                <c:pt idx="2">
                  <c:v>{{S1_지역영업그룹_3}}</c:v>
                </c:pt>
                <c:pt idx="3">
                  <c:v>{{S1_지역영업그룹_4}}</c:v>
                </c:pt>
                <c:pt idx="4">
                  <c:v>{{S1_지역영업그룹_5}}</c:v>
                </c:pt>
              </c:strCache>
            </c:strRef>
          </c:cat>
          <c:val>
            <c:numRef>
              <c:f>'1.NPS대시보드'!$BH$6:$BH$10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BD4-4EC5-A6FF-1A1C4012A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1008662040"/>
        <c:axId val="1008660072"/>
      </c:barChart>
      <c:lineChart>
        <c:grouping val="standard"/>
        <c:varyColors val="0"/>
        <c:ser>
          <c:idx val="1"/>
          <c:order val="1"/>
          <c:tx>
            <c:strRef>
              <c:f>'1.NPS대시보드'!$BI$5</c:f>
              <c:strCache>
                <c:ptCount val="1"/>
                <c:pt idx="0">
                  <c:v>전행NPS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'1.NPS대시보드'!$BG$6:$BG$10</c:f>
              <c:strCache>
                <c:ptCount val="5"/>
                <c:pt idx="0">
                  <c:v>{{S1_지역영업그룹_1}}</c:v>
                </c:pt>
                <c:pt idx="1">
                  <c:v>{{S1_지역영업그룹_2}}</c:v>
                </c:pt>
                <c:pt idx="2">
                  <c:v>{{S1_지역영업그룹_3}}</c:v>
                </c:pt>
                <c:pt idx="3">
                  <c:v>{{S1_지역영업그룹_4}}</c:v>
                </c:pt>
                <c:pt idx="4">
                  <c:v>{{S1_지역영업그룹_5}}</c:v>
                </c:pt>
              </c:strCache>
            </c:strRef>
          </c:cat>
          <c:val>
            <c:numRef>
              <c:f>'1.NPS대시보드'!$BI$6:$BI$10</c:f>
              <c:numCache>
                <c:formatCode>#,##0.0;[Red]\-#,##0.0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BD4-4EC5-A6FF-1A1C4012A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662040"/>
        <c:axId val="1008660072"/>
      </c:lineChart>
      <c:catAx>
        <c:axId val="1008662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08660072"/>
        <c:crosses val="autoZero"/>
        <c:auto val="1"/>
        <c:lblAlgn val="ctr"/>
        <c:lblOffset val="0"/>
        <c:noMultiLvlLbl val="0"/>
      </c:catAx>
      <c:valAx>
        <c:axId val="1008660072"/>
        <c:scaling>
          <c:orientation val="minMax"/>
          <c:max val="75"/>
          <c:min val="0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08662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'1.NPS대시보드'!$BH$20</c:f>
              <c:strCache>
                <c:ptCount val="1"/>
                <c:pt idx="0">
                  <c:v>추천비율</c:v>
                </c:pt>
              </c:strCache>
            </c:strRef>
          </c:tx>
          <c:spPr>
            <a:solidFill>
              <a:srgbClr val="FFC000"/>
            </a:solidFill>
            <a:ln w="19050">
              <a:solidFill>
                <a:schemeClr val="bg1"/>
              </a:solidFill>
              <a:prstDash val="solid"/>
            </a:ln>
          </c:spPr>
          <c:invertIfNegative val="0"/>
          <c:dLbls>
            <c:dLbl>
              <c:idx val="0"/>
              <c:numFmt formatCode="#,##0.0_);[Red]\(#,##0.0\)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KB금융 본문체 Light" panose="020B0303000000000000" pitchFamily="50" charset="-127"/>
                      <a:ea typeface="KB금융 본문체 Light" panose="020B0303000000000000" pitchFamily="50" charset="-127"/>
                      <a:cs typeface="+mn-cs"/>
                    </a:defRPr>
                  </a:pPr>
                  <a:endParaRPr lang="ko-K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EF68-478B-B050-FBDEFCD6CB79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'1.NPS대시보드'!$BG$21:$BG$32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'1.NPS대시보드'!$BH$21:$BH$32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68-478B-B050-FBDEFCD6CB79}"/>
            </c:ext>
          </c:extLst>
        </c:ser>
        <c:ser>
          <c:idx val="1"/>
          <c:order val="1"/>
          <c:tx>
            <c:strRef>
              <c:f>'1.NPS대시보드'!$BI$20</c:f>
              <c:strCache>
                <c:ptCount val="1"/>
                <c:pt idx="0">
                  <c:v>중립비율</c:v>
                </c:pt>
              </c:strCache>
            </c:strRef>
          </c:tx>
          <c:spPr>
            <a:solidFill>
              <a:schemeClr val="bg2"/>
            </a:solidFill>
            <a:ln w="19050">
              <a:solidFill>
                <a:schemeClr val="bg1"/>
              </a:solidFill>
              <a:prstDash val="solid"/>
            </a:ln>
          </c:spPr>
          <c:invertIfNegative val="0"/>
          <c:dLbls>
            <c:numFmt formatCode="#,##0.0_);[Red]\(#,##0.0\)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'1.NPS대시보드'!$BG$21:$BG$32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'1.NPS대시보드'!$BI$21:$BI$32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68-478B-B050-FBDEFCD6CB79}"/>
            </c:ext>
          </c:extLst>
        </c:ser>
        <c:ser>
          <c:idx val="2"/>
          <c:order val="2"/>
          <c:tx>
            <c:strRef>
              <c:f>'1.NPS대시보드'!$BJ$20</c:f>
              <c:strCache>
                <c:ptCount val="1"/>
                <c:pt idx="0">
                  <c:v>비추천비율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bg1"/>
              </a:solidFill>
              <a:prstDash val="solid"/>
            </a:ln>
          </c:spPr>
          <c:invertIfNegative val="0"/>
          <c:dLbls>
            <c:numFmt formatCode="#,##0.0_);[Red]\(#,##0.0\)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'1.NPS대시보드'!$BG$21:$BG$32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'1.NPS대시보드'!$BJ$21:$BJ$32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68-478B-B050-FBDEFCD6C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serLines>
          <c:spPr>
            <a:ln>
              <a:solidFill>
                <a:schemeClr val="bg1">
                  <a:lumMod val="65000"/>
                </a:schemeClr>
              </a:solidFill>
            </a:ln>
          </c:spPr>
        </c:serLines>
        <c:axId val="1014889400"/>
        <c:axId val="1014889728"/>
      </c:barChart>
      <c:lineChart>
        <c:grouping val="standard"/>
        <c:varyColors val="0"/>
        <c:ser>
          <c:idx val="3"/>
          <c:order val="3"/>
          <c:tx>
            <c:strRef>
              <c:f>'1.NPS대시보드'!$BK$20</c:f>
              <c:strCache>
                <c:ptCount val="1"/>
                <c:pt idx="0">
                  <c:v>NPS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 w="12700">
                <a:solidFill>
                  <a:schemeClr val="accent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>
                    <a:latin typeface="KB금융 본문체 Light" panose="020B0303000000000000" pitchFamily="50" charset="-127"/>
                    <a:ea typeface="KB금융 본문체 Light" panose="020B0303000000000000" pitchFamily="50" charset="-127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'1.NPS대시보드'!$BG$21:$BG$32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'1.NPS대시보드'!$BK$21:$BK$32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F68-478B-B050-FBDEFCD6C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3880136"/>
        <c:axId val="883881448"/>
      </c:lineChart>
      <c:catAx>
        <c:axId val="1014889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14889728"/>
        <c:crosses val="autoZero"/>
        <c:auto val="1"/>
        <c:lblAlgn val="ctr"/>
        <c:lblOffset val="100"/>
        <c:noMultiLvlLbl val="0"/>
      </c:catAx>
      <c:valAx>
        <c:axId val="1014889728"/>
        <c:scaling>
          <c:orientation val="minMax"/>
        </c:scaling>
        <c:delete val="0"/>
        <c:axPos val="l"/>
        <c:numFmt formatCode="#,##0.0;[Red]\-#,##0.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bg1"/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14889400"/>
        <c:crosses val="autoZero"/>
        <c:crossBetween val="between"/>
      </c:valAx>
      <c:valAx>
        <c:axId val="883881448"/>
        <c:scaling>
          <c:orientation val="minMax"/>
          <c:max val="80"/>
          <c:min val="0"/>
        </c:scaling>
        <c:delete val="0"/>
        <c:axPos val="r"/>
        <c:numFmt formatCode="#,##0.0;[Red]\-#,##0.0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>
                <a:solidFill>
                  <a:schemeClr val="bg1"/>
                </a:solidFill>
              </a:defRPr>
            </a:pPr>
            <a:endParaRPr lang="ko-KR"/>
          </a:p>
        </c:txPr>
        <c:crossAx val="883880136"/>
        <c:crosses val="max"/>
        <c:crossBetween val="between"/>
      </c:valAx>
      <c:catAx>
        <c:axId val="883880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83881448"/>
        <c:crosses val="autoZero"/>
        <c:auto val="1"/>
        <c:lblAlgn val="ctr"/>
        <c:lblOffset val="100"/>
        <c:noMultiLvlLbl val="0"/>
      </c:catAx>
      <c:spPr>
        <a:noFill/>
      </c:spPr>
    </c:plotArea>
    <c:legend>
      <c:legendPos val="t"/>
      <c:layout>
        <c:manualLayout>
          <c:xMode val="edge"/>
          <c:yMode val="edge"/>
          <c:x val="0.49183451949184143"/>
          <c:y val="2.7777912376337574E-2"/>
          <c:w val="0.43668555485627286"/>
          <c:h val="9.6827489109996126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41433021806854E-2"/>
          <c:y val="8.5096910963052691E-2"/>
          <c:w val="0.93196261682242987"/>
          <c:h val="0.596411371715162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'2.VOC대시보드'!$BH$5</c:f>
              <c:strCache>
                <c:ptCount val="1"/>
                <c:pt idx="0">
                  <c:v>CCI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EB5-4322-BE1A-AD8D56A5432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EB5-4322-BE1A-AD8D56A5432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EB5-4322-BE1A-AD8D56A5432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EB5-4322-BE1A-AD8D56A5432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'2.VOC대시보드'!$BG$6:$BG$10</c:f>
              <c:strCache>
                <c:ptCount val="5"/>
                <c:pt idx="0">
                  <c:v>강남영업추진그룹</c:v>
                </c:pt>
                <c:pt idx="1">
                  <c:v>강북영업추진그룹</c:v>
                </c:pt>
                <c:pt idx="2">
                  <c:v>수도권영업추진그룹</c:v>
                </c:pt>
                <c:pt idx="3">
                  <c:v>영남영업추진그룹</c:v>
                </c:pt>
                <c:pt idx="4">
                  <c:v>충청호남영업추진그룹</c:v>
                </c:pt>
              </c:strCache>
            </c:strRef>
          </c:cat>
          <c:val>
            <c:numRef>
              <c:f>'2.VOC대시보드'!$BH$6:$BH$10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EB5-4322-BE1A-AD8D56A54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1008662040"/>
        <c:axId val="1008660072"/>
      </c:barChart>
      <c:lineChart>
        <c:grouping val="standard"/>
        <c:varyColors val="0"/>
        <c:ser>
          <c:idx val="1"/>
          <c:order val="1"/>
          <c:tx>
            <c:strRef>
              <c:f>'2.VOC대시보드'!$BI$5</c:f>
              <c:strCache>
                <c:ptCount val="1"/>
                <c:pt idx="0">
                  <c:v>전행CCI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ysDot"/>
              <a:round/>
            </a:ln>
          </c:spPr>
          <c:marker>
            <c:symbol val="none"/>
          </c:marker>
          <c:cat>
            <c:strRef>
              <c:f>'2.VOC대시보드'!$BG$6:$BG$10</c:f>
              <c:strCache>
                <c:ptCount val="5"/>
                <c:pt idx="0">
                  <c:v>강남영업추진그룹</c:v>
                </c:pt>
                <c:pt idx="1">
                  <c:v>강북영업추진그룹</c:v>
                </c:pt>
                <c:pt idx="2">
                  <c:v>수도권영업추진그룹</c:v>
                </c:pt>
                <c:pt idx="3">
                  <c:v>영남영업추진그룹</c:v>
                </c:pt>
                <c:pt idx="4">
                  <c:v>충청호남영업추진그룹</c:v>
                </c:pt>
              </c:strCache>
            </c:strRef>
          </c:cat>
          <c:val>
            <c:numRef>
              <c:f>'2.VOC대시보드'!$BI$6:$BI$10</c:f>
              <c:numCache>
                <c:formatCode>#,##0.0;[Red]\-#,##0.0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EB5-4322-BE1A-AD8D56A54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662040"/>
        <c:axId val="1008660072"/>
      </c:lineChart>
      <c:catAx>
        <c:axId val="1008662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08660072"/>
        <c:crosses val="autoZero"/>
        <c:auto val="1"/>
        <c:lblAlgn val="ctr"/>
        <c:lblOffset val="0"/>
        <c:noMultiLvlLbl val="0"/>
      </c:catAx>
      <c:valAx>
        <c:axId val="1008660072"/>
        <c:scaling>
          <c:orientation val="minMax"/>
          <c:max val="30"/>
          <c:min val="0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08662040"/>
        <c:crosses val="autoZero"/>
        <c:crossBetween val="between"/>
      </c:valAx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'2.VOC대시보드'!$BH$20</c:f>
              <c:strCache>
                <c:ptCount val="1"/>
                <c:pt idx="0">
                  <c:v>칭찬비율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 w="19050">
              <a:solidFill>
                <a:schemeClr val="bg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'2.VOC대시보드'!$BG$21:$BG$32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'2.VOC대시보드'!$BH$21:$BH$32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B5-445D-9E75-80959CAFA9F9}"/>
            </c:ext>
          </c:extLst>
        </c:ser>
        <c:ser>
          <c:idx val="1"/>
          <c:order val="1"/>
          <c:tx>
            <c:strRef>
              <c:f>'2.VOC대시보드'!$BI$20</c:f>
              <c:strCache>
                <c:ptCount val="1"/>
                <c:pt idx="0">
                  <c:v>불만비율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bg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'2.VOC대시보드'!$BG$21:$BG$32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'2.VOC대시보드'!$BI$21:$BI$32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B5-445D-9E75-80959CAFA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serLines>
          <c:spPr>
            <a:ln>
              <a:solidFill>
                <a:schemeClr val="bg1">
                  <a:lumMod val="65000"/>
                </a:schemeClr>
              </a:solidFill>
              <a:prstDash val="solid"/>
            </a:ln>
          </c:spPr>
        </c:serLines>
        <c:axId val="1014889400"/>
        <c:axId val="1014889728"/>
      </c:barChart>
      <c:lineChart>
        <c:grouping val="standard"/>
        <c:varyColors val="0"/>
        <c:ser>
          <c:idx val="2"/>
          <c:order val="2"/>
          <c:tx>
            <c:strRef>
              <c:f>'2.VOC대시보드'!$BJ$20</c:f>
              <c:strCache>
                <c:ptCount val="1"/>
                <c:pt idx="0">
                  <c:v>CCI</c:v>
                </c:pt>
              </c:strCache>
            </c:strRef>
          </c:tx>
          <c:spPr>
            <a:ln w="19050">
              <a:solidFill>
                <a:srgbClr val="FF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  <a:ln w="12700">
                <a:solidFill>
                  <a:srgbClr val="FFC000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strike="noStrike" kern="1200" baseline="0">
                    <a:solidFill>
                      <a:sysClr val="windowText" lastClr="000000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'2.VOC대시보드'!$BG$21:$BG$32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'2.VOC대시보드'!$BJ$21:$BJ$32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2B5-445D-9E75-80959CAFA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9887608"/>
        <c:axId val="509890232"/>
      </c:lineChart>
      <c:catAx>
        <c:axId val="1014889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14889728"/>
        <c:crosses val="autoZero"/>
        <c:auto val="1"/>
        <c:lblAlgn val="ctr"/>
        <c:lblOffset val="100"/>
        <c:noMultiLvlLbl val="0"/>
      </c:catAx>
      <c:valAx>
        <c:axId val="1014889728"/>
        <c:scaling>
          <c:orientation val="minMax"/>
        </c:scaling>
        <c:delete val="0"/>
        <c:axPos val="l"/>
        <c:numFmt formatCode="#,##0.0;[Red]\-#,##0.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bg1"/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14889400"/>
        <c:crosses val="autoZero"/>
        <c:crossBetween val="between"/>
      </c:valAx>
      <c:catAx>
        <c:axId val="5098876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9890232"/>
        <c:crosses val="autoZero"/>
        <c:auto val="1"/>
        <c:lblAlgn val="ctr"/>
        <c:lblOffset val="100"/>
        <c:noMultiLvlLbl val="0"/>
      </c:catAx>
      <c:valAx>
        <c:axId val="509890232"/>
        <c:scaling>
          <c:orientation val="minMax"/>
        </c:scaling>
        <c:delete val="0"/>
        <c:axPos val="r"/>
        <c:numFmt formatCode="#,##0.0;[Red]\-#,##0.0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/>
          <a:lstStyle/>
          <a:p>
            <a:pPr>
              <a:defRPr>
                <a:noFill/>
              </a:defRPr>
            </a:pPr>
            <a:endParaRPr lang="ko-KR"/>
          </a:p>
        </c:txPr>
        <c:crossAx val="509887608"/>
        <c:crosses val="max"/>
        <c:crossBetween val="between"/>
      </c:valAx>
    </c:plotArea>
    <c:legend>
      <c:legendPos val="t"/>
      <c:layout>
        <c:manualLayout>
          <c:xMode val="edge"/>
          <c:yMode val="edge"/>
          <c:x val="0.59619800210427121"/>
          <c:y val="2.777777777777778E-2"/>
          <c:w val="0.30397847783502069"/>
          <c:h val="9.6827489109996126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16564</xdr:colOff>
      <xdr:row>4</xdr:row>
      <xdr:rowOff>148672</xdr:rowOff>
    </xdr:from>
    <xdr:to>
      <xdr:col>55</xdr:col>
      <xdr:colOff>93306</xdr:colOff>
      <xdr:row>15</xdr:row>
      <xdr:rowOff>98977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D4AEA90-5883-4DEA-9B66-6E629AF72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140805</xdr:rowOff>
    </xdr:from>
    <xdr:to>
      <xdr:col>57</xdr:col>
      <xdr:colOff>1</xdr:colOff>
      <xdr:row>26</xdr:row>
      <xdr:rowOff>161925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487EADF8-8679-4C43-9097-39066F501F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5</xdr:row>
      <xdr:rowOff>0</xdr:rowOff>
    </xdr:from>
    <xdr:to>
      <xdr:col>55</xdr:col>
      <xdr:colOff>76742</xdr:colOff>
      <xdr:row>15</xdr:row>
      <xdr:rowOff>140805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580DE28A-A606-4AEB-A6A9-6D1A7754EE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57</xdr:col>
      <xdr:colOff>1</xdr:colOff>
      <xdr:row>27</xdr:row>
      <xdr:rowOff>21120</xdr:rowOff>
    </xdr:to>
    <xdr:graphicFrame macro="">
      <xdr:nvGraphicFramePr>
        <xdr:cNvPr id="11" name="Chart 2">
          <a:extLst>
            <a:ext uri="{FF2B5EF4-FFF2-40B4-BE49-F238E27FC236}">
              <a16:creationId xmlns:a16="http://schemas.microsoft.com/office/drawing/2014/main" id="{BC7245B6-EB39-4A23-8425-417BC00953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B751D-FA45-4F88-B653-2421280BA5F4}">
  <sheetPr>
    <tabColor theme="7"/>
  </sheetPr>
  <dimension ref="A1:BR133"/>
  <sheetViews>
    <sheetView showGridLines="0" tabSelected="1" view="pageBreakPreview" zoomScaleNormal="100" zoomScaleSheetLayoutView="100" workbookViewId="0">
      <selection activeCell="BF2" sqref="BF2"/>
    </sheetView>
  </sheetViews>
  <sheetFormatPr defaultColWidth="9.625" defaultRowHeight="15" customHeight="1" x14ac:dyDescent="0.3"/>
  <cols>
    <col min="1" max="57" width="1.625" style="7" customWidth="1"/>
    <col min="58" max="16384" width="9.625" style="5"/>
  </cols>
  <sheetData>
    <row r="1" spans="1:67" ht="8.1" customHeight="1" thickBot="1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</row>
    <row r="2" spans="1:67" ht="28.5" customHeight="1" thickTop="1" thickBot="1" x14ac:dyDescent="0.35">
      <c r="A2" s="5"/>
      <c r="B2" s="29" t="s">
        <v>37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5"/>
    </row>
    <row r="3" spans="1:67" ht="16.5" customHeight="1" thickTop="1" x14ac:dyDescent="0.3">
      <c r="A3" s="5"/>
      <c r="B3" s="28" t="s">
        <v>489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5"/>
    </row>
    <row r="4" spans="1:67" s="13" customFormat="1" ht="12" customHeight="1" x14ac:dyDescent="0.3">
      <c r="A4" s="2"/>
      <c r="B4" s="10" t="s">
        <v>0</v>
      </c>
      <c r="C4" s="4"/>
      <c r="D4" s="4"/>
      <c r="E4" s="4"/>
      <c r="F4" s="4"/>
      <c r="G4" s="4"/>
      <c r="H4" s="4"/>
      <c r="I4" s="4"/>
      <c r="J4" s="4"/>
      <c r="K4" s="3"/>
      <c r="L4" s="3"/>
      <c r="M4" s="3"/>
      <c r="N4" s="3"/>
      <c r="O4" s="3"/>
      <c r="P4" s="3"/>
      <c r="Q4" s="3"/>
      <c r="R4" s="3"/>
      <c r="S4" s="4"/>
      <c r="T4" s="4"/>
      <c r="U4" s="4"/>
      <c r="V4" s="4"/>
      <c r="W4" s="4"/>
      <c r="X4" s="4"/>
      <c r="Y4" s="4"/>
      <c r="Z4" s="4"/>
      <c r="AA4" s="3"/>
      <c r="AB4" s="3"/>
      <c r="AC4" s="3"/>
      <c r="AD4" s="3"/>
      <c r="AE4" s="3"/>
      <c r="AF4" s="3"/>
      <c r="AG4" s="3"/>
      <c r="AH4" s="3"/>
      <c r="AI4" s="4"/>
      <c r="AJ4" s="4"/>
      <c r="AK4" s="4"/>
      <c r="AL4" s="4"/>
      <c r="AM4" s="4"/>
      <c r="AN4" s="4"/>
      <c r="AO4" s="4"/>
      <c r="AP4" s="4"/>
      <c r="AQ4" s="3"/>
      <c r="AR4" s="3"/>
      <c r="AS4" s="3"/>
      <c r="AT4" s="3"/>
      <c r="AU4" s="3"/>
      <c r="AV4" s="3"/>
      <c r="AW4" s="3"/>
      <c r="AX4" s="3"/>
      <c r="AY4" s="4"/>
      <c r="AZ4" s="4"/>
      <c r="BA4" s="4"/>
      <c r="BB4" s="4"/>
      <c r="BC4" s="12"/>
      <c r="BD4" s="31" t="s">
        <v>488</v>
      </c>
      <c r="BE4" s="2"/>
      <c r="BL4" s="5"/>
      <c r="BM4" s="5"/>
      <c r="BN4" s="5"/>
      <c r="BO4" s="5"/>
    </row>
    <row r="5" spans="1:67" ht="15" customHeight="1" x14ac:dyDescent="0.3">
      <c r="BG5" s="5" t="s">
        <v>41</v>
      </c>
      <c r="BH5" s="5" t="s">
        <v>23</v>
      </c>
      <c r="BI5" s="5" t="s">
        <v>40</v>
      </c>
    </row>
    <row r="6" spans="1:67" ht="15" customHeight="1" x14ac:dyDescent="0.3">
      <c r="C6" s="78" t="s">
        <v>749</v>
      </c>
      <c r="D6" s="79"/>
      <c r="E6" s="79"/>
      <c r="F6" s="79"/>
      <c r="G6" s="79"/>
      <c r="H6" s="79"/>
      <c r="I6" s="79"/>
      <c r="J6" s="79"/>
      <c r="K6" s="79"/>
      <c r="L6" s="79"/>
      <c r="M6" s="79"/>
      <c r="BG6" s="5" t="s">
        <v>140</v>
      </c>
      <c r="BH6" s="5" t="s">
        <v>57</v>
      </c>
      <c r="BI6" s="9" t="s">
        <v>52</v>
      </c>
    </row>
    <row r="7" spans="1:67" ht="15" customHeight="1" x14ac:dyDescent="0.3">
      <c r="A7" s="6"/>
      <c r="B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G7" s="5" t="s">
        <v>141</v>
      </c>
      <c r="BH7" s="5" t="s">
        <v>58</v>
      </c>
      <c r="BI7" s="9" t="s">
        <v>53</v>
      </c>
    </row>
    <row r="8" spans="1:67" ht="15" customHeight="1" x14ac:dyDescent="0.3">
      <c r="A8" s="6"/>
      <c r="B8" s="6"/>
      <c r="C8" s="44" t="s">
        <v>38</v>
      </c>
      <c r="D8" s="44"/>
      <c r="E8" s="44"/>
      <c r="F8" s="44"/>
      <c r="H8" s="49" t="s">
        <v>51</v>
      </c>
      <c r="I8" s="49"/>
      <c r="J8" s="49"/>
      <c r="K8" s="50" t="s">
        <v>50</v>
      </c>
      <c r="L8" s="52"/>
      <c r="M8" s="52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G8" s="5" t="s">
        <v>142</v>
      </c>
      <c r="BH8" s="5" t="s">
        <v>59</v>
      </c>
      <c r="BI8" s="9" t="s">
        <v>54</v>
      </c>
    </row>
    <row r="9" spans="1:67" ht="15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G9" s="5" t="s">
        <v>143</v>
      </c>
      <c r="BH9" s="5" t="s">
        <v>60</v>
      </c>
      <c r="BI9" s="9" t="s">
        <v>55</v>
      </c>
    </row>
    <row r="10" spans="1:67" ht="15" customHeight="1" x14ac:dyDescent="0.3">
      <c r="A10" s="6"/>
      <c r="B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G10" s="5" t="s">
        <v>144</v>
      </c>
      <c r="BH10" s="5" t="s">
        <v>61</v>
      </c>
      <c r="BI10" s="9" t="s">
        <v>56</v>
      </c>
    </row>
    <row r="11" spans="1:67" ht="15" customHeight="1" x14ac:dyDescent="0.3">
      <c r="A11" s="6"/>
      <c r="B11" s="6"/>
      <c r="C11" s="50" t="s">
        <v>49</v>
      </c>
      <c r="D11" s="50"/>
      <c r="E11" s="50"/>
      <c r="F11" s="50"/>
      <c r="J11" s="50" t="s">
        <v>48</v>
      </c>
      <c r="K11" s="51"/>
      <c r="L11" s="51"/>
      <c r="M11" s="51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I11" s="9"/>
    </row>
    <row r="12" spans="1:67" ht="15" customHeight="1" x14ac:dyDescent="0.3">
      <c r="A12" s="6"/>
      <c r="B12" s="6"/>
      <c r="C12" s="11" t="s">
        <v>39</v>
      </c>
      <c r="D12" s="6"/>
      <c r="E12" s="6"/>
      <c r="F12" s="6"/>
      <c r="G12" s="6"/>
      <c r="H12" s="6"/>
      <c r="I12" s="6"/>
      <c r="J12" s="6"/>
      <c r="K12" s="6"/>
      <c r="L12" s="6"/>
      <c r="M12" s="14" t="s">
        <v>1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I12" s="9"/>
    </row>
    <row r="13" spans="1:67" ht="15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I13" s="9"/>
    </row>
    <row r="14" spans="1:67" ht="15" customHeigh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I14" s="9"/>
    </row>
    <row r="15" spans="1:67" ht="15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I15" s="9"/>
    </row>
    <row r="16" spans="1:67" ht="15" customHeight="1" x14ac:dyDescent="0.3">
      <c r="A16" s="6"/>
      <c r="B16" s="6"/>
      <c r="C16" s="78" t="s">
        <v>750</v>
      </c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I16" s="9"/>
    </row>
    <row r="17" spans="1:70" ht="15" customHeight="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I17" s="9"/>
    </row>
    <row r="18" spans="1:70" ht="15" customHeight="1" x14ac:dyDescent="0.3">
      <c r="BL18" s="9"/>
    </row>
    <row r="20" spans="1:70" ht="15" customHeight="1" x14ac:dyDescent="0.3">
      <c r="BG20" s="5" t="s">
        <v>24</v>
      </c>
      <c r="BH20" s="5" t="s">
        <v>8</v>
      </c>
      <c r="BI20" s="5" t="s">
        <v>9</v>
      </c>
      <c r="BJ20" s="5" t="s">
        <v>10</v>
      </c>
      <c r="BK20" s="5" t="s">
        <v>23</v>
      </c>
    </row>
    <row r="21" spans="1:70" ht="15" customHeight="1" x14ac:dyDescent="0.3">
      <c r="BG21" s="5" t="s">
        <v>25</v>
      </c>
      <c r="BH21" s="9" t="s">
        <v>62</v>
      </c>
      <c r="BI21" s="9" t="s">
        <v>63</v>
      </c>
      <c r="BJ21" s="9" t="s">
        <v>64</v>
      </c>
      <c r="BK21" s="9" t="s">
        <v>11</v>
      </c>
      <c r="BL21" s="9"/>
      <c r="BM21" s="9"/>
      <c r="BN21" s="9"/>
      <c r="BO21" s="9"/>
      <c r="BP21" s="9"/>
      <c r="BQ21" s="9"/>
      <c r="BR21" s="9"/>
    </row>
    <row r="22" spans="1:70" ht="15" customHeight="1" x14ac:dyDescent="0.3">
      <c r="BG22" s="5" t="s">
        <v>26</v>
      </c>
      <c r="BH22" s="9" t="s">
        <v>65</v>
      </c>
      <c r="BI22" s="9" t="s">
        <v>66</v>
      </c>
      <c r="BJ22" s="9" t="s">
        <v>67</v>
      </c>
      <c r="BK22" s="9" t="s">
        <v>12</v>
      </c>
      <c r="BL22" s="9"/>
      <c r="BM22" s="9"/>
      <c r="BN22" s="9"/>
      <c r="BO22" s="9"/>
      <c r="BP22" s="9"/>
      <c r="BQ22" s="9"/>
      <c r="BR22" s="9"/>
    </row>
    <row r="23" spans="1:70" ht="15" customHeight="1" x14ac:dyDescent="0.3">
      <c r="G23" s="8"/>
      <c r="BG23" s="5" t="s">
        <v>27</v>
      </c>
      <c r="BH23" s="9" t="s">
        <v>68</v>
      </c>
      <c r="BI23" s="9" t="s">
        <v>69</v>
      </c>
      <c r="BJ23" s="9" t="s">
        <v>70</v>
      </c>
      <c r="BK23" s="9" t="s">
        <v>13</v>
      </c>
      <c r="BL23" s="9"/>
      <c r="BM23" s="9"/>
      <c r="BN23" s="9"/>
      <c r="BO23" s="9"/>
      <c r="BP23" s="9"/>
      <c r="BQ23" s="9"/>
      <c r="BR23" s="9"/>
    </row>
    <row r="24" spans="1:70" ht="15" customHeight="1" x14ac:dyDescent="0.3">
      <c r="T24" s="8"/>
      <c r="BG24" s="5" t="s">
        <v>28</v>
      </c>
      <c r="BH24" s="9" t="s">
        <v>71</v>
      </c>
      <c r="BI24" s="9" t="s">
        <v>72</v>
      </c>
      <c r="BJ24" s="9" t="s">
        <v>73</v>
      </c>
      <c r="BK24" s="9" t="s">
        <v>14</v>
      </c>
      <c r="BL24" s="9"/>
      <c r="BM24" s="9"/>
      <c r="BN24" s="9"/>
      <c r="BO24" s="9"/>
      <c r="BP24" s="9"/>
      <c r="BQ24" s="9"/>
      <c r="BR24" s="9"/>
    </row>
    <row r="25" spans="1:70" ht="15" customHeight="1" x14ac:dyDescent="0.3">
      <c r="BG25" s="5" t="s">
        <v>29</v>
      </c>
      <c r="BH25" s="9" t="s">
        <v>74</v>
      </c>
      <c r="BI25" s="9" t="s">
        <v>75</v>
      </c>
      <c r="BJ25" s="9" t="s">
        <v>76</v>
      </c>
      <c r="BK25" s="9" t="s">
        <v>15</v>
      </c>
      <c r="BL25" s="9"/>
      <c r="BM25" s="9"/>
      <c r="BN25" s="9"/>
      <c r="BO25" s="9"/>
      <c r="BP25" s="9"/>
      <c r="BQ25" s="9"/>
      <c r="BR25" s="9"/>
    </row>
    <row r="26" spans="1:70" ht="15" customHeight="1" x14ac:dyDescent="0.3">
      <c r="BG26" s="5" t="s">
        <v>30</v>
      </c>
      <c r="BH26" s="9" t="s">
        <v>77</v>
      </c>
      <c r="BI26" s="9" t="s">
        <v>78</v>
      </c>
      <c r="BJ26" s="9" t="s">
        <v>79</v>
      </c>
      <c r="BK26" s="9" t="s">
        <v>16</v>
      </c>
      <c r="BL26" s="9"/>
      <c r="BM26" s="9"/>
      <c r="BN26" s="9"/>
      <c r="BO26" s="9"/>
      <c r="BP26" s="9"/>
      <c r="BQ26" s="9"/>
      <c r="BR26" s="9"/>
    </row>
    <row r="27" spans="1:70" ht="15" customHeight="1" x14ac:dyDescent="0.3">
      <c r="BG27" s="5" t="s">
        <v>31</v>
      </c>
      <c r="BH27" s="9" t="s">
        <v>80</v>
      </c>
      <c r="BI27" s="9" t="s">
        <v>81</v>
      </c>
      <c r="BJ27" s="9" t="s">
        <v>82</v>
      </c>
      <c r="BK27" s="9" t="s">
        <v>17</v>
      </c>
      <c r="BL27" s="9"/>
      <c r="BM27" s="9"/>
      <c r="BN27" s="9"/>
      <c r="BO27" s="9"/>
      <c r="BP27" s="9"/>
      <c r="BQ27" s="9"/>
      <c r="BR27" s="9"/>
    </row>
    <row r="28" spans="1:70" ht="15" customHeight="1" x14ac:dyDescent="0.3">
      <c r="B28" s="10" t="s">
        <v>499</v>
      </c>
      <c r="C28" s="4"/>
      <c r="D28" s="4"/>
      <c r="E28" s="4"/>
      <c r="F28" s="4"/>
      <c r="G28" s="4"/>
      <c r="H28" s="4"/>
      <c r="I28" s="4"/>
      <c r="J28" s="4"/>
      <c r="K28" s="3"/>
      <c r="L28" s="3"/>
      <c r="M28" s="3"/>
      <c r="N28" s="3"/>
      <c r="O28" s="3"/>
      <c r="P28" s="3"/>
      <c r="Q28" s="3"/>
      <c r="R28" s="3"/>
      <c r="S28" s="4"/>
      <c r="T28" s="4"/>
      <c r="U28" s="4"/>
      <c r="V28" s="4"/>
      <c r="W28" s="4"/>
      <c r="X28" s="4"/>
      <c r="Y28" s="4"/>
      <c r="Z28" s="4"/>
      <c r="AA28" s="3"/>
      <c r="AB28" s="3"/>
      <c r="AC28" s="3"/>
      <c r="AD28" s="3"/>
      <c r="AE28" s="3"/>
      <c r="AF28" s="3"/>
      <c r="AG28" s="3"/>
      <c r="AH28" s="3"/>
      <c r="AI28" s="4"/>
      <c r="AJ28" s="4"/>
      <c r="AK28" s="4"/>
      <c r="AL28" s="4"/>
      <c r="AM28" s="4"/>
      <c r="AN28" s="4"/>
      <c r="AO28" s="4"/>
      <c r="AP28" s="4"/>
      <c r="AQ28" s="3"/>
      <c r="AR28" s="3"/>
      <c r="AS28" s="3"/>
      <c r="AT28" s="3"/>
      <c r="AU28" s="3"/>
      <c r="AV28" s="3"/>
      <c r="AW28" s="3"/>
      <c r="AX28" s="3"/>
      <c r="AY28" s="4"/>
      <c r="AZ28" s="4"/>
      <c r="BA28" s="4"/>
      <c r="BB28" s="4"/>
      <c r="BC28" s="12"/>
      <c r="BD28" s="31" t="s">
        <v>488</v>
      </c>
      <c r="BG28" s="5" t="s">
        <v>32</v>
      </c>
      <c r="BH28" s="9" t="s">
        <v>83</v>
      </c>
      <c r="BI28" s="9" t="s">
        <v>84</v>
      </c>
      <c r="BJ28" s="9" t="s">
        <v>85</v>
      </c>
      <c r="BK28" s="9" t="s">
        <v>18</v>
      </c>
      <c r="BL28" s="9"/>
      <c r="BM28" s="9"/>
      <c r="BN28" s="9"/>
      <c r="BO28" s="9"/>
      <c r="BP28" s="9"/>
      <c r="BQ28" s="9"/>
      <c r="BR28" s="9"/>
    </row>
    <row r="29" spans="1:70" ht="15" customHeight="1" thickBot="1" x14ac:dyDescent="0.35">
      <c r="BG29" s="5" t="s">
        <v>33</v>
      </c>
      <c r="BH29" s="9" t="s">
        <v>86</v>
      </c>
      <c r="BI29" s="9" t="s">
        <v>87</v>
      </c>
      <c r="BJ29" s="9" t="s">
        <v>88</v>
      </c>
      <c r="BK29" s="9" t="s">
        <v>19</v>
      </c>
      <c r="BL29" s="9"/>
      <c r="BM29" s="9"/>
      <c r="BN29" s="9"/>
      <c r="BO29" s="9"/>
      <c r="BP29" s="9"/>
      <c r="BQ29" s="9"/>
      <c r="BR29" s="9"/>
    </row>
    <row r="30" spans="1:70" ht="12" customHeight="1" x14ac:dyDescent="0.3">
      <c r="C30" s="60" t="s">
        <v>500</v>
      </c>
      <c r="D30" s="60"/>
      <c r="E30" s="60"/>
      <c r="F30" s="60"/>
      <c r="G30" s="60"/>
      <c r="H30" s="60"/>
      <c r="I30" s="60"/>
      <c r="J30" s="60"/>
      <c r="K30" s="58" t="s">
        <v>4</v>
      </c>
      <c r="L30" s="59"/>
      <c r="M30" s="59"/>
      <c r="N30" s="59"/>
      <c r="O30" s="59"/>
      <c r="P30" s="59"/>
      <c r="Q30" s="59"/>
      <c r="R30" s="59"/>
      <c r="S30" s="62"/>
      <c r="T30" s="58" t="s">
        <v>5</v>
      </c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20"/>
      <c r="BG30" s="5" t="s">
        <v>34</v>
      </c>
      <c r="BH30" s="9" t="s">
        <v>89</v>
      </c>
      <c r="BI30" s="9" t="s">
        <v>90</v>
      </c>
      <c r="BJ30" s="9" t="s">
        <v>91</v>
      </c>
      <c r="BK30" s="9" t="s">
        <v>20</v>
      </c>
      <c r="BL30" s="9"/>
      <c r="BM30" s="9"/>
      <c r="BN30" s="9"/>
      <c r="BO30" s="9"/>
      <c r="BP30" s="9"/>
      <c r="BQ30" s="9"/>
      <c r="BR30" s="9"/>
    </row>
    <row r="31" spans="1:70" ht="12" customHeight="1" thickBot="1" x14ac:dyDescent="0.35">
      <c r="C31" s="61"/>
      <c r="D31" s="61"/>
      <c r="E31" s="61"/>
      <c r="F31" s="61"/>
      <c r="G31" s="61"/>
      <c r="H31" s="61"/>
      <c r="I31" s="61"/>
      <c r="J31" s="61"/>
      <c r="K31" s="63" t="s">
        <v>39</v>
      </c>
      <c r="L31" s="57"/>
      <c r="M31" s="64"/>
      <c r="N31" s="56" t="s">
        <v>754</v>
      </c>
      <c r="O31" s="57"/>
      <c r="P31" s="64"/>
      <c r="Q31" s="56" t="s">
        <v>2</v>
      </c>
      <c r="R31" s="57"/>
      <c r="S31" s="65"/>
      <c r="T31" s="67" t="s">
        <v>3</v>
      </c>
      <c r="U31" s="66"/>
      <c r="V31" s="66"/>
      <c r="W31" s="66" t="s">
        <v>26</v>
      </c>
      <c r="X31" s="66"/>
      <c r="Y31" s="66"/>
      <c r="Z31" s="66" t="s">
        <v>27</v>
      </c>
      <c r="AA31" s="66"/>
      <c r="AB31" s="66"/>
      <c r="AC31" s="66" t="s">
        <v>28</v>
      </c>
      <c r="AD31" s="66"/>
      <c r="AE31" s="66"/>
      <c r="AF31" s="66" t="s">
        <v>29</v>
      </c>
      <c r="AG31" s="66"/>
      <c r="AH31" s="66"/>
      <c r="AI31" s="66" t="s">
        <v>30</v>
      </c>
      <c r="AJ31" s="66"/>
      <c r="AK31" s="66"/>
      <c r="AL31" s="66" t="s">
        <v>31</v>
      </c>
      <c r="AM31" s="66"/>
      <c r="AN31" s="66"/>
      <c r="AO31" s="66" t="s">
        <v>32</v>
      </c>
      <c r="AP31" s="66"/>
      <c r="AQ31" s="66"/>
      <c r="AR31" s="66" t="s">
        <v>33</v>
      </c>
      <c r="AS31" s="66"/>
      <c r="AT31" s="66"/>
      <c r="AU31" s="66" t="s">
        <v>34</v>
      </c>
      <c r="AV31" s="66"/>
      <c r="AW31" s="66"/>
      <c r="AX31" s="66" t="s">
        <v>35</v>
      </c>
      <c r="AY31" s="66"/>
      <c r="AZ31" s="66"/>
      <c r="BA31" s="56" t="s">
        <v>36</v>
      </c>
      <c r="BB31" s="57"/>
      <c r="BC31" s="57"/>
      <c r="BD31" s="20"/>
      <c r="BG31" s="5" t="s">
        <v>35</v>
      </c>
      <c r="BH31" s="9" t="s">
        <v>92</v>
      </c>
      <c r="BI31" s="9" t="s">
        <v>93</v>
      </c>
      <c r="BJ31" s="9" t="s">
        <v>94</v>
      </c>
      <c r="BK31" s="9" t="s">
        <v>21</v>
      </c>
      <c r="BL31" s="9"/>
      <c r="BM31" s="9"/>
      <c r="BN31" s="9"/>
      <c r="BO31" s="9"/>
      <c r="BP31" s="9"/>
      <c r="BQ31" s="9"/>
      <c r="BR31" s="9"/>
    </row>
    <row r="32" spans="1:70" ht="12" customHeight="1" x14ac:dyDescent="0.3">
      <c r="C32" s="16" t="s">
        <v>98</v>
      </c>
      <c r="D32" s="16"/>
      <c r="E32" s="16"/>
      <c r="F32" s="16"/>
      <c r="G32" s="16"/>
      <c r="H32" s="17"/>
      <c r="I32" s="17"/>
      <c r="J32" s="17"/>
      <c r="K32" s="74"/>
      <c r="L32" s="75"/>
      <c r="M32" s="75"/>
      <c r="N32" s="76"/>
      <c r="O32" s="76"/>
      <c r="P32" s="76"/>
      <c r="Q32" s="75"/>
      <c r="R32" s="75"/>
      <c r="S32" s="77"/>
      <c r="T32" s="74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20"/>
      <c r="BG32" s="5" t="s">
        <v>36</v>
      </c>
      <c r="BH32" s="9" t="s">
        <v>95</v>
      </c>
      <c r="BI32" s="9" t="s">
        <v>96</v>
      </c>
      <c r="BJ32" s="9" t="s">
        <v>97</v>
      </c>
      <c r="BK32" s="9" t="s">
        <v>22</v>
      </c>
      <c r="BL32" s="9"/>
      <c r="BM32" s="9"/>
      <c r="BN32" s="9"/>
      <c r="BO32" s="9"/>
      <c r="BP32" s="9"/>
      <c r="BQ32" s="9"/>
      <c r="BR32" s="9"/>
    </row>
    <row r="33" spans="3:69" ht="12" customHeight="1" x14ac:dyDescent="0.3">
      <c r="C33" s="19"/>
      <c r="D33" s="11"/>
      <c r="E33" s="11"/>
      <c r="F33" s="11"/>
      <c r="I33" s="15"/>
      <c r="J33" s="14" t="s">
        <v>6</v>
      </c>
      <c r="K33" s="47" t="s">
        <v>755</v>
      </c>
      <c r="L33" s="46"/>
      <c r="M33" s="46"/>
      <c r="N33" s="46" t="s">
        <v>801</v>
      </c>
      <c r="O33" s="46"/>
      <c r="P33" s="46"/>
      <c r="Q33" s="46" t="s">
        <v>99</v>
      </c>
      <c r="R33" s="46"/>
      <c r="S33" s="48"/>
      <c r="T33" s="47" t="s">
        <v>146</v>
      </c>
      <c r="U33" s="46"/>
      <c r="V33" s="46"/>
      <c r="W33" s="45" t="s">
        <v>147</v>
      </c>
      <c r="X33" s="46"/>
      <c r="Y33" s="46"/>
      <c r="Z33" s="45" t="s">
        <v>148</v>
      </c>
      <c r="AA33" s="46"/>
      <c r="AB33" s="46"/>
      <c r="AC33" s="45" t="s">
        <v>149</v>
      </c>
      <c r="AD33" s="46"/>
      <c r="AE33" s="46"/>
      <c r="AF33" s="45" t="s">
        <v>150</v>
      </c>
      <c r="AG33" s="46"/>
      <c r="AH33" s="46"/>
      <c r="AI33" s="45" t="s">
        <v>151</v>
      </c>
      <c r="AJ33" s="46"/>
      <c r="AK33" s="46"/>
      <c r="AL33" s="45" t="s">
        <v>152</v>
      </c>
      <c r="AM33" s="46"/>
      <c r="AN33" s="46"/>
      <c r="AO33" s="45" t="s">
        <v>153</v>
      </c>
      <c r="AP33" s="46"/>
      <c r="AQ33" s="46"/>
      <c r="AR33" s="45" t="s">
        <v>154</v>
      </c>
      <c r="AS33" s="46"/>
      <c r="AT33" s="46"/>
      <c r="AU33" s="45" t="s">
        <v>155</v>
      </c>
      <c r="AV33" s="46"/>
      <c r="AW33" s="46"/>
      <c r="AX33" s="45" t="s">
        <v>156</v>
      </c>
      <c r="AY33" s="46"/>
      <c r="AZ33" s="46"/>
      <c r="BA33" s="53" t="s">
        <v>157</v>
      </c>
      <c r="BB33" s="54"/>
      <c r="BC33" s="54"/>
      <c r="BD33" s="20"/>
    </row>
    <row r="34" spans="3:69" ht="12" customHeight="1" x14ac:dyDescent="0.3">
      <c r="C34" s="19"/>
      <c r="D34" s="19"/>
      <c r="E34" s="19"/>
      <c r="F34" s="19"/>
      <c r="G34" s="20"/>
      <c r="H34" s="20"/>
      <c r="I34" s="21"/>
      <c r="J34" s="18" t="s">
        <v>7</v>
      </c>
      <c r="K34" s="47" t="s">
        <v>756</v>
      </c>
      <c r="L34" s="46"/>
      <c r="M34" s="46"/>
      <c r="N34" s="46" t="s">
        <v>802</v>
      </c>
      <c r="O34" s="46"/>
      <c r="P34" s="46"/>
      <c r="Q34" s="46" t="s">
        <v>100</v>
      </c>
      <c r="R34" s="46"/>
      <c r="S34" s="48"/>
      <c r="T34" s="47" t="s">
        <v>158</v>
      </c>
      <c r="U34" s="46"/>
      <c r="V34" s="46"/>
      <c r="W34" s="45" t="s">
        <v>159</v>
      </c>
      <c r="X34" s="46"/>
      <c r="Y34" s="46"/>
      <c r="Z34" s="45" t="s">
        <v>160</v>
      </c>
      <c r="AA34" s="46"/>
      <c r="AB34" s="46"/>
      <c r="AC34" s="45" t="s">
        <v>161</v>
      </c>
      <c r="AD34" s="46"/>
      <c r="AE34" s="46"/>
      <c r="AF34" s="45" t="s">
        <v>162</v>
      </c>
      <c r="AG34" s="46"/>
      <c r="AH34" s="46"/>
      <c r="AI34" s="45" t="s">
        <v>163</v>
      </c>
      <c r="AJ34" s="46"/>
      <c r="AK34" s="46"/>
      <c r="AL34" s="45" t="s">
        <v>164</v>
      </c>
      <c r="AM34" s="46"/>
      <c r="AN34" s="46"/>
      <c r="AO34" s="45" t="s">
        <v>165</v>
      </c>
      <c r="AP34" s="46"/>
      <c r="AQ34" s="46"/>
      <c r="AR34" s="45" t="s">
        <v>166</v>
      </c>
      <c r="AS34" s="46"/>
      <c r="AT34" s="46"/>
      <c r="AU34" s="45" t="s">
        <v>167</v>
      </c>
      <c r="AV34" s="46"/>
      <c r="AW34" s="46"/>
      <c r="AX34" s="45" t="s">
        <v>168</v>
      </c>
      <c r="AY34" s="46"/>
      <c r="AZ34" s="46"/>
      <c r="BA34" s="53" t="s">
        <v>169</v>
      </c>
      <c r="BB34" s="54"/>
      <c r="BC34" s="54"/>
      <c r="BD34" s="20"/>
    </row>
    <row r="35" spans="3:69" ht="12" customHeight="1" x14ac:dyDescent="0.3">
      <c r="C35" s="22" t="s">
        <v>127</v>
      </c>
      <c r="D35" s="22"/>
      <c r="E35" s="22"/>
      <c r="F35" s="22"/>
      <c r="G35" s="22"/>
      <c r="H35" s="23"/>
      <c r="I35" s="23"/>
      <c r="J35" s="23"/>
      <c r="K35" s="42"/>
      <c r="L35" s="43"/>
      <c r="M35" s="43"/>
      <c r="N35" s="43"/>
      <c r="O35" s="43"/>
      <c r="P35" s="43"/>
      <c r="Q35" s="43"/>
      <c r="R35" s="43"/>
      <c r="S35" s="55"/>
      <c r="T35" s="42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20"/>
    </row>
    <row r="36" spans="3:69" ht="12" customHeight="1" x14ac:dyDescent="0.3">
      <c r="C36" s="19"/>
      <c r="D36" s="11"/>
      <c r="E36" s="11"/>
      <c r="F36" s="11"/>
      <c r="I36" s="15"/>
      <c r="J36" s="14" t="s">
        <v>6</v>
      </c>
      <c r="K36" s="47" t="s">
        <v>757</v>
      </c>
      <c r="L36" s="46"/>
      <c r="M36" s="46"/>
      <c r="N36" s="46" t="s">
        <v>803</v>
      </c>
      <c r="O36" s="46"/>
      <c r="P36" s="46"/>
      <c r="Q36" s="46" t="s">
        <v>101</v>
      </c>
      <c r="R36" s="46"/>
      <c r="S36" s="48"/>
      <c r="T36" s="47" t="s">
        <v>170</v>
      </c>
      <c r="U36" s="46"/>
      <c r="V36" s="46"/>
      <c r="W36" s="45" t="s">
        <v>171</v>
      </c>
      <c r="X36" s="46"/>
      <c r="Y36" s="46"/>
      <c r="Z36" s="45" t="s">
        <v>172</v>
      </c>
      <c r="AA36" s="46"/>
      <c r="AB36" s="46"/>
      <c r="AC36" s="45" t="s">
        <v>173</v>
      </c>
      <c r="AD36" s="46"/>
      <c r="AE36" s="46"/>
      <c r="AF36" s="45" t="s">
        <v>174</v>
      </c>
      <c r="AG36" s="46"/>
      <c r="AH36" s="46"/>
      <c r="AI36" s="45" t="s">
        <v>175</v>
      </c>
      <c r="AJ36" s="46"/>
      <c r="AK36" s="46"/>
      <c r="AL36" s="45" t="s">
        <v>176</v>
      </c>
      <c r="AM36" s="46"/>
      <c r="AN36" s="46"/>
      <c r="AO36" s="45" t="s">
        <v>177</v>
      </c>
      <c r="AP36" s="46"/>
      <c r="AQ36" s="46"/>
      <c r="AR36" s="45" t="s">
        <v>178</v>
      </c>
      <c r="AS36" s="46"/>
      <c r="AT36" s="46"/>
      <c r="AU36" s="45" t="s">
        <v>179</v>
      </c>
      <c r="AV36" s="46"/>
      <c r="AW36" s="46"/>
      <c r="AX36" s="45" t="s">
        <v>180</v>
      </c>
      <c r="AY36" s="46"/>
      <c r="AZ36" s="46"/>
      <c r="BA36" s="53" t="s">
        <v>612</v>
      </c>
      <c r="BB36" s="54"/>
      <c r="BC36" s="54"/>
      <c r="BD36" s="20"/>
    </row>
    <row r="37" spans="3:69" ht="12" customHeight="1" x14ac:dyDescent="0.3">
      <c r="C37" s="19"/>
      <c r="D37" s="19"/>
      <c r="E37" s="19"/>
      <c r="F37" s="19"/>
      <c r="G37" s="20"/>
      <c r="H37" s="20"/>
      <c r="I37" s="21"/>
      <c r="J37" s="18" t="s">
        <v>7</v>
      </c>
      <c r="K37" s="47" t="s">
        <v>758</v>
      </c>
      <c r="L37" s="46"/>
      <c r="M37" s="46"/>
      <c r="N37" s="46" t="s">
        <v>804</v>
      </c>
      <c r="O37" s="46"/>
      <c r="P37" s="46"/>
      <c r="Q37" s="46" t="s">
        <v>102</v>
      </c>
      <c r="R37" s="46"/>
      <c r="S37" s="48"/>
      <c r="T37" s="47" t="s">
        <v>181</v>
      </c>
      <c r="U37" s="46"/>
      <c r="V37" s="46"/>
      <c r="W37" s="45" t="s">
        <v>182</v>
      </c>
      <c r="X37" s="46"/>
      <c r="Y37" s="46"/>
      <c r="Z37" s="45" t="s">
        <v>183</v>
      </c>
      <c r="AA37" s="46"/>
      <c r="AB37" s="46"/>
      <c r="AC37" s="45" t="s">
        <v>184</v>
      </c>
      <c r="AD37" s="46"/>
      <c r="AE37" s="46"/>
      <c r="AF37" s="45" t="s">
        <v>185</v>
      </c>
      <c r="AG37" s="46"/>
      <c r="AH37" s="46"/>
      <c r="AI37" s="45" t="s">
        <v>186</v>
      </c>
      <c r="AJ37" s="46"/>
      <c r="AK37" s="46"/>
      <c r="AL37" s="45" t="s">
        <v>187</v>
      </c>
      <c r="AM37" s="46"/>
      <c r="AN37" s="46"/>
      <c r="AO37" s="45" t="s">
        <v>188</v>
      </c>
      <c r="AP37" s="46"/>
      <c r="AQ37" s="46"/>
      <c r="AR37" s="45" t="s">
        <v>189</v>
      </c>
      <c r="AS37" s="46"/>
      <c r="AT37" s="46"/>
      <c r="AU37" s="45" t="s">
        <v>190</v>
      </c>
      <c r="AV37" s="46"/>
      <c r="AW37" s="46"/>
      <c r="AX37" s="45" t="s">
        <v>191</v>
      </c>
      <c r="AY37" s="46"/>
      <c r="AZ37" s="46"/>
      <c r="BA37" s="53" t="s">
        <v>613</v>
      </c>
      <c r="BB37" s="54"/>
      <c r="BC37" s="54"/>
      <c r="BD37" s="20"/>
    </row>
    <row r="38" spans="3:69" ht="12" customHeight="1" x14ac:dyDescent="0.3">
      <c r="C38" s="22" t="s">
        <v>128</v>
      </c>
      <c r="D38" s="22"/>
      <c r="E38" s="22"/>
      <c r="F38" s="22"/>
      <c r="G38" s="22"/>
      <c r="H38" s="23"/>
      <c r="I38" s="23"/>
      <c r="J38" s="23"/>
      <c r="K38" s="42"/>
      <c r="L38" s="43"/>
      <c r="M38" s="43"/>
      <c r="N38" s="43"/>
      <c r="O38" s="43"/>
      <c r="P38" s="43"/>
      <c r="Q38" s="43"/>
      <c r="R38" s="43"/>
      <c r="S38" s="55"/>
      <c r="T38" s="42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20"/>
      <c r="BH38" s="9"/>
      <c r="BI38" s="9"/>
      <c r="BJ38" s="9"/>
      <c r="BK38" s="9"/>
      <c r="BN38" s="9"/>
      <c r="BO38" s="9"/>
      <c r="BP38" s="9"/>
      <c r="BQ38" s="9"/>
    </row>
    <row r="39" spans="3:69" ht="12" customHeight="1" x14ac:dyDescent="0.3">
      <c r="C39" s="19"/>
      <c r="D39" s="11"/>
      <c r="E39" s="11"/>
      <c r="F39" s="11"/>
      <c r="I39" s="15"/>
      <c r="J39" s="14" t="s">
        <v>6</v>
      </c>
      <c r="K39" s="47" t="s">
        <v>759</v>
      </c>
      <c r="L39" s="46"/>
      <c r="M39" s="46"/>
      <c r="N39" s="46" t="s">
        <v>805</v>
      </c>
      <c r="O39" s="46"/>
      <c r="P39" s="46"/>
      <c r="Q39" s="46" t="s">
        <v>103</v>
      </c>
      <c r="R39" s="46"/>
      <c r="S39" s="48"/>
      <c r="T39" s="47" t="s">
        <v>192</v>
      </c>
      <c r="U39" s="46"/>
      <c r="V39" s="46"/>
      <c r="W39" s="45" t="s">
        <v>193</v>
      </c>
      <c r="X39" s="46"/>
      <c r="Y39" s="46"/>
      <c r="Z39" s="45" t="s">
        <v>194</v>
      </c>
      <c r="AA39" s="46"/>
      <c r="AB39" s="46"/>
      <c r="AC39" s="45" t="s">
        <v>195</v>
      </c>
      <c r="AD39" s="46"/>
      <c r="AE39" s="46"/>
      <c r="AF39" s="45" t="s">
        <v>196</v>
      </c>
      <c r="AG39" s="46"/>
      <c r="AH39" s="46"/>
      <c r="AI39" s="45" t="s">
        <v>197</v>
      </c>
      <c r="AJ39" s="46"/>
      <c r="AK39" s="46"/>
      <c r="AL39" s="45" t="s">
        <v>198</v>
      </c>
      <c r="AM39" s="46"/>
      <c r="AN39" s="46"/>
      <c r="AO39" s="45" t="s">
        <v>199</v>
      </c>
      <c r="AP39" s="46"/>
      <c r="AQ39" s="46"/>
      <c r="AR39" s="45" t="s">
        <v>200</v>
      </c>
      <c r="AS39" s="46"/>
      <c r="AT39" s="46"/>
      <c r="AU39" s="45" t="s">
        <v>201</v>
      </c>
      <c r="AV39" s="46"/>
      <c r="AW39" s="46"/>
      <c r="AX39" s="45" t="s">
        <v>202</v>
      </c>
      <c r="AY39" s="46"/>
      <c r="AZ39" s="46"/>
      <c r="BA39" s="53" t="s">
        <v>203</v>
      </c>
      <c r="BB39" s="54"/>
      <c r="BC39" s="54"/>
      <c r="BD39" s="20"/>
      <c r="BH39" s="9"/>
      <c r="BI39" s="9"/>
      <c r="BJ39" s="9"/>
      <c r="BK39" s="9"/>
      <c r="BN39" s="9"/>
      <c r="BO39" s="9"/>
      <c r="BP39" s="9"/>
      <c r="BQ39" s="9"/>
    </row>
    <row r="40" spans="3:69" ht="12" customHeight="1" x14ac:dyDescent="0.3">
      <c r="C40" s="19"/>
      <c r="D40" s="19"/>
      <c r="E40" s="19"/>
      <c r="F40" s="19"/>
      <c r="G40" s="20"/>
      <c r="H40" s="20"/>
      <c r="I40" s="21"/>
      <c r="J40" s="18" t="s">
        <v>7</v>
      </c>
      <c r="K40" s="47" t="s">
        <v>760</v>
      </c>
      <c r="L40" s="46"/>
      <c r="M40" s="46"/>
      <c r="N40" s="46" t="s">
        <v>806</v>
      </c>
      <c r="O40" s="46"/>
      <c r="P40" s="46"/>
      <c r="Q40" s="46" t="s">
        <v>104</v>
      </c>
      <c r="R40" s="46"/>
      <c r="S40" s="48"/>
      <c r="T40" s="47" t="s">
        <v>204</v>
      </c>
      <c r="U40" s="46"/>
      <c r="V40" s="46"/>
      <c r="W40" s="45" t="s">
        <v>205</v>
      </c>
      <c r="X40" s="46"/>
      <c r="Y40" s="46"/>
      <c r="Z40" s="45" t="s">
        <v>206</v>
      </c>
      <c r="AA40" s="46"/>
      <c r="AB40" s="46"/>
      <c r="AC40" s="45" t="s">
        <v>207</v>
      </c>
      <c r="AD40" s="46"/>
      <c r="AE40" s="46"/>
      <c r="AF40" s="45" t="s">
        <v>208</v>
      </c>
      <c r="AG40" s="46"/>
      <c r="AH40" s="46"/>
      <c r="AI40" s="45" t="s">
        <v>209</v>
      </c>
      <c r="AJ40" s="46"/>
      <c r="AK40" s="46"/>
      <c r="AL40" s="45" t="s">
        <v>210</v>
      </c>
      <c r="AM40" s="46"/>
      <c r="AN40" s="46"/>
      <c r="AO40" s="45" t="s">
        <v>211</v>
      </c>
      <c r="AP40" s="46"/>
      <c r="AQ40" s="46"/>
      <c r="AR40" s="45" t="s">
        <v>212</v>
      </c>
      <c r="AS40" s="46"/>
      <c r="AT40" s="46"/>
      <c r="AU40" s="45" t="s">
        <v>213</v>
      </c>
      <c r="AV40" s="46"/>
      <c r="AW40" s="46"/>
      <c r="AX40" s="45" t="s">
        <v>214</v>
      </c>
      <c r="AY40" s="46"/>
      <c r="AZ40" s="46"/>
      <c r="BA40" s="53" t="s">
        <v>215</v>
      </c>
      <c r="BB40" s="54"/>
      <c r="BC40" s="54"/>
      <c r="BD40" s="20"/>
      <c r="BH40" s="9"/>
      <c r="BI40" s="9"/>
      <c r="BJ40" s="9"/>
      <c r="BK40" s="9"/>
      <c r="BN40" s="9"/>
      <c r="BO40" s="9"/>
      <c r="BP40" s="9"/>
      <c r="BQ40" s="9"/>
    </row>
    <row r="41" spans="3:69" ht="12" customHeight="1" x14ac:dyDescent="0.3">
      <c r="C41" s="22" t="s">
        <v>129</v>
      </c>
      <c r="D41" s="22"/>
      <c r="E41" s="22"/>
      <c r="F41" s="22"/>
      <c r="G41" s="22"/>
      <c r="H41" s="23"/>
      <c r="I41" s="23"/>
      <c r="J41" s="23"/>
      <c r="K41" s="42"/>
      <c r="L41" s="43"/>
      <c r="M41" s="43"/>
      <c r="N41" s="43"/>
      <c r="O41" s="43"/>
      <c r="P41" s="43"/>
      <c r="Q41" s="43"/>
      <c r="R41" s="43"/>
      <c r="S41" s="55"/>
      <c r="T41" s="42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20"/>
      <c r="BH41" s="9"/>
      <c r="BI41" s="9"/>
      <c r="BJ41" s="9"/>
      <c r="BK41" s="9"/>
      <c r="BN41" s="9"/>
      <c r="BO41" s="9"/>
      <c r="BP41" s="9"/>
      <c r="BQ41" s="9"/>
    </row>
    <row r="42" spans="3:69" ht="12" customHeight="1" x14ac:dyDescent="0.3">
      <c r="C42" s="19"/>
      <c r="D42" s="11"/>
      <c r="E42" s="11"/>
      <c r="F42" s="11"/>
      <c r="I42" s="15"/>
      <c r="J42" s="14" t="s">
        <v>6</v>
      </c>
      <c r="K42" s="47" t="s">
        <v>761</v>
      </c>
      <c r="L42" s="46"/>
      <c r="M42" s="46"/>
      <c r="N42" s="46" t="s">
        <v>807</v>
      </c>
      <c r="O42" s="46"/>
      <c r="P42" s="46"/>
      <c r="Q42" s="46" t="s">
        <v>105</v>
      </c>
      <c r="R42" s="46"/>
      <c r="S42" s="48"/>
      <c r="T42" s="47" t="s">
        <v>216</v>
      </c>
      <c r="U42" s="46"/>
      <c r="V42" s="46"/>
      <c r="W42" s="45" t="s">
        <v>217</v>
      </c>
      <c r="X42" s="46"/>
      <c r="Y42" s="46"/>
      <c r="Z42" s="45" t="s">
        <v>218</v>
      </c>
      <c r="AA42" s="46"/>
      <c r="AB42" s="46"/>
      <c r="AC42" s="45" t="s">
        <v>219</v>
      </c>
      <c r="AD42" s="46"/>
      <c r="AE42" s="46"/>
      <c r="AF42" s="45" t="s">
        <v>220</v>
      </c>
      <c r="AG42" s="46"/>
      <c r="AH42" s="46"/>
      <c r="AI42" s="45" t="s">
        <v>221</v>
      </c>
      <c r="AJ42" s="46"/>
      <c r="AK42" s="46"/>
      <c r="AL42" s="45" t="s">
        <v>222</v>
      </c>
      <c r="AM42" s="46"/>
      <c r="AN42" s="46"/>
      <c r="AO42" s="45" t="s">
        <v>223</v>
      </c>
      <c r="AP42" s="46"/>
      <c r="AQ42" s="46"/>
      <c r="AR42" s="45" t="s">
        <v>224</v>
      </c>
      <c r="AS42" s="46"/>
      <c r="AT42" s="46"/>
      <c r="AU42" s="45" t="s">
        <v>225</v>
      </c>
      <c r="AV42" s="46"/>
      <c r="AW42" s="46"/>
      <c r="AX42" s="45" t="s">
        <v>226</v>
      </c>
      <c r="AY42" s="46"/>
      <c r="AZ42" s="46"/>
      <c r="BA42" s="53" t="s">
        <v>227</v>
      </c>
      <c r="BB42" s="54"/>
      <c r="BC42" s="54"/>
      <c r="BD42" s="20"/>
      <c r="BH42" s="9"/>
      <c r="BI42" s="9"/>
      <c r="BJ42" s="9"/>
      <c r="BK42" s="9"/>
      <c r="BN42" s="9"/>
      <c r="BO42" s="9"/>
      <c r="BP42" s="9"/>
      <c r="BQ42" s="9"/>
    </row>
    <row r="43" spans="3:69" ht="12" customHeight="1" x14ac:dyDescent="0.3">
      <c r="C43" s="19"/>
      <c r="D43" s="19"/>
      <c r="E43" s="19"/>
      <c r="F43" s="19"/>
      <c r="G43" s="20"/>
      <c r="H43" s="20"/>
      <c r="I43" s="21"/>
      <c r="J43" s="18" t="s">
        <v>7</v>
      </c>
      <c r="K43" s="47" t="s">
        <v>762</v>
      </c>
      <c r="L43" s="46"/>
      <c r="M43" s="46"/>
      <c r="N43" s="46" t="s">
        <v>808</v>
      </c>
      <c r="O43" s="46"/>
      <c r="P43" s="46"/>
      <c r="Q43" s="46" t="s">
        <v>106</v>
      </c>
      <c r="R43" s="46"/>
      <c r="S43" s="48"/>
      <c r="T43" s="47" t="s">
        <v>228</v>
      </c>
      <c r="U43" s="46"/>
      <c r="V43" s="46"/>
      <c r="W43" s="45" t="s">
        <v>229</v>
      </c>
      <c r="X43" s="46"/>
      <c r="Y43" s="46"/>
      <c r="Z43" s="45" t="s">
        <v>230</v>
      </c>
      <c r="AA43" s="46"/>
      <c r="AB43" s="46"/>
      <c r="AC43" s="45" t="s">
        <v>231</v>
      </c>
      <c r="AD43" s="46"/>
      <c r="AE43" s="46"/>
      <c r="AF43" s="45" t="s">
        <v>232</v>
      </c>
      <c r="AG43" s="46"/>
      <c r="AH43" s="46"/>
      <c r="AI43" s="45" t="s">
        <v>233</v>
      </c>
      <c r="AJ43" s="46"/>
      <c r="AK43" s="46"/>
      <c r="AL43" s="45" t="s">
        <v>234</v>
      </c>
      <c r="AM43" s="46"/>
      <c r="AN43" s="46"/>
      <c r="AO43" s="45" t="s">
        <v>235</v>
      </c>
      <c r="AP43" s="46"/>
      <c r="AQ43" s="46"/>
      <c r="AR43" s="45" t="s">
        <v>236</v>
      </c>
      <c r="AS43" s="46"/>
      <c r="AT43" s="46"/>
      <c r="AU43" s="45" t="s">
        <v>237</v>
      </c>
      <c r="AV43" s="46"/>
      <c r="AW43" s="46"/>
      <c r="AX43" s="45" t="s">
        <v>238</v>
      </c>
      <c r="AY43" s="46"/>
      <c r="AZ43" s="46"/>
      <c r="BA43" s="53" t="s">
        <v>239</v>
      </c>
      <c r="BB43" s="54"/>
      <c r="BC43" s="54"/>
      <c r="BD43" s="20"/>
      <c r="BH43" s="9"/>
      <c r="BI43" s="9"/>
      <c r="BJ43" s="9"/>
      <c r="BK43" s="9"/>
      <c r="BN43" s="9"/>
      <c r="BO43" s="9"/>
      <c r="BP43" s="9"/>
      <c r="BQ43" s="9"/>
    </row>
    <row r="44" spans="3:69" ht="12" customHeight="1" x14ac:dyDescent="0.3">
      <c r="C44" s="22" t="s">
        <v>130</v>
      </c>
      <c r="D44" s="22"/>
      <c r="E44" s="22"/>
      <c r="F44" s="22"/>
      <c r="G44" s="22"/>
      <c r="H44" s="23"/>
      <c r="I44" s="23"/>
      <c r="J44" s="23"/>
      <c r="K44" s="42"/>
      <c r="L44" s="43"/>
      <c r="M44" s="43"/>
      <c r="N44" s="43"/>
      <c r="O44" s="43"/>
      <c r="P44" s="43"/>
      <c r="Q44" s="43"/>
      <c r="R44" s="43"/>
      <c r="S44" s="55"/>
      <c r="T44" s="42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20"/>
      <c r="BH44" s="9"/>
      <c r="BI44" s="9"/>
      <c r="BJ44" s="9"/>
      <c r="BK44" s="9"/>
      <c r="BN44" s="9"/>
      <c r="BO44" s="9"/>
      <c r="BP44" s="9"/>
      <c r="BQ44" s="9"/>
    </row>
    <row r="45" spans="3:69" ht="12" customHeight="1" x14ac:dyDescent="0.3">
      <c r="C45" s="19"/>
      <c r="D45" s="11"/>
      <c r="E45" s="11"/>
      <c r="F45" s="11"/>
      <c r="I45" s="15"/>
      <c r="J45" s="14" t="s">
        <v>6</v>
      </c>
      <c r="K45" s="47" t="s">
        <v>763</v>
      </c>
      <c r="L45" s="46"/>
      <c r="M45" s="46"/>
      <c r="N45" s="46" t="s">
        <v>809</v>
      </c>
      <c r="O45" s="46"/>
      <c r="P45" s="46"/>
      <c r="Q45" s="46" t="s">
        <v>107</v>
      </c>
      <c r="R45" s="46"/>
      <c r="S45" s="48"/>
      <c r="T45" s="47" t="s">
        <v>240</v>
      </c>
      <c r="U45" s="46"/>
      <c r="V45" s="46"/>
      <c r="W45" s="45" t="s">
        <v>241</v>
      </c>
      <c r="X45" s="46"/>
      <c r="Y45" s="46"/>
      <c r="Z45" s="45" t="s">
        <v>242</v>
      </c>
      <c r="AA45" s="46"/>
      <c r="AB45" s="46"/>
      <c r="AC45" s="45" t="s">
        <v>243</v>
      </c>
      <c r="AD45" s="46"/>
      <c r="AE45" s="46"/>
      <c r="AF45" s="45" t="s">
        <v>244</v>
      </c>
      <c r="AG45" s="46"/>
      <c r="AH45" s="46"/>
      <c r="AI45" s="45" t="s">
        <v>245</v>
      </c>
      <c r="AJ45" s="46"/>
      <c r="AK45" s="46"/>
      <c r="AL45" s="45" t="s">
        <v>246</v>
      </c>
      <c r="AM45" s="46"/>
      <c r="AN45" s="46"/>
      <c r="AO45" s="45" t="s">
        <v>247</v>
      </c>
      <c r="AP45" s="46"/>
      <c r="AQ45" s="46"/>
      <c r="AR45" s="45" t="s">
        <v>248</v>
      </c>
      <c r="AS45" s="46"/>
      <c r="AT45" s="46"/>
      <c r="AU45" s="45" t="s">
        <v>249</v>
      </c>
      <c r="AV45" s="46"/>
      <c r="AW45" s="46"/>
      <c r="AX45" s="45" t="s">
        <v>250</v>
      </c>
      <c r="AY45" s="46"/>
      <c r="AZ45" s="46"/>
      <c r="BA45" s="53" t="s">
        <v>251</v>
      </c>
      <c r="BB45" s="54"/>
      <c r="BC45" s="54"/>
      <c r="BD45" s="20"/>
      <c r="BH45" s="9"/>
      <c r="BI45" s="9"/>
      <c r="BJ45" s="9"/>
      <c r="BK45" s="9"/>
      <c r="BN45" s="9"/>
      <c r="BO45" s="9"/>
      <c r="BP45" s="9"/>
      <c r="BQ45" s="9"/>
    </row>
    <row r="46" spans="3:69" ht="12" customHeight="1" x14ac:dyDescent="0.3">
      <c r="C46" s="19"/>
      <c r="D46" s="19"/>
      <c r="E46" s="19"/>
      <c r="F46" s="19"/>
      <c r="G46" s="20"/>
      <c r="H46" s="20"/>
      <c r="I46" s="21"/>
      <c r="J46" s="18" t="s">
        <v>7</v>
      </c>
      <c r="K46" s="47" t="s">
        <v>764</v>
      </c>
      <c r="L46" s="46"/>
      <c r="M46" s="46"/>
      <c r="N46" s="46" t="s">
        <v>810</v>
      </c>
      <c r="O46" s="46"/>
      <c r="P46" s="46"/>
      <c r="Q46" s="46" t="s">
        <v>108</v>
      </c>
      <c r="R46" s="46"/>
      <c r="S46" s="48"/>
      <c r="T46" s="47" t="s">
        <v>252</v>
      </c>
      <c r="U46" s="46"/>
      <c r="V46" s="46"/>
      <c r="W46" s="45" t="s">
        <v>253</v>
      </c>
      <c r="X46" s="46"/>
      <c r="Y46" s="46"/>
      <c r="Z46" s="45" t="s">
        <v>254</v>
      </c>
      <c r="AA46" s="46"/>
      <c r="AB46" s="46"/>
      <c r="AC46" s="45" t="s">
        <v>255</v>
      </c>
      <c r="AD46" s="46"/>
      <c r="AE46" s="46"/>
      <c r="AF46" s="45" t="s">
        <v>256</v>
      </c>
      <c r="AG46" s="46"/>
      <c r="AH46" s="46"/>
      <c r="AI46" s="45" t="s">
        <v>257</v>
      </c>
      <c r="AJ46" s="46"/>
      <c r="AK46" s="46"/>
      <c r="AL46" s="45" t="s">
        <v>258</v>
      </c>
      <c r="AM46" s="46"/>
      <c r="AN46" s="46"/>
      <c r="AO46" s="45" t="s">
        <v>259</v>
      </c>
      <c r="AP46" s="46"/>
      <c r="AQ46" s="46"/>
      <c r="AR46" s="45" t="s">
        <v>260</v>
      </c>
      <c r="AS46" s="46"/>
      <c r="AT46" s="46"/>
      <c r="AU46" s="45" t="s">
        <v>261</v>
      </c>
      <c r="AV46" s="46"/>
      <c r="AW46" s="46"/>
      <c r="AX46" s="45" t="s">
        <v>262</v>
      </c>
      <c r="AY46" s="46"/>
      <c r="AZ46" s="46"/>
      <c r="BA46" s="53" t="s">
        <v>263</v>
      </c>
      <c r="BB46" s="54"/>
      <c r="BC46" s="54"/>
      <c r="BD46" s="20"/>
      <c r="BH46" s="9"/>
      <c r="BI46" s="9"/>
      <c r="BJ46" s="9"/>
      <c r="BK46" s="9"/>
      <c r="BN46" s="9"/>
      <c r="BO46" s="9"/>
      <c r="BP46" s="9"/>
      <c r="BQ46" s="9"/>
    </row>
    <row r="47" spans="3:69" ht="12" customHeight="1" x14ac:dyDescent="0.3">
      <c r="C47" s="22" t="s">
        <v>131</v>
      </c>
      <c r="D47" s="22"/>
      <c r="E47" s="22"/>
      <c r="F47" s="22"/>
      <c r="G47" s="22"/>
      <c r="H47" s="23"/>
      <c r="I47" s="23"/>
      <c r="J47" s="23"/>
      <c r="K47" s="42"/>
      <c r="L47" s="43"/>
      <c r="M47" s="43"/>
      <c r="N47" s="43"/>
      <c r="O47" s="43"/>
      <c r="P47" s="43"/>
      <c r="Q47" s="43"/>
      <c r="R47" s="43"/>
      <c r="S47" s="55"/>
      <c r="T47" s="42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20"/>
      <c r="BH47" s="9"/>
      <c r="BI47" s="9"/>
      <c r="BJ47" s="9"/>
      <c r="BK47" s="9"/>
      <c r="BN47" s="9"/>
      <c r="BO47" s="9"/>
      <c r="BP47" s="9"/>
      <c r="BQ47" s="9"/>
    </row>
    <row r="48" spans="3:69" ht="12" customHeight="1" x14ac:dyDescent="0.3">
      <c r="C48" s="19"/>
      <c r="D48" s="11"/>
      <c r="E48" s="11"/>
      <c r="F48" s="11"/>
      <c r="I48" s="15"/>
      <c r="J48" s="14" t="s">
        <v>6</v>
      </c>
      <c r="K48" s="47" t="s">
        <v>765</v>
      </c>
      <c r="L48" s="46"/>
      <c r="M48" s="46"/>
      <c r="N48" s="46" t="s">
        <v>811</v>
      </c>
      <c r="O48" s="46"/>
      <c r="P48" s="46"/>
      <c r="Q48" s="46" t="s">
        <v>109</v>
      </c>
      <c r="R48" s="46"/>
      <c r="S48" s="48"/>
      <c r="T48" s="47" t="s">
        <v>264</v>
      </c>
      <c r="U48" s="46"/>
      <c r="V48" s="46"/>
      <c r="W48" s="45" t="s">
        <v>265</v>
      </c>
      <c r="X48" s="46"/>
      <c r="Y48" s="46"/>
      <c r="Z48" s="45" t="s">
        <v>266</v>
      </c>
      <c r="AA48" s="46"/>
      <c r="AB48" s="46"/>
      <c r="AC48" s="45" t="s">
        <v>267</v>
      </c>
      <c r="AD48" s="46"/>
      <c r="AE48" s="46"/>
      <c r="AF48" s="45" t="s">
        <v>268</v>
      </c>
      <c r="AG48" s="46"/>
      <c r="AH48" s="46"/>
      <c r="AI48" s="45" t="s">
        <v>269</v>
      </c>
      <c r="AJ48" s="46"/>
      <c r="AK48" s="46"/>
      <c r="AL48" s="45" t="s">
        <v>270</v>
      </c>
      <c r="AM48" s="46"/>
      <c r="AN48" s="46"/>
      <c r="AO48" s="45" t="s">
        <v>271</v>
      </c>
      <c r="AP48" s="46"/>
      <c r="AQ48" s="46"/>
      <c r="AR48" s="45" t="s">
        <v>272</v>
      </c>
      <c r="AS48" s="46"/>
      <c r="AT48" s="46"/>
      <c r="AU48" s="45" t="s">
        <v>273</v>
      </c>
      <c r="AV48" s="46"/>
      <c r="AW48" s="46"/>
      <c r="AX48" s="45" t="s">
        <v>274</v>
      </c>
      <c r="AY48" s="46"/>
      <c r="AZ48" s="46"/>
      <c r="BA48" s="53" t="s">
        <v>275</v>
      </c>
      <c r="BB48" s="54"/>
      <c r="BC48" s="54"/>
      <c r="BD48" s="20"/>
      <c r="BH48" s="9"/>
      <c r="BI48" s="9"/>
      <c r="BJ48" s="9"/>
      <c r="BK48" s="9"/>
      <c r="BN48" s="9"/>
      <c r="BO48" s="9"/>
      <c r="BP48" s="9"/>
      <c r="BQ48" s="9"/>
    </row>
    <row r="49" spans="3:69" ht="12" customHeight="1" x14ac:dyDescent="0.3">
      <c r="C49" s="19"/>
      <c r="D49" s="11"/>
      <c r="E49" s="11"/>
      <c r="F49" s="11"/>
      <c r="I49" s="15"/>
      <c r="J49" s="14" t="s">
        <v>7</v>
      </c>
      <c r="K49" s="47" t="s">
        <v>766</v>
      </c>
      <c r="L49" s="46"/>
      <c r="M49" s="46"/>
      <c r="N49" s="46" t="s">
        <v>812</v>
      </c>
      <c r="O49" s="46"/>
      <c r="P49" s="46"/>
      <c r="Q49" s="46" t="s">
        <v>110</v>
      </c>
      <c r="R49" s="46"/>
      <c r="S49" s="48"/>
      <c r="T49" s="47" t="s">
        <v>276</v>
      </c>
      <c r="U49" s="46"/>
      <c r="V49" s="46"/>
      <c r="W49" s="45" t="s">
        <v>277</v>
      </c>
      <c r="X49" s="46"/>
      <c r="Y49" s="46"/>
      <c r="Z49" s="45" t="s">
        <v>278</v>
      </c>
      <c r="AA49" s="46"/>
      <c r="AB49" s="46"/>
      <c r="AC49" s="45" t="s">
        <v>279</v>
      </c>
      <c r="AD49" s="46"/>
      <c r="AE49" s="46"/>
      <c r="AF49" s="45" t="s">
        <v>280</v>
      </c>
      <c r="AG49" s="46"/>
      <c r="AH49" s="46"/>
      <c r="AI49" s="45" t="s">
        <v>281</v>
      </c>
      <c r="AJ49" s="46"/>
      <c r="AK49" s="46"/>
      <c r="AL49" s="45" t="s">
        <v>282</v>
      </c>
      <c r="AM49" s="46"/>
      <c r="AN49" s="46"/>
      <c r="AO49" s="45" t="s">
        <v>283</v>
      </c>
      <c r="AP49" s="46"/>
      <c r="AQ49" s="46"/>
      <c r="AR49" s="45" t="s">
        <v>284</v>
      </c>
      <c r="AS49" s="46"/>
      <c r="AT49" s="46"/>
      <c r="AU49" s="45" t="s">
        <v>285</v>
      </c>
      <c r="AV49" s="46"/>
      <c r="AW49" s="46"/>
      <c r="AX49" s="45" t="s">
        <v>286</v>
      </c>
      <c r="AY49" s="46"/>
      <c r="AZ49" s="46"/>
      <c r="BA49" s="53" t="s">
        <v>287</v>
      </c>
      <c r="BB49" s="54"/>
      <c r="BC49" s="54"/>
      <c r="BD49" s="20"/>
      <c r="BH49" s="9"/>
      <c r="BI49" s="9"/>
      <c r="BJ49" s="9"/>
      <c r="BK49" s="9"/>
      <c r="BN49" s="9"/>
      <c r="BO49" s="9"/>
      <c r="BP49" s="9"/>
      <c r="BQ49" s="9"/>
    </row>
    <row r="50" spans="3:69" ht="12" customHeight="1" x14ac:dyDescent="0.3">
      <c r="C50" s="22" t="s">
        <v>132</v>
      </c>
      <c r="D50" s="22"/>
      <c r="E50" s="22"/>
      <c r="F50" s="22"/>
      <c r="G50" s="22"/>
      <c r="H50" s="23"/>
      <c r="I50" s="23"/>
      <c r="J50" s="23"/>
      <c r="K50" s="42"/>
      <c r="L50" s="43"/>
      <c r="M50" s="43"/>
      <c r="N50" s="43"/>
      <c r="O50" s="43"/>
      <c r="P50" s="43"/>
      <c r="Q50" s="43"/>
      <c r="R50" s="43"/>
      <c r="S50" s="55"/>
      <c r="T50" s="42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20"/>
    </row>
    <row r="51" spans="3:69" ht="12" customHeight="1" x14ac:dyDescent="0.3">
      <c r="C51" s="19"/>
      <c r="D51" s="11"/>
      <c r="E51" s="11"/>
      <c r="F51" s="11"/>
      <c r="I51" s="15"/>
      <c r="J51" s="14" t="s">
        <v>6</v>
      </c>
      <c r="K51" s="47" t="s">
        <v>767</v>
      </c>
      <c r="L51" s="46"/>
      <c r="M51" s="46"/>
      <c r="N51" s="46" t="s">
        <v>813</v>
      </c>
      <c r="O51" s="46"/>
      <c r="P51" s="46"/>
      <c r="Q51" s="46" t="s">
        <v>111</v>
      </c>
      <c r="R51" s="46"/>
      <c r="S51" s="48"/>
      <c r="T51" s="47" t="s">
        <v>288</v>
      </c>
      <c r="U51" s="46"/>
      <c r="V51" s="46"/>
      <c r="W51" s="45" t="s">
        <v>289</v>
      </c>
      <c r="X51" s="46"/>
      <c r="Y51" s="46"/>
      <c r="Z51" s="45" t="s">
        <v>290</v>
      </c>
      <c r="AA51" s="46"/>
      <c r="AB51" s="46"/>
      <c r="AC51" s="45" t="s">
        <v>291</v>
      </c>
      <c r="AD51" s="46"/>
      <c r="AE51" s="46"/>
      <c r="AF51" s="45" t="s">
        <v>292</v>
      </c>
      <c r="AG51" s="46"/>
      <c r="AH51" s="46"/>
      <c r="AI51" s="45" t="s">
        <v>293</v>
      </c>
      <c r="AJ51" s="46"/>
      <c r="AK51" s="46"/>
      <c r="AL51" s="45" t="s">
        <v>294</v>
      </c>
      <c r="AM51" s="46"/>
      <c r="AN51" s="46"/>
      <c r="AO51" s="45" t="s">
        <v>295</v>
      </c>
      <c r="AP51" s="46"/>
      <c r="AQ51" s="46"/>
      <c r="AR51" s="45" t="s">
        <v>296</v>
      </c>
      <c r="AS51" s="46"/>
      <c r="AT51" s="46"/>
      <c r="AU51" s="45" t="s">
        <v>297</v>
      </c>
      <c r="AV51" s="46"/>
      <c r="AW51" s="46"/>
      <c r="AX51" s="45" t="s">
        <v>298</v>
      </c>
      <c r="AY51" s="46"/>
      <c r="AZ51" s="46"/>
      <c r="BA51" s="53" t="s">
        <v>299</v>
      </c>
      <c r="BB51" s="54"/>
      <c r="BC51" s="54"/>
      <c r="BD51" s="20"/>
    </row>
    <row r="52" spans="3:69" ht="12" customHeight="1" x14ac:dyDescent="0.3">
      <c r="C52" s="19"/>
      <c r="D52" s="19"/>
      <c r="E52" s="19"/>
      <c r="F52" s="19"/>
      <c r="G52" s="20"/>
      <c r="H52" s="20"/>
      <c r="I52" s="21"/>
      <c r="J52" s="18" t="s">
        <v>7</v>
      </c>
      <c r="K52" s="47" t="s">
        <v>768</v>
      </c>
      <c r="L52" s="46"/>
      <c r="M52" s="46"/>
      <c r="N52" s="46" t="s">
        <v>814</v>
      </c>
      <c r="O52" s="46"/>
      <c r="P52" s="46"/>
      <c r="Q52" s="46" t="s">
        <v>112</v>
      </c>
      <c r="R52" s="46"/>
      <c r="S52" s="48"/>
      <c r="T52" s="47" t="s">
        <v>300</v>
      </c>
      <c r="U52" s="46"/>
      <c r="V52" s="46"/>
      <c r="W52" s="45" t="s">
        <v>301</v>
      </c>
      <c r="X52" s="46"/>
      <c r="Y52" s="46"/>
      <c r="Z52" s="45" t="s">
        <v>302</v>
      </c>
      <c r="AA52" s="46"/>
      <c r="AB52" s="46"/>
      <c r="AC52" s="45" t="s">
        <v>303</v>
      </c>
      <c r="AD52" s="46"/>
      <c r="AE52" s="46"/>
      <c r="AF52" s="45" t="s">
        <v>304</v>
      </c>
      <c r="AG52" s="46"/>
      <c r="AH52" s="46"/>
      <c r="AI52" s="45" t="s">
        <v>305</v>
      </c>
      <c r="AJ52" s="46"/>
      <c r="AK52" s="46"/>
      <c r="AL52" s="45" t="s">
        <v>306</v>
      </c>
      <c r="AM52" s="46"/>
      <c r="AN52" s="46"/>
      <c r="AO52" s="45" t="s">
        <v>307</v>
      </c>
      <c r="AP52" s="46"/>
      <c r="AQ52" s="46"/>
      <c r="AR52" s="45" t="s">
        <v>308</v>
      </c>
      <c r="AS52" s="46"/>
      <c r="AT52" s="46"/>
      <c r="AU52" s="45" t="s">
        <v>309</v>
      </c>
      <c r="AV52" s="46"/>
      <c r="AW52" s="46"/>
      <c r="AX52" s="45" t="s">
        <v>310</v>
      </c>
      <c r="AY52" s="46"/>
      <c r="AZ52" s="46"/>
      <c r="BA52" s="53" t="s">
        <v>311</v>
      </c>
      <c r="BB52" s="54"/>
      <c r="BC52" s="54"/>
      <c r="BD52" s="20"/>
    </row>
    <row r="53" spans="3:69" ht="12" customHeight="1" x14ac:dyDescent="0.3">
      <c r="C53" s="22" t="s">
        <v>133</v>
      </c>
      <c r="D53" s="22"/>
      <c r="E53" s="22"/>
      <c r="F53" s="22"/>
      <c r="G53" s="22"/>
      <c r="H53" s="23"/>
      <c r="I53" s="23"/>
      <c r="J53" s="23"/>
      <c r="K53" s="42"/>
      <c r="L53" s="43"/>
      <c r="M53" s="43"/>
      <c r="N53" s="43"/>
      <c r="O53" s="43"/>
      <c r="P53" s="43"/>
      <c r="Q53" s="43"/>
      <c r="R53" s="43"/>
      <c r="S53" s="55"/>
      <c r="T53" s="42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20"/>
    </row>
    <row r="54" spans="3:69" ht="12" customHeight="1" x14ac:dyDescent="0.3">
      <c r="C54" s="19"/>
      <c r="D54" s="11"/>
      <c r="E54" s="11"/>
      <c r="F54" s="11"/>
      <c r="I54" s="15"/>
      <c r="J54" s="14" t="s">
        <v>6</v>
      </c>
      <c r="K54" s="47" t="s">
        <v>769</v>
      </c>
      <c r="L54" s="46"/>
      <c r="M54" s="46"/>
      <c r="N54" s="46" t="s">
        <v>815</v>
      </c>
      <c r="O54" s="46"/>
      <c r="P54" s="46"/>
      <c r="Q54" s="46" t="s">
        <v>113</v>
      </c>
      <c r="R54" s="46"/>
      <c r="S54" s="48"/>
      <c r="T54" s="47" t="s">
        <v>312</v>
      </c>
      <c r="U54" s="46"/>
      <c r="V54" s="46"/>
      <c r="W54" s="45" t="s">
        <v>313</v>
      </c>
      <c r="X54" s="46"/>
      <c r="Y54" s="46"/>
      <c r="Z54" s="45" t="s">
        <v>314</v>
      </c>
      <c r="AA54" s="46"/>
      <c r="AB54" s="46"/>
      <c r="AC54" s="45" t="s">
        <v>315</v>
      </c>
      <c r="AD54" s="46"/>
      <c r="AE54" s="46"/>
      <c r="AF54" s="45" t="s">
        <v>316</v>
      </c>
      <c r="AG54" s="46"/>
      <c r="AH54" s="46"/>
      <c r="AI54" s="45" t="s">
        <v>317</v>
      </c>
      <c r="AJ54" s="46"/>
      <c r="AK54" s="46"/>
      <c r="AL54" s="45" t="s">
        <v>318</v>
      </c>
      <c r="AM54" s="46"/>
      <c r="AN54" s="46"/>
      <c r="AO54" s="45" t="s">
        <v>319</v>
      </c>
      <c r="AP54" s="46"/>
      <c r="AQ54" s="46"/>
      <c r="AR54" s="45" t="s">
        <v>320</v>
      </c>
      <c r="AS54" s="46"/>
      <c r="AT54" s="46"/>
      <c r="AU54" s="45" t="s">
        <v>321</v>
      </c>
      <c r="AV54" s="46"/>
      <c r="AW54" s="46"/>
      <c r="AX54" s="45" t="s">
        <v>322</v>
      </c>
      <c r="AY54" s="46"/>
      <c r="AZ54" s="46"/>
      <c r="BA54" s="53" t="s">
        <v>323</v>
      </c>
      <c r="BB54" s="54"/>
      <c r="BC54" s="54"/>
      <c r="BD54" s="20"/>
    </row>
    <row r="55" spans="3:69" ht="12" customHeight="1" x14ac:dyDescent="0.3">
      <c r="C55" s="19"/>
      <c r="D55" s="19"/>
      <c r="E55" s="19"/>
      <c r="F55" s="19"/>
      <c r="G55" s="20"/>
      <c r="H55" s="20"/>
      <c r="I55" s="21"/>
      <c r="J55" s="18" t="s">
        <v>7</v>
      </c>
      <c r="K55" s="47" t="s">
        <v>770</v>
      </c>
      <c r="L55" s="46"/>
      <c r="M55" s="46"/>
      <c r="N55" s="46" t="s">
        <v>816</v>
      </c>
      <c r="O55" s="46"/>
      <c r="P55" s="46"/>
      <c r="Q55" s="46" t="s">
        <v>114</v>
      </c>
      <c r="R55" s="46"/>
      <c r="S55" s="48"/>
      <c r="T55" s="47" t="s">
        <v>324</v>
      </c>
      <c r="U55" s="46"/>
      <c r="V55" s="46"/>
      <c r="W55" s="45" t="s">
        <v>325</v>
      </c>
      <c r="X55" s="46"/>
      <c r="Y55" s="46"/>
      <c r="Z55" s="45" t="s">
        <v>326</v>
      </c>
      <c r="AA55" s="46"/>
      <c r="AB55" s="46"/>
      <c r="AC55" s="45" t="s">
        <v>327</v>
      </c>
      <c r="AD55" s="46"/>
      <c r="AE55" s="46"/>
      <c r="AF55" s="45" t="s">
        <v>328</v>
      </c>
      <c r="AG55" s="46"/>
      <c r="AH55" s="46"/>
      <c r="AI55" s="45" t="s">
        <v>329</v>
      </c>
      <c r="AJ55" s="46"/>
      <c r="AK55" s="46"/>
      <c r="AL55" s="45" t="s">
        <v>330</v>
      </c>
      <c r="AM55" s="46"/>
      <c r="AN55" s="46"/>
      <c r="AO55" s="45" t="s">
        <v>331</v>
      </c>
      <c r="AP55" s="46"/>
      <c r="AQ55" s="46"/>
      <c r="AR55" s="45" t="s">
        <v>332</v>
      </c>
      <c r="AS55" s="46"/>
      <c r="AT55" s="46"/>
      <c r="AU55" s="45" t="s">
        <v>333</v>
      </c>
      <c r="AV55" s="46"/>
      <c r="AW55" s="46"/>
      <c r="AX55" s="45" t="s">
        <v>334</v>
      </c>
      <c r="AY55" s="46"/>
      <c r="AZ55" s="46"/>
      <c r="BA55" s="53" t="s">
        <v>335</v>
      </c>
      <c r="BB55" s="54"/>
      <c r="BC55" s="54"/>
      <c r="BD55" s="20"/>
    </row>
    <row r="56" spans="3:69" ht="12" customHeight="1" x14ac:dyDescent="0.3">
      <c r="C56" s="22" t="s">
        <v>134</v>
      </c>
      <c r="D56" s="22"/>
      <c r="E56" s="22"/>
      <c r="F56" s="22"/>
      <c r="G56" s="22"/>
      <c r="H56" s="23"/>
      <c r="I56" s="23"/>
      <c r="J56" s="23"/>
      <c r="K56" s="42"/>
      <c r="L56" s="43"/>
      <c r="M56" s="43"/>
      <c r="N56" s="43"/>
      <c r="O56" s="43"/>
      <c r="P56" s="43"/>
      <c r="Q56" s="43"/>
      <c r="R56" s="43"/>
      <c r="S56" s="55"/>
      <c r="T56" s="42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20"/>
    </row>
    <row r="57" spans="3:69" ht="12" customHeight="1" x14ac:dyDescent="0.3">
      <c r="C57" s="19"/>
      <c r="D57" s="11"/>
      <c r="E57" s="11"/>
      <c r="F57" s="11"/>
      <c r="I57" s="15"/>
      <c r="J57" s="14" t="s">
        <v>6</v>
      </c>
      <c r="K57" s="47" t="s">
        <v>771</v>
      </c>
      <c r="L57" s="46"/>
      <c r="M57" s="46"/>
      <c r="N57" s="46" t="s">
        <v>817</v>
      </c>
      <c r="O57" s="46"/>
      <c r="P57" s="46"/>
      <c r="Q57" s="46" t="s">
        <v>115</v>
      </c>
      <c r="R57" s="46"/>
      <c r="S57" s="48"/>
      <c r="T57" s="47" t="s">
        <v>336</v>
      </c>
      <c r="U57" s="46"/>
      <c r="V57" s="46"/>
      <c r="W57" s="45" t="s">
        <v>337</v>
      </c>
      <c r="X57" s="46"/>
      <c r="Y57" s="46"/>
      <c r="Z57" s="45" t="s">
        <v>338</v>
      </c>
      <c r="AA57" s="46"/>
      <c r="AB57" s="46"/>
      <c r="AC57" s="45" t="s">
        <v>339</v>
      </c>
      <c r="AD57" s="46"/>
      <c r="AE57" s="46"/>
      <c r="AF57" s="45" t="s">
        <v>340</v>
      </c>
      <c r="AG57" s="46"/>
      <c r="AH57" s="46"/>
      <c r="AI57" s="45" t="s">
        <v>341</v>
      </c>
      <c r="AJ57" s="46"/>
      <c r="AK57" s="46"/>
      <c r="AL57" s="45" t="s">
        <v>342</v>
      </c>
      <c r="AM57" s="46"/>
      <c r="AN57" s="46"/>
      <c r="AO57" s="45" t="s">
        <v>343</v>
      </c>
      <c r="AP57" s="46"/>
      <c r="AQ57" s="46"/>
      <c r="AR57" s="45" t="s">
        <v>344</v>
      </c>
      <c r="AS57" s="46"/>
      <c r="AT57" s="46"/>
      <c r="AU57" s="45" t="s">
        <v>345</v>
      </c>
      <c r="AV57" s="46"/>
      <c r="AW57" s="46"/>
      <c r="AX57" s="45" t="s">
        <v>346</v>
      </c>
      <c r="AY57" s="46"/>
      <c r="AZ57" s="46"/>
      <c r="BA57" s="53" t="s">
        <v>347</v>
      </c>
      <c r="BB57" s="54"/>
      <c r="BC57" s="54"/>
      <c r="BD57" s="20"/>
    </row>
    <row r="58" spans="3:69" ht="12" customHeight="1" x14ac:dyDescent="0.3">
      <c r="C58" s="19"/>
      <c r="D58" s="19"/>
      <c r="E58" s="19"/>
      <c r="F58" s="19"/>
      <c r="G58" s="20"/>
      <c r="H58" s="20"/>
      <c r="I58" s="21"/>
      <c r="J58" s="18" t="s">
        <v>7</v>
      </c>
      <c r="K58" s="47" t="s">
        <v>772</v>
      </c>
      <c r="L58" s="46"/>
      <c r="M58" s="46"/>
      <c r="N58" s="46" t="s">
        <v>818</v>
      </c>
      <c r="O58" s="46"/>
      <c r="P58" s="46"/>
      <c r="Q58" s="46" t="s">
        <v>116</v>
      </c>
      <c r="R58" s="46"/>
      <c r="S58" s="48"/>
      <c r="T58" s="47" t="s">
        <v>348</v>
      </c>
      <c r="U58" s="46"/>
      <c r="V58" s="46"/>
      <c r="W58" s="45" t="s">
        <v>349</v>
      </c>
      <c r="X58" s="46"/>
      <c r="Y58" s="46"/>
      <c r="Z58" s="45" t="s">
        <v>350</v>
      </c>
      <c r="AA58" s="46"/>
      <c r="AB58" s="46"/>
      <c r="AC58" s="45" t="s">
        <v>351</v>
      </c>
      <c r="AD58" s="46"/>
      <c r="AE58" s="46"/>
      <c r="AF58" s="45" t="s">
        <v>352</v>
      </c>
      <c r="AG58" s="46"/>
      <c r="AH58" s="46"/>
      <c r="AI58" s="45" t="s">
        <v>353</v>
      </c>
      <c r="AJ58" s="46"/>
      <c r="AK58" s="46"/>
      <c r="AL58" s="45" t="s">
        <v>354</v>
      </c>
      <c r="AM58" s="46"/>
      <c r="AN58" s="46"/>
      <c r="AO58" s="45" t="s">
        <v>355</v>
      </c>
      <c r="AP58" s="46"/>
      <c r="AQ58" s="46"/>
      <c r="AR58" s="45" t="s">
        <v>356</v>
      </c>
      <c r="AS58" s="46"/>
      <c r="AT58" s="46"/>
      <c r="AU58" s="45" t="s">
        <v>357</v>
      </c>
      <c r="AV58" s="46"/>
      <c r="AW58" s="46"/>
      <c r="AX58" s="45" t="s">
        <v>358</v>
      </c>
      <c r="AY58" s="46"/>
      <c r="AZ58" s="46"/>
      <c r="BA58" s="53" t="s">
        <v>359</v>
      </c>
      <c r="BB58" s="54"/>
      <c r="BC58" s="54"/>
      <c r="BD58" s="20"/>
    </row>
    <row r="59" spans="3:69" ht="12" customHeight="1" x14ac:dyDescent="0.3">
      <c r="C59" s="22" t="s">
        <v>135</v>
      </c>
      <c r="D59" s="22"/>
      <c r="E59" s="22"/>
      <c r="F59" s="22"/>
      <c r="G59" s="22"/>
      <c r="H59" s="23"/>
      <c r="I59" s="23"/>
      <c r="J59" s="23"/>
      <c r="K59" s="42"/>
      <c r="L59" s="43"/>
      <c r="M59" s="43"/>
      <c r="N59" s="43"/>
      <c r="O59" s="43"/>
      <c r="P59" s="43"/>
      <c r="Q59" s="43"/>
      <c r="R59" s="43"/>
      <c r="S59" s="55"/>
      <c r="T59" s="42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20"/>
    </row>
    <row r="60" spans="3:69" ht="12" customHeight="1" x14ac:dyDescent="0.3">
      <c r="C60" s="19"/>
      <c r="D60" s="11"/>
      <c r="E60" s="11"/>
      <c r="F60" s="11"/>
      <c r="I60" s="15"/>
      <c r="J60" s="14" t="s">
        <v>6</v>
      </c>
      <c r="K60" s="47" t="s">
        <v>773</v>
      </c>
      <c r="L60" s="46"/>
      <c r="M60" s="46"/>
      <c r="N60" s="46" t="s">
        <v>819</v>
      </c>
      <c r="O60" s="46"/>
      <c r="P60" s="46"/>
      <c r="Q60" s="46" t="s">
        <v>117</v>
      </c>
      <c r="R60" s="46"/>
      <c r="S60" s="48"/>
      <c r="T60" s="47" t="s">
        <v>360</v>
      </c>
      <c r="U60" s="46"/>
      <c r="V60" s="46"/>
      <c r="W60" s="45" t="s">
        <v>361</v>
      </c>
      <c r="X60" s="46"/>
      <c r="Y60" s="46"/>
      <c r="Z60" s="45" t="s">
        <v>362</v>
      </c>
      <c r="AA60" s="46"/>
      <c r="AB60" s="46"/>
      <c r="AC60" s="45" t="s">
        <v>363</v>
      </c>
      <c r="AD60" s="46"/>
      <c r="AE60" s="46"/>
      <c r="AF60" s="45" t="s">
        <v>364</v>
      </c>
      <c r="AG60" s="46"/>
      <c r="AH60" s="46"/>
      <c r="AI60" s="45" t="s">
        <v>365</v>
      </c>
      <c r="AJ60" s="46"/>
      <c r="AK60" s="46"/>
      <c r="AL60" s="45" t="s">
        <v>366</v>
      </c>
      <c r="AM60" s="46"/>
      <c r="AN60" s="46"/>
      <c r="AO60" s="45" t="s">
        <v>367</v>
      </c>
      <c r="AP60" s="46"/>
      <c r="AQ60" s="46"/>
      <c r="AR60" s="45" t="s">
        <v>368</v>
      </c>
      <c r="AS60" s="46"/>
      <c r="AT60" s="46"/>
      <c r="AU60" s="45" t="s">
        <v>369</v>
      </c>
      <c r="AV60" s="46"/>
      <c r="AW60" s="46"/>
      <c r="AX60" s="45" t="s">
        <v>370</v>
      </c>
      <c r="AY60" s="46"/>
      <c r="AZ60" s="46"/>
      <c r="BA60" s="53" t="s">
        <v>371</v>
      </c>
      <c r="BB60" s="54"/>
      <c r="BC60" s="54"/>
      <c r="BD60" s="20"/>
    </row>
    <row r="61" spans="3:69" ht="12" customHeight="1" x14ac:dyDescent="0.3">
      <c r="C61" s="19"/>
      <c r="D61" s="19"/>
      <c r="E61" s="19"/>
      <c r="F61" s="19"/>
      <c r="G61" s="20"/>
      <c r="H61" s="20"/>
      <c r="I61" s="21"/>
      <c r="J61" s="18" t="s">
        <v>7</v>
      </c>
      <c r="K61" s="47" t="s">
        <v>774</v>
      </c>
      <c r="L61" s="46"/>
      <c r="M61" s="46"/>
      <c r="N61" s="46" t="s">
        <v>820</v>
      </c>
      <c r="O61" s="46"/>
      <c r="P61" s="46"/>
      <c r="Q61" s="46" t="s">
        <v>118</v>
      </c>
      <c r="R61" s="46"/>
      <c r="S61" s="48"/>
      <c r="T61" s="47" t="s">
        <v>372</v>
      </c>
      <c r="U61" s="46"/>
      <c r="V61" s="46"/>
      <c r="W61" s="45" t="s">
        <v>373</v>
      </c>
      <c r="X61" s="46"/>
      <c r="Y61" s="46"/>
      <c r="Z61" s="45" t="s">
        <v>374</v>
      </c>
      <c r="AA61" s="46"/>
      <c r="AB61" s="46"/>
      <c r="AC61" s="45" t="s">
        <v>375</v>
      </c>
      <c r="AD61" s="46"/>
      <c r="AE61" s="46"/>
      <c r="AF61" s="45" t="s">
        <v>376</v>
      </c>
      <c r="AG61" s="46"/>
      <c r="AH61" s="46"/>
      <c r="AI61" s="45" t="s">
        <v>377</v>
      </c>
      <c r="AJ61" s="46"/>
      <c r="AK61" s="46"/>
      <c r="AL61" s="45" t="s">
        <v>378</v>
      </c>
      <c r="AM61" s="46"/>
      <c r="AN61" s="46"/>
      <c r="AO61" s="45" t="s">
        <v>379</v>
      </c>
      <c r="AP61" s="46"/>
      <c r="AQ61" s="46"/>
      <c r="AR61" s="45" t="s">
        <v>380</v>
      </c>
      <c r="AS61" s="46"/>
      <c r="AT61" s="46"/>
      <c r="AU61" s="45" t="s">
        <v>381</v>
      </c>
      <c r="AV61" s="46"/>
      <c r="AW61" s="46"/>
      <c r="AX61" s="45" t="s">
        <v>382</v>
      </c>
      <c r="AY61" s="46"/>
      <c r="AZ61" s="46"/>
      <c r="BA61" s="53" t="s">
        <v>383</v>
      </c>
      <c r="BB61" s="54"/>
      <c r="BC61" s="54"/>
      <c r="BD61" s="20"/>
    </row>
    <row r="62" spans="3:69" ht="12" customHeight="1" x14ac:dyDescent="0.3">
      <c r="C62" s="22" t="s">
        <v>136</v>
      </c>
      <c r="D62" s="22"/>
      <c r="E62" s="22"/>
      <c r="F62" s="22"/>
      <c r="G62" s="22"/>
      <c r="H62" s="23"/>
      <c r="I62" s="23"/>
      <c r="J62" s="23"/>
      <c r="K62" s="42"/>
      <c r="L62" s="43"/>
      <c r="M62" s="43"/>
      <c r="N62" s="43"/>
      <c r="O62" s="43"/>
      <c r="P62" s="43"/>
      <c r="Q62" s="43"/>
      <c r="R62" s="43"/>
      <c r="S62" s="55"/>
      <c r="T62" s="42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20"/>
    </row>
    <row r="63" spans="3:69" ht="12" customHeight="1" x14ac:dyDescent="0.3">
      <c r="C63" s="19"/>
      <c r="D63" s="11"/>
      <c r="E63" s="11"/>
      <c r="F63" s="11"/>
      <c r="I63" s="15"/>
      <c r="J63" s="14" t="s">
        <v>6</v>
      </c>
      <c r="K63" s="47" t="s">
        <v>775</v>
      </c>
      <c r="L63" s="46"/>
      <c r="M63" s="46"/>
      <c r="N63" s="46" t="s">
        <v>821</v>
      </c>
      <c r="O63" s="46"/>
      <c r="P63" s="46"/>
      <c r="Q63" s="46" t="s">
        <v>119</v>
      </c>
      <c r="R63" s="46"/>
      <c r="S63" s="48"/>
      <c r="T63" s="47" t="s">
        <v>384</v>
      </c>
      <c r="U63" s="46"/>
      <c r="V63" s="46"/>
      <c r="W63" s="45" t="s">
        <v>385</v>
      </c>
      <c r="X63" s="46"/>
      <c r="Y63" s="46"/>
      <c r="Z63" s="45" t="s">
        <v>386</v>
      </c>
      <c r="AA63" s="46"/>
      <c r="AB63" s="46"/>
      <c r="AC63" s="45" t="s">
        <v>387</v>
      </c>
      <c r="AD63" s="46"/>
      <c r="AE63" s="46"/>
      <c r="AF63" s="45" t="s">
        <v>388</v>
      </c>
      <c r="AG63" s="46"/>
      <c r="AH63" s="46"/>
      <c r="AI63" s="45" t="s">
        <v>389</v>
      </c>
      <c r="AJ63" s="46"/>
      <c r="AK63" s="46"/>
      <c r="AL63" s="45" t="s">
        <v>390</v>
      </c>
      <c r="AM63" s="46"/>
      <c r="AN63" s="46"/>
      <c r="AO63" s="45" t="s">
        <v>391</v>
      </c>
      <c r="AP63" s="46"/>
      <c r="AQ63" s="46"/>
      <c r="AR63" s="45" t="s">
        <v>392</v>
      </c>
      <c r="AS63" s="46"/>
      <c r="AT63" s="46"/>
      <c r="AU63" s="45" t="s">
        <v>393</v>
      </c>
      <c r="AV63" s="46"/>
      <c r="AW63" s="46"/>
      <c r="AX63" s="45" t="s">
        <v>394</v>
      </c>
      <c r="AY63" s="46"/>
      <c r="AZ63" s="46"/>
      <c r="BA63" s="53" t="s">
        <v>395</v>
      </c>
      <c r="BB63" s="54"/>
      <c r="BC63" s="54"/>
      <c r="BD63" s="20"/>
    </row>
    <row r="64" spans="3:69" ht="12" customHeight="1" x14ac:dyDescent="0.3">
      <c r="C64" s="19"/>
      <c r="D64" s="11"/>
      <c r="E64" s="11"/>
      <c r="F64" s="11"/>
      <c r="I64" s="15"/>
      <c r="J64" s="14" t="s">
        <v>7</v>
      </c>
      <c r="K64" s="47" t="s">
        <v>776</v>
      </c>
      <c r="L64" s="46"/>
      <c r="M64" s="46"/>
      <c r="N64" s="46" t="s">
        <v>822</v>
      </c>
      <c r="O64" s="46"/>
      <c r="P64" s="46"/>
      <c r="Q64" s="46" t="s">
        <v>120</v>
      </c>
      <c r="R64" s="46"/>
      <c r="S64" s="48"/>
      <c r="T64" s="47" t="s">
        <v>396</v>
      </c>
      <c r="U64" s="46"/>
      <c r="V64" s="46"/>
      <c r="W64" s="45" t="s">
        <v>397</v>
      </c>
      <c r="X64" s="46"/>
      <c r="Y64" s="46"/>
      <c r="Z64" s="45" t="s">
        <v>398</v>
      </c>
      <c r="AA64" s="46"/>
      <c r="AB64" s="46"/>
      <c r="AC64" s="45" t="s">
        <v>399</v>
      </c>
      <c r="AD64" s="46"/>
      <c r="AE64" s="46"/>
      <c r="AF64" s="45" t="s">
        <v>400</v>
      </c>
      <c r="AG64" s="46"/>
      <c r="AH64" s="46"/>
      <c r="AI64" s="45" t="s">
        <v>401</v>
      </c>
      <c r="AJ64" s="46"/>
      <c r="AK64" s="46"/>
      <c r="AL64" s="45" t="s">
        <v>402</v>
      </c>
      <c r="AM64" s="46"/>
      <c r="AN64" s="46"/>
      <c r="AO64" s="45" t="s">
        <v>403</v>
      </c>
      <c r="AP64" s="46"/>
      <c r="AQ64" s="46"/>
      <c r="AR64" s="45" t="s">
        <v>404</v>
      </c>
      <c r="AS64" s="46"/>
      <c r="AT64" s="46"/>
      <c r="AU64" s="45" t="s">
        <v>405</v>
      </c>
      <c r="AV64" s="46"/>
      <c r="AW64" s="46"/>
      <c r="AX64" s="45" t="s">
        <v>406</v>
      </c>
      <c r="AY64" s="46"/>
      <c r="AZ64" s="46"/>
      <c r="BA64" s="53" t="s">
        <v>407</v>
      </c>
      <c r="BB64" s="54"/>
      <c r="BC64" s="54"/>
      <c r="BD64" s="20"/>
    </row>
    <row r="65" spans="3:56" ht="12" customHeight="1" x14ac:dyDescent="0.3">
      <c r="C65" s="22" t="s">
        <v>137</v>
      </c>
      <c r="D65" s="22"/>
      <c r="E65" s="22"/>
      <c r="F65" s="22"/>
      <c r="G65" s="22"/>
      <c r="H65" s="23"/>
      <c r="I65" s="23"/>
      <c r="J65" s="23"/>
      <c r="K65" s="42"/>
      <c r="L65" s="43"/>
      <c r="M65" s="43"/>
      <c r="N65" s="43"/>
      <c r="O65" s="43"/>
      <c r="P65" s="43"/>
      <c r="Q65" s="43"/>
      <c r="R65" s="43"/>
      <c r="S65" s="55"/>
      <c r="T65" s="42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20"/>
    </row>
    <row r="66" spans="3:56" ht="12" customHeight="1" x14ac:dyDescent="0.3">
      <c r="C66" s="19"/>
      <c r="D66" s="11"/>
      <c r="E66" s="11"/>
      <c r="F66" s="11"/>
      <c r="I66" s="15"/>
      <c r="J66" s="14" t="s">
        <v>6</v>
      </c>
      <c r="K66" s="47" t="s">
        <v>777</v>
      </c>
      <c r="L66" s="46"/>
      <c r="M66" s="46"/>
      <c r="N66" s="46" t="s">
        <v>823</v>
      </c>
      <c r="O66" s="46"/>
      <c r="P66" s="46"/>
      <c r="Q66" s="46" t="s">
        <v>121</v>
      </c>
      <c r="R66" s="46"/>
      <c r="S66" s="48"/>
      <c r="T66" s="47" t="s">
        <v>408</v>
      </c>
      <c r="U66" s="46"/>
      <c r="V66" s="46"/>
      <c r="W66" s="45" t="s">
        <v>409</v>
      </c>
      <c r="X66" s="46"/>
      <c r="Y66" s="46"/>
      <c r="Z66" s="45" t="s">
        <v>410</v>
      </c>
      <c r="AA66" s="46"/>
      <c r="AB66" s="46"/>
      <c r="AC66" s="45" t="s">
        <v>411</v>
      </c>
      <c r="AD66" s="46"/>
      <c r="AE66" s="46"/>
      <c r="AF66" s="45" t="s">
        <v>412</v>
      </c>
      <c r="AG66" s="46"/>
      <c r="AH66" s="46"/>
      <c r="AI66" s="45" t="s">
        <v>413</v>
      </c>
      <c r="AJ66" s="46"/>
      <c r="AK66" s="46"/>
      <c r="AL66" s="45" t="s">
        <v>414</v>
      </c>
      <c r="AM66" s="46"/>
      <c r="AN66" s="46"/>
      <c r="AO66" s="45" t="s">
        <v>415</v>
      </c>
      <c r="AP66" s="46"/>
      <c r="AQ66" s="46"/>
      <c r="AR66" s="45" t="s">
        <v>416</v>
      </c>
      <c r="AS66" s="46"/>
      <c r="AT66" s="46"/>
      <c r="AU66" s="45" t="s">
        <v>417</v>
      </c>
      <c r="AV66" s="46"/>
      <c r="AW66" s="46"/>
      <c r="AX66" s="45" t="s">
        <v>418</v>
      </c>
      <c r="AY66" s="46"/>
      <c r="AZ66" s="46"/>
      <c r="BA66" s="53" t="s">
        <v>419</v>
      </c>
      <c r="BB66" s="54"/>
      <c r="BC66" s="54"/>
      <c r="BD66" s="20"/>
    </row>
    <row r="67" spans="3:56" ht="12" customHeight="1" x14ac:dyDescent="0.3">
      <c r="C67" s="19"/>
      <c r="D67" s="19"/>
      <c r="E67" s="19"/>
      <c r="F67" s="19"/>
      <c r="G67" s="20"/>
      <c r="H67" s="20"/>
      <c r="I67" s="21"/>
      <c r="J67" s="18" t="s">
        <v>7</v>
      </c>
      <c r="K67" s="47" t="s">
        <v>778</v>
      </c>
      <c r="L67" s="46"/>
      <c r="M67" s="46"/>
      <c r="N67" s="46" t="s">
        <v>824</v>
      </c>
      <c r="O67" s="46"/>
      <c r="P67" s="46"/>
      <c r="Q67" s="46" t="s">
        <v>122</v>
      </c>
      <c r="R67" s="46"/>
      <c r="S67" s="48"/>
      <c r="T67" s="47" t="s">
        <v>420</v>
      </c>
      <c r="U67" s="46"/>
      <c r="V67" s="46"/>
      <c r="W67" s="45" t="s">
        <v>421</v>
      </c>
      <c r="X67" s="46"/>
      <c r="Y67" s="46"/>
      <c r="Z67" s="45" t="s">
        <v>422</v>
      </c>
      <c r="AA67" s="46"/>
      <c r="AB67" s="46"/>
      <c r="AC67" s="45" t="s">
        <v>423</v>
      </c>
      <c r="AD67" s="46"/>
      <c r="AE67" s="46"/>
      <c r="AF67" s="45" t="s">
        <v>424</v>
      </c>
      <c r="AG67" s="46"/>
      <c r="AH67" s="46"/>
      <c r="AI67" s="45" t="s">
        <v>425</v>
      </c>
      <c r="AJ67" s="46"/>
      <c r="AK67" s="46"/>
      <c r="AL67" s="45" t="s">
        <v>426</v>
      </c>
      <c r="AM67" s="46"/>
      <c r="AN67" s="46"/>
      <c r="AO67" s="45" t="s">
        <v>427</v>
      </c>
      <c r="AP67" s="46"/>
      <c r="AQ67" s="46"/>
      <c r="AR67" s="45" t="s">
        <v>428</v>
      </c>
      <c r="AS67" s="46"/>
      <c r="AT67" s="46"/>
      <c r="AU67" s="45" t="s">
        <v>429</v>
      </c>
      <c r="AV67" s="46"/>
      <c r="AW67" s="46"/>
      <c r="AX67" s="45" t="s">
        <v>430</v>
      </c>
      <c r="AY67" s="46"/>
      <c r="AZ67" s="46"/>
      <c r="BA67" s="53" t="s">
        <v>431</v>
      </c>
      <c r="BB67" s="54"/>
      <c r="BC67" s="54"/>
      <c r="BD67" s="20"/>
    </row>
    <row r="68" spans="3:56" ht="12" customHeight="1" x14ac:dyDescent="0.3">
      <c r="C68" s="22" t="s">
        <v>138</v>
      </c>
      <c r="D68" s="22"/>
      <c r="E68" s="22"/>
      <c r="F68" s="22"/>
      <c r="G68" s="22"/>
      <c r="H68" s="23"/>
      <c r="I68" s="23"/>
      <c r="J68" s="23"/>
      <c r="K68" s="42"/>
      <c r="L68" s="43"/>
      <c r="M68" s="43"/>
      <c r="N68" s="43"/>
      <c r="O68" s="43"/>
      <c r="P68" s="43"/>
      <c r="Q68" s="43"/>
      <c r="R68" s="43"/>
      <c r="S68" s="55"/>
      <c r="T68" s="42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20"/>
    </row>
    <row r="69" spans="3:56" ht="12" customHeight="1" x14ac:dyDescent="0.3">
      <c r="C69" s="19"/>
      <c r="D69" s="11"/>
      <c r="E69" s="11"/>
      <c r="F69" s="11"/>
      <c r="I69" s="15"/>
      <c r="J69" s="14" t="s">
        <v>6</v>
      </c>
      <c r="K69" s="47" t="s">
        <v>779</v>
      </c>
      <c r="L69" s="46"/>
      <c r="M69" s="46"/>
      <c r="N69" s="46" t="s">
        <v>825</v>
      </c>
      <c r="O69" s="46"/>
      <c r="P69" s="46"/>
      <c r="Q69" s="46" t="s">
        <v>123</v>
      </c>
      <c r="R69" s="46"/>
      <c r="S69" s="48"/>
      <c r="T69" s="47" t="s">
        <v>432</v>
      </c>
      <c r="U69" s="46"/>
      <c r="V69" s="46"/>
      <c r="W69" s="45" t="s">
        <v>433</v>
      </c>
      <c r="X69" s="46"/>
      <c r="Y69" s="46"/>
      <c r="Z69" s="45" t="s">
        <v>434</v>
      </c>
      <c r="AA69" s="46"/>
      <c r="AB69" s="46"/>
      <c r="AC69" s="45" t="s">
        <v>435</v>
      </c>
      <c r="AD69" s="46"/>
      <c r="AE69" s="46"/>
      <c r="AF69" s="45" t="s">
        <v>436</v>
      </c>
      <c r="AG69" s="46"/>
      <c r="AH69" s="46"/>
      <c r="AI69" s="45" t="s">
        <v>437</v>
      </c>
      <c r="AJ69" s="46"/>
      <c r="AK69" s="46"/>
      <c r="AL69" s="45" t="s">
        <v>438</v>
      </c>
      <c r="AM69" s="46"/>
      <c r="AN69" s="46"/>
      <c r="AO69" s="45" t="s">
        <v>439</v>
      </c>
      <c r="AP69" s="46"/>
      <c r="AQ69" s="46"/>
      <c r="AR69" s="45" t="s">
        <v>440</v>
      </c>
      <c r="AS69" s="46"/>
      <c r="AT69" s="46"/>
      <c r="AU69" s="45" t="s">
        <v>441</v>
      </c>
      <c r="AV69" s="46"/>
      <c r="AW69" s="46"/>
      <c r="AX69" s="45" t="s">
        <v>442</v>
      </c>
      <c r="AY69" s="46"/>
      <c r="AZ69" s="46"/>
      <c r="BA69" s="53" t="s">
        <v>443</v>
      </c>
      <c r="BB69" s="54"/>
      <c r="BC69" s="54"/>
      <c r="BD69" s="20"/>
    </row>
    <row r="70" spans="3:56" ht="12" customHeight="1" x14ac:dyDescent="0.3">
      <c r="C70" s="19"/>
      <c r="D70" s="19"/>
      <c r="E70" s="19"/>
      <c r="F70" s="19"/>
      <c r="G70" s="20"/>
      <c r="H70" s="20"/>
      <c r="I70" s="21"/>
      <c r="J70" s="18" t="s">
        <v>7</v>
      </c>
      <c r="K70" s="47" t="s">
        <v>780</v>
      </c>
      <c r="L70" s="46"/>
      <c r="M70" s="46"/>
      <c r="N70" s="46" t="s">
        <v>826</v>
      </c>
      <c r="O70" s="46"/>
      <c r="P70" s="46"/>
      <c r="Q70" s="46" t="s">
        <v>124</v>
      </c>
      <c r="R70" s="46"/>
      <c r="S70" s="48"/>
      <c r="T70" s="47" t="s">
        <v>444</v>
      </c>
      <c r="U70" s="46"/>
      <c r="V70" s="46"/>
      <c r="W70" s="45" t="s">
        <v>445</v>
      </c>
      <c r="X70" s="46"/>
      <c r="Y70" s="46"/>
      <c r="Z70" s="45" t="s">
        <v>446</v>
      </c>
      <c r="AA70" s="46"/>
      <c r="AB70" s="46"/>
      <c r="AC70" s="45" t="s">
        <v>447</v>
      </c>
      <c r="AD70" s="46"/>
      <c r="AE70" s="46"/>
      <c r="AF70" s="45" t="s">
        <v>448</v>
      </c>
      <c r="AG70" s="46"/>
      <c r="AH70" s="46"/>
      <c r="AI70" s="45" t="s">
        <v>449</v>
      </c>
      <c r="AJ70" s="46"/>
      <c r="AK70" s="46"/>
      <c r="AL70" s="45" t="s">
        <v>450</v>
      </c>
      <c r="AM70" s="46"/>
      <c r="AN70" s="46"/>
      <c r="AO70" s="45" t="s">
        <v>451</v>
      </c>
      <c r="AP70" s="46"/>
      <c r="AQ70" s="46"/>
      <c r="AR70" s="45" t="s">
        <v>452</v>
      </c>
      <c r="AS70" s="46"/>
      <c r="AT70" s="46"/>
      <c r="AU70" s="45" t="s">
        <v>453</v>
      </c>
      <c r="AV70" s="46"/>
      <c r="AW70" s="46"/>
      <c r="AX70" s="45" t="s">
        <v>454</v>
      </c>
      <c r="AY70" s="46"/>
      <c r="AZ70" s="46"/>
      <c r="BA70" s="53" t="s">
        <v>455</v>
      </c>
      <c r="BB70" s="54"/>
      <c r="BC70" s="54"/>
      <c r="BD70" s="20"/>
    </row>
    <row r="71" spans="3:56" ht="12" customHeight="1" x14ac:dyDescent="0.3">
      <c r="C71" s="22" t="s">
        <v>139</v>
      </c>
      <c r="D71" s="22"/>
      <c r="E71" s="22"/>
      <c r="F71" s="22"/>
      <c r="G71" s="22"/>
      <c r="H71" s="23"/>
      <c r="I71" s="23"/>
      <c r="J71" s="23"/>
      <c r="K71" s="42"/>
      <c r="L71" s="43"/>
      <c r="M71" s="43"/>
      <c r="N71" s="43"/>
      <c r="O71" s="43"/>
      <c r="P71" s="43"/>
      <c r="Q71" s="43"/>
      <c r="R71" s="43"/>
      <c r="S71" s="55"/>
      <c r="T71" s="42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20"/>
    </row>
    <row r="72" spans="3:56" ht="12" customHeight="1" x14ac:dyDescent="0.3">
      <c r="C72" s="19"/>
      <c r="D72" s="11"/>
      <c r="E72" s="11"/>
      <c r="F72" s="11"/>
      <c r="I72" s="15"/>
      <c r="J72" s="14" t="s">
        <v>6</v>
      </c>
      <c r="K72" s="47" t="s">
        <v>781</v>
      </c>
      <c r="L72" s="46"/>
      <c r="M72" s="46"/>
      <c r="N72" s="46" t="s">
        <v>827</v>
      </c>
      <c r="O72" s="46"/>
      <c r="P72" s="46"/>
      <c r="Q72" s="46" t="s">
        <v>125</v>
      </c>
      <c r="R72" s="46"/>
      <c r="S72" s="48"/>
      <c r="T72" s="47" t="s">
        <v>456</v>
      </c>
      <c r="U72" s="46"/>
      <c r="V72" s="46"/>
      <c r="W72" s="45" t="s">
        <v>457</v>
      </c>
      <c r="X72" s="46"/>
      <c r="Y72" s="46"/>
      <c r="Z72" s="45" t="s">
        <v>458</v>
      </c>
      <c r="AA72" s="46"/>
      <c r="AB72" s="46"/>
      <c r="AC72" s="45" t="s">
        <v>459</v>
      </c>
      <c r="AD72" s="46"/>
      <c r="AE72" s="46"/>
      <c r="AF72" s="45" t="s">
        <v>460</v>
      </c>
      <c r="AG72" s="46"/>
      <c r="AH72" s="46"/>
      <c r="AI72" s="45" t="s">
        <v>461</v>
      </c>
      <c r="AJ72" s="46"/>
      <c r="AK72" s="46"/>
      <c r="AL72" s="45" t="s">
        <v>462</v>
      </c>
      <c r="AM72" s="46"/>
      <c r="AN72" s="46"/>
      <c r="AO72" s="45" t="s">
        <v>463</v>
      </c>
      <c r="AP72" s="46"/>
      <c r="AQ72" s="46"/>
      <c r="AR72" s="45" t="s">
        <v>464</v>
      </c>
      <c r="AS72" s="46"/>
      <c r="AT72" s="46"/>
      <c r="AU72" s="45" t="s">
        <v>465</v>
      </c>
      <c r="AV72" s="46"/>
      <c r="AW72" s="46"/>
      <c r="AX72" s="45" t="s">
        <v>466</v>
      </c>
      <c r="AY72" s="46"/>
      <c r="AZ72" s="46"/>
      <c r="BA72" s="53" t="s">
        <v>467</v>
      </c>
      <c r="BB72" s="54"/>
      <c r="BC72" s="54"/>
      <c r="BD72" s="20"/>
    </row>
    <row r="73" spans="3:56" ht="12" customHeight="1" x14ac:dyDescent="0.3">
      <c r="C73" s="19"/>
      <c r="D73" s="19"/>
      <c r="E73" s="19"/>
      <c r="F73" s="19"/>
      <c r="G73" s="20"/>
      <c r="H73" s="20"/>
      <c r="I73" s="21"/>
      <c r="J73" s="18" t="s">
        <v>7</v>
      </c>
      <c r="K73" s="47" t="s">
        <v>782</v>
      </c>
      <c r="L73" s="46"/>
      <c r="M73" s="46"/>
      <c r="N73" s="46" t="s">
        <v>828</v>
      </c>
      <c r="O73" s="46"/>
      <c r="P73" s="46"/>
      <c r="Q73" s="46" t="s">
        <v>126</v>
      </c>
      <c r="R73" s="46"/>
      <c r="S73" s="48"/>
      <c r="T73" s="47" t="s">
        <v>468</v>
      </c>
      <c r="U73" s="46"/>
      <c r="V73" s="46"/>
      <c r="W73" s="45" t="s">
        <v>469</v>
      </c>
      <c r="X73" s="46"/>
      <c r="Y73" s="46"/>
      <c r="Z73" s="45" t="s">
        <v>470</v>
      </c>
      <c r="AA73" s="46"/>
      <c r="AB73" s="46"/>
      <c r="AC73" s="45" t="s">
        <v>471</v>
      </c>
      <c r="AD73" s="46"/>
      <c r="AE73" s="46"/>
      <c r="AF73" s="45" t="s">
        <v>472</v>
      </c>
      <c r="AG73" s="46"/>
      <c r="AH73" s="46"/>
      <c r="AI73" s="45" t="s">
        <v>473</v>
      </c>
      <c r="AJ73" s="46"/>
      <c r="AK73" s="46"/>
      <c r="AL73" s="45" t="s">
        <v>474</v>
      </c>
      <c r="AM73" s="46"/>
      <c r="AN73" s="46"/>
      <c r="AO73" s="45" t="s">
        <v>475</v>
      </c>
      <c r="AP73" s="46"/>
      <c r="AQ73" s="46"/>
      <c r="AR73" s="45" t="s">
        <v>476</v>
      </c>
      <c r="AS73" s="46"/>
      <c r="AT73" s="46"/>
      <c r="AU73" s="45" t="s">
        <v>477</v>
      </c>
      <c r="AV73" s="46"/>
      <c r="AW73" s="46"/>
      <c r="AX73" s="45" t="s">
        <v>478</v>
      </c>
      <c r="AY73" s="46"/>
      <c r="AZ73" s="46"/>
      <c r="BA73" s="53" t="s">
        <v>479</v>
      </c>
      <c r="BB73" s="54"/>
      <c r="BC73" s="54"/>
      <c r="BD73" s="20"/>
    </row>
    <row r="74" spans="3:56" ht="12" customHeight="1" x14ac:dyDescent="0.3">
      <c r="C74" s="22" t="s">
        <v>553</v>
      </c>
      <c r="D74" s="22"/>
      <c r="E74" s="22"/>
      <c r="F74" s="22"/>
      <c r="G74" s="22"/>
      <c r="H74" s="23"/>
      <c r="I74" s="23"/>
      <c r="J74" s="23"/>
      <c r="K74" s="42"/>
      <c r="L74" s="43"/>
      <c r="M74" s="43"/>
      <c r="N74" s="43"/>
      <c r="O74" s="43"/>
      <c r="P74" s="43"/>
      <c r="Q74" s="43"/>
      <c r="R74" s="43"/>
      <c r="S74" s="55"/>
      <c r="T74" s="42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20"/>
    </row>
    <row r="75" spans="3:56" ht="12" customHeight="1" x14ac:dyDescent="0.3">
      <c r="C75" s="19"/>
      <c r="D75" s="11"/>
      <c r="E75" s="11"/>
      <c r="F75" s="11"/>
      <c r="I75" s="15"/>
      <c r="J75" s="14" t="s">
        <v>6</v>
      </c>
      <c r="K75" s="47" t="s">
        <v>783</v>
      </c>
      <c r="L75" s="46"/>
      <c r="M75" s="46"/>
      <c r="N75" s="46" t="s">
        <v>829</v>
      </c>
      <c r="O75" s="46"/>
      <c r="P75" s="46"/>
      <c r="Q75" s="46" t="s">
        <v>501</v>
      </c>
      <c r="R75" s="46"/>
      <c r="S75" s="48"/>
      <c r="T75" s="47" t="s">
        <v>502</v>
      </c>
      <c r="U75" s="46"/>
      <c r="V75" s="46"/>
      <c r="W75" s="45" t="s">
        <v>503</v>
      </c>
      <c r="X75" s="46"/>
      <c r="Y75" s="46"/>
      <c r="Z75" s="45" t="s">
        <v>504</v>
      </c>
      <c r="AA75" s="46"/>
      <c r="AB75" s="46"/>
      <c r="AC75" s="45" t="s">
        <v>505</v>
      </c>
      <c r="AD75" s="46"/>
      <c r="AE75" s="46"/>
      <c r="AF75" s="45" t="s">
        <v>506</v>
      </c>
      <c r="AG75" s="46"/>
      <c r="AH75" s="46"/>
      <c r="AI75" s="45" t="s">
        <v>507</v>
      </c>
      <c r="AJ75" s="46"/>
      <c r="AK75" s="46"/>
      <c r="AL75" s="45" t="s">
        <v>508</v>
      </c>
      <c r="AM75" s="46"/>
      <c r="AN75" s="46"/>
      <c r="AO75" s="45" t="s">
        <v>509</v>
      </c>
      <c r="AP75" s="46"/>
      <c r="AQ75" s="46"/>
      <c r="AR75" s="45" t="s">
        <v>510</v>
      </c>
      <c r="AS75" s="46"/>
      <c r="AT75" s="46"/>
      <c r="AU75" s="45" t="s">
        <v>511</v>
      </c>
      <c r="AV75" s="46"/>
      <c r="AW75" s="46"/>
      <c r="AX75" s="45" t="s">
        <v>512</v>
      </c>
      <c r="AY75" s="46"/>
      <c r="AZ75" s="46"/>
      <c r="BA75" s="53" t="s">
        <v>513</v>
      </c>
      <c r="BB75" s="54"/>
      <c r="BC75" s="54"/>
      <c r="BD75" s="20"/>
    </row>
    <row r="76" spans="3:56" ht="12" customHeight="1" x14ac:dyDescent="0.3">
      <c r="C76" s="19"/>
      <c r="D76" s="19"/>
      <c r="E76" s="19"/>
      <c r="F76" s="19"/>
      <c r="G76" s="20"/>
      <c r="H76" s="20"/>
      <c r="I76" s="21"/>
      <c r="J76" s="18" t="s">
        <v>7</v>
      </c>
      <c r="K76" s="47" t="s">
        <v>784</v>
      </c>
      <c r="L76" s="46"/>
      <c r="M76" s="46"/>
      <c r="N76" s="46" t="s">
        <v>830</v>
      </c>
      <c r="O76" s="46"/>
      <c r="P76" s="46"/>
      <c r="Q76" s="46" t="s">
        <v>514</v>
      </c>
      <c r="R76" s="46"/>
      <c r="S76" s="48"/>
      <c r="T76" s="47" t="s">
        <v>515</v>
      </c>
      <c r="U76" s="46"/>
      <c r="V76" s="46"/>
      <c r="W76" s="45" t="s">
        <v>516</v>
      </c>
      <c r="X76" s="46"/>
      <c r="Y76" s="46"/>
      <c r="Z76" s="45" t="s">
        <v>517</v>
      </c>
      <c r="AA76" s="46"/>
      <c r="AB76" s="46"/>
      <c r="AC76" s="45" t="s">
        <v>518</v>
      </c>
      <c r="AD76" s="46"/>
      <c r="AE76" s="46"/>
      <c r="AF76" s="45" t="s">
        <v>519</v>
      </c>
      <c r="AG76" s="46"/>
      <c r="AH76" s="46"/>
      <c r="AI76" s="45" t="s">
        <v>520</v>
      </c>
      <c r="AJ76" s="46"/>
      <c r="AK76" s="46"/>
      <c r="AL76" s="45" t="s">
        <v>521</v>
      </c>
      <c r="AM76" s="46"/>
      <c r="AN76" s="46"/>
      <c r="AO76" s="45" t="s">
        <v>522</v>
      </c>
      <c r="AP76" s="46"/>
      <c r="AQ76" s="46"/>
      <c r="AR76" s="45" t="s">
        <v>523</v>
      </c>
      <c r="AS76" s="46"/>
      <c r="AT76" s="46"/>
      <c r="AU76" s="45" t="s">
        <v>524</v>
      </c>
      <c r="AV76" s="46"/>
      <c r="AW76" s="46"/>
      <c r="AX76" s="45" t="s">
        <v>525</v>
      </c>
      <c r="AY76" s="46"/>
      <c r="AZ76" s="46"/>
      <c r="BA76" s="53" t="s">
        <v>526</v>
      </c>
      <c r="BB76" s="54"/>
      <c r="BC76" s="54"/>
      <c r="BD76" s="20"/>
    </row>
    <row r="77" spans="3:56" ht="12" customHeight="1" x14ac:dyDescent="0.3">
      <c r="C77" s="22" t="s">
        <v>580</v>
      </c>
      <c r="D77" s="22"/>
      <c r="E77" s="22"/>
      <c r="F77" s="22"/>
      <c r="G77" s="22"/>
      <c r="H77" s="23"/>
      <c r="I77" s="23"/>
      <c r="J77" s="23"/>
      <c r="K77" s="42"/>
      <c r="L77" s="43"/>
      <c r="M77" s="43"/>
      <c r="N77" s="43"/>
      <c r="O77" s="43"/>
      <c r="P77" s="43"/>
      <c r="Q77" s="43"/>
      <c r="R77" s="43"/>
      <c r="S77" s="55"/>
      <c r="T77" s="42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20"/>
    </row>
    <row r="78" spans="3:56" ht="12" customHeight="1" x14ac:dyDescent="0.3">
      <c r="C78" s="19"/>
      <c r="D78" s="11"/>
      <c r="E78" s="11"/>
      <c r="F78" s="11"/>
      <c r="I78" s="15"/>
      <c r="J78" s="14" t="s">
        <v>6</v>
      </c>
      <c r="K78" s="47" t="s">
        <v>785</v>
      </c>
      <c r="L78" s="46"/>
      <c r="M78" s="46"/>
      <c r="N78" s="46" t="s">
        <v>831</v>
      </c>
      <c r="O78" s="46"/>
      <c r="P78" s="46"/>
      <c r="Q78" s="46" t="s">
        <v>527</v>
      </c>
      <c r="R78" s="46"/>
      <c r="S78" s="48"/>
      <c r="T78" s="47" t="s">
        <v>528</v>
      </c>
      <c r="U78" s="46"/>
      <c r="V78" s="46"/>
      <c r="W78" s="45" t="s">
        <v>529</v>
      </c>
      <c r="X78" s="46"/>
      <c r="Y78" s="46"/>
      <c r="Z78" s="45" t="s">
        <v>530</v>
      </c>
      <c r="AA78" s="46"/>
      <c r="AB78" s="46"/>
      <c r="AC78" s="45" t="s">
        <v>531</v>
      </c>
      <c r="AD78" s="46"/>
      <c r="AE78" s="46"/>
      <c r="AF78" s="45" t="s">
        <v>532</v>
      </c>
      <c r="AG78" s="46"/>
      <c r="AH78" s="46"/>
      <c r="AI78" s="45" t="s">
        <v>533</v>
      </c>
      <c r="AJ78" s="46"/>
      <c r="AK78" s="46"/>
      <c r="AL78" s="45" t="s">
        <v>534</v>
      </c>
      <c r="AM78" s="46"/>
      <c r="AN78" s="46"/>
      <c r="AO78" s="45" t="s">
        <v>535</v>
      </c>
      <c r="AP78" s="46"/>
      <c r="AQ78" s="46"/>
      <c r="AR78" s="45" t="s">
        <v>536</v>
      </c>
      <c r="AS78" s="46"/>
      <c r="AT78" s="46"/>
      <c r="AU78" s="45" t="s">
        <v>537</v>
      </c>
      <c r="AV78" s="46"/>
      <c r="AW78" s="46"/>
      <c r="AX78" s="45" t="s">
        <v>538</v>
      </c>
      <c r="AY78" s="46"/>
      <c r="AZ78" s="46"/>
      <c r="BA78" s="53" t="s">
        <v>539</v>
      </c>
      <c r="BB78" s="54"/>
      <c r="BC78" s="54"/>
      <c r="BD78" s="20"/>
    </row>
    <row r="79" spans="3:56" ht="12" customHeight="1" x14ac:dyDescent="0.3">
      <c r="C79" s="19"/>
      <c r="D79" s="19"/>
      <c r="E79" s="19"/>
      <c r="F79" s="19"/>
      <c r="G79" s="20"/>
      <c r="H79" s="20"/>
      <c r="I79" s="21"/>
      <c r="J79" s="18" t="s">
        <v>7</v>
      </c>
      <c r="K79" s="47" t="s">
        <v>786</v>
      </c>
      <c r="L79" s="46"/>
      <c r="M79" s="46"/>
      <c r="N79" s="46" t="s">
        <v>832</v>
      </c>
      <c r="O79" s="46"/>
      <c r="P79" s="46"/>
      <c r="Q79" s="46" t="s">
        <v>540</v>
      </c>
      <c r="R79" s="46"/>
      <c r="S79" s="48"/>
      <c r="T79" s="47" t="s">
        <v>541</v>
      </c>
      <c r="U79" s="46"/>
      <c r="V79" s="46"/>
      <c r="W79" s="45" t="s">
        <v>542</v>
      </c>
      <c r="X79" s="46"/>
      <c r="Y79" s="46"/>
      <c r="Z79" s="45" t="s">
        <v>543</v>
      </c>
      <c r="AA79" s="46"/>
      <c r="AB79" s="46"/>
      <c r="AC79" s="45" t="s">
        <v>544</v>
      </c>
      <c r="AD79" s="46"/>
      <c r="AE79" s="46"/>
      <c r="AF79" s="45" t="s">
        <v>545</v>
      </c>
      <c r="AG79" s="46"/>
      <c r="AH79" s="46"/>
      <c r="AI79" s="45" t="s">
        <v>546</v>
      </c>
      <c r="AJ79" s="46"/>
      <c r="AK79" s="46"/>
      <c r="AL79" s="45" t="s">
        <v>547</v>
      </c>
      <c r="AM79" s="46"/>
      <c r="AN79" s="46"/>
      <c r="AO79" s="45" t="s">
        <v>548</v>
      </c>
      <c r="AP79" s="46"/>
      <c r="AQ79" s="46"/>
      <c r="AR79" s="45" t="s">
        <v>549</v>
      </c>
      <c r="AS79" s="46"/>
      <c r="AT79" s="46"/>
      <c r="AU79" s="45" t="s">
        <v>550</v>
      </c>
      <c r="AV79" s="46"/>
      <c r="AW79" s="46"/>
      <c r="AX79" s="45" t="s">
        <v>551</v>
      </c>
      <c r="AY79" s="46"/>
      <c r="AZ79" s="46"/>
      <c r="BA79" s="53" t="s">
        <v>552</v>
      </c>
      <c r="BB79" s="54"/>
      <c r="BC79" s="54"/>
      <c r="BD79" s="20"/>
    </row>
    <row r="80" spans="3:56" ht="12" customHeight="1" x14ac:dyDescent="0.3">
      <c r="C80" s="22" t="s">
        <v>581</v>
      </c>
      <c r="D80" s="22"/>
      <c r="E80" s="22"/>
      <c r="F80" s="22"/>
      <c r="G80" s="22"/>
      <c r="H80" s="23"/>
      <c r="I80" s="23"/>
      <c r="J80" s="23"/>
      <c r="K80" s="42"/>
      <c r="L80" s="43"/>
      <c r="M80" s="43"/>
      <c r="N80" s="43"/>
      <c r="O80" s="43"/>
      <c r="P80" s="43"/>
      <c r="Q80" s="43"/>
      <c r="R80" s="43"/>
      <c r="S80" s="55"/>
      <c r="T80" s="42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20"/>
    </row>
    <row r="81" spans="3:56" ht="12" customHeight="1" x14ac:dyDescent="0.3">
      <c r="C81" s="19"/>
      <c r="D81" s="11"/>
      <c r="E81" s="11"/>
      <c r="F81" s="11"/>
      <c r="I81" s="15"/>
      <c r="J81" s="14" t="s">
        <v>6</v>
      </c>
      <c r="K81" s="47" t="s">
        <v>787</v>
      </c>
      <c r="L81" s="46"/>
      <c r="M81" s="46"/>
      <c r="N81" s="46" t="s">
        <v>833</v>
      </c>
      <c r="O81" s="46"/>
      <c r="P81" s="46"/>
      <c r="Q81" s="46" t="s">
        <v>554</v>
      </c>
      <c r="R81" s="46"/>
      <c r="S81" s="48"/>
      <c r="T81" s="47" t="s">
        <v>555</v>
      </c>
      <c r="U81" s="46"/>
      <c r="V81" s="46"/>
      <c r="W81" s="45" t="s">
        <v>556</v>
      </c>
      <c r="X81" s="46"/>
      <c r="Y81" s="46"/>
      <c r="Z81" s="45" t="s">
        <v>557</v>
      </c>
      <c r="AA81" s="46"/>
      <c r="AB81" s="46"/>
      <c r="AC81" s="45" t="s">
        <v>558</v>
      </c>
      <c r="AD81" s="46"/>
      <c r="AE81" s="46"/>
      <c r="AF81" s="45" t="s">
        <v>559</v>
      </c>
      <c r="AG81" s="46"/>
      <c r="AH81" s="46"/>
      <c r="AI81" s="45" t="s">
        <v>560</v>
      </c>
      <c r="AJ81" s="46"/>
      <c r="AK81" s="46"/>
      <c r="AL81" s="45" t="s">
        <v>561</v>
      </c>
      <c r="AM81" s="46"/>
      <c r="AN81" s="46"/>
      <c r="AO81" s="45" t="s">
        <v>562</v>
      </c>
      <c r="AP81" s="46"/>
      <c r="AQ81" s="46"/>
      <c r="AR81" s="45" t="s">
        <v>563</v>
      </c>
      <c r="AS81" s="46"/>
      <c r="AT81" s="46"/>
      <c r="AU81" s="45" t="s">
        <v>564</v>
      </c>
      <c r="AV81" s="46"/>
      <c r="AW81" s="46"/>
      <c r="AX81" s="45" t="s">
        <v>565</v>
      </c>
      <c r="AY81" s="46"/>
      <c r="AZ81" s="46"/>
      <c r="BA81" s="53" t="s">
        <v>566</v>
      </c>
      <c r="BB81" s="54"/>
      <c r="BC81" s="54"/>
      <c r="BD81" s="20"/>
    </row>
    <row r="82" spans="3:56" ht="12" customHeight="1" x14ac:dyDescent="0.3">
      <c r="C82" s="19"/>
      <c r="D82" s="19"/>
      <c r="E82" s="19"/>
      <c r="F82" s="19"/>
      <c r="G82" s="20"/>
      <c r="H82" s="20"/>
      <c r="I82" s="21"/>
      <c r="J82" s="18" t="s">
        <v>7</v>
      </c>
      <c r="K82" s="47" t="s">
        <v>788</v>
      </c>
      <c r="L82" s="46"/>
      <c r="M82" s="46"/>
      <c r="N82" s="46" t="s">
        <v>834</v>
      </c>
      <c r="O82" s="46"/>
      <c r="P82" s="46"/>
      <c r="Q82" s="46" t="s">
        <v>567</v>
      </c>
      <c r="R82" s="46"/>
      <c r="S82" s="48"/>
      <c r="T82" s="47" t="s">
        <v>568</v>
      </c>
      <c r="U82" s="46"/>
      <c r="V82" s="46"/>
      <c r="W82" s="45" t="s">
        <v>569</v>
      </c>
      <c r="X82" s="46"/>
      <c r="Y82" s="46"/>
      <c r="Z82" s="45" t="s">
        <v>570</v>
      </c>
      <c r="AA82" s="46"/>
      <c r="AB82" s="46"/>
      <c r="AC82" s="45" t="s">
        <v>571</v>
      </c>
      <c r="AD82" s="46"/>
      <c r="AE82" s="46"/>
      <c r="AF82" s="45" t="s">
        <v>572</v>
      </c>
      <c r="AG82" s="46"/>
      <c r="AH82" s="46"/>
      <c r="AI82" s="45" t="s">
        <v>573</v>
      </c>
      <c r="AJ82" s="46"/>
      <c r="AK82" s="46"/>
      <c r="AL82" s="45" t="s">
        <v>574</v>
      </c>
      <c r="AM82" s="46"/>
      <c r="AN82" s="46"/>
      <c r="AO82" s="45" t="s">
        <v>575</v>
      </c>
      <c r="AP82" s="46"/>
      <c r="AQ82" s="46"/>
      <c r="AR82" s="45" t="s">
        <v>576</v>
      </c>
      <c r="AS82" s="46"/>
      <c r="AT82" s="46"/>
      <c r="AU82" s="45" t="s">
        <v>577</v>
      </c>
      <c r="AV82" s="46"/>
      <c r="AW82" s="46"/>
      <c r="AX82" s="45" t="s">
        <v>578</v>
      </c>
      <c r="AY82" s="46"/>
      <c r="AZ82" s="46"/>
      <c r="BA82" s="53" t="s">
        <v>579</v>
      </c>
      <c r="BB82" s="54"/>
      <c r="BC82" s="54"/>
      <c r="BD82" s="20"/>
    </row>
    <row r="83" spans="3:56" ht="12" customHeight="1" x14ac:dyDescent="0.3">
      <c r="C83" s="22" t="s">
        <v>582</v>
      </c>
      <c r="D83" s="22"/>
      <c r="E83" s="22"/>
      <c r="F83" s="22"/>
      <c r="G83" s="22"/>
      <c r="H83" s="23"/>
      <c r="I83" s="23"/>
      <c r="J83" s="23"/>
      <c r="K83" s="42"/>
      <c r="L83" s="43"/>
      <c r="M83" s="43"/>
      <c r="N83" s="43"/>
      <c r="O83" s="43"/>
      <c r="P83" s="43"/>
      <c r="Q83" s="43"/>
      <c r="R83" s="43"/>
      <c r="S83" s="55"/>
      <c r="T83" s="42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20"/>
    </row>
    <row r="84" spans="3:56" ht="12" customHeight="1" x14ac:dyDescent="0.3">
      <c r="C84" s="19"/>
      <c r="D84" s="11"/>
      <c r="E84" s="11"/>
      <c r="F84" s="11"/>
      <c r="I84" s="15"/>
      <c r="J84" s="14" t="s">
        <v>6</v>
      </c>
      <c r="K84" s="47" t="s">
        <v>789</v>
      </c>
      <c r="L84" s="46"/>
      <c r="M84" s="46"/>
      <c r="N84" s="46" t="s">
        <v>835</v>
      </c>
      <c r="O84" s="46"/>
      <c r="P84" s="46"/>
      <c r="Q84" s="46" t="s">
        <v>583</v>
      </c>
      <c r="R84" s="46"/>
      <c r="S84" s="48"/>
      <c r="T84" s="47" t="s">
        <v>584</v>
      </c>
      <c r="U84" s="46"/>
      <c r="V84" s="46"/>
      <c r="W84" s="45" t="s">
        <v>614</v>
      </c>
      <c r="X84" s="46"/>
      <c r="Y84" s="46"/>
      <c r="Z84" s="45" t="s">
        <v>585</v>
      </c>
      <c r="AA84" s="46"/>
      <c r="AB84" s="46"/>
      <c r="AC84" s="45" t="s">
        <v>586</v>
      </c>
      <c r="AD84" s="46"/>
      <c r="AE84" s="46"/>
      <c r="AF84" s="45" t="s">
        <v>587</v>
      </c>
      <c r="AG84" s="46"/>
      <c r="AH84" s="46"/>
      <c r="AI84" s="45" t="s">
        <v>588</v>
      </c>
      <c r="AJ84" s="46"/>
      <c r="AK84" s="46"/>
      <c r="AL84" s="45" t="s">
        <v>589</v>
      </c>
      <c r="AM84" s="46"/>
      <c r="AN84" s="46"/>
      <c r="AO84" s="45" t="s">
        <v>590</v>
      </c>
      <c r="AP84" s="46"/>
      <c r="AQ84" s="46"/>
      <c r="AR84" s="45" t="s">
        <v>591</v>
      </c>
      <c r="AS84" s="46"/>
      <c r="AT84" s="46"/>
      <c r="AU84" s="45" t="s">
        <v>592</v>
      </c>
      <c r="AV84" s="46"/>
      <c r="AW84" s="46"/>
      <c r="AX84" s="45" t="s">
        <v>593</v>
      </c>
      <c r="AY84" s="46"/>
      <c r="AZ84" s="46"/>
      <c r="BA84" s="53" t="s">
        <v>594</v>
      </c>
      <c r="BB84" s="54"/>
      <c r="BC84" s="54"/>
      <c r="BD84" s="20"/>
    </row>
    <row r="85" spans="3:56" ht="12" customHeight="1" x14ac:dyDescent="0.3">
      <c r="C85" s="19"/>
      <c r="D85" s="19"/>
      <c r="E85" s="19"/>
      <c r="F85" s="19"/>
      <c r="G85" s="20"/>
      <c r="H85" s="20"/>
      <c r="I85" s="21"/>
      <c r="J85" s="18" t="s">
        <v>7</v>
      </c>
      <c r="K85" s="47" t="s">
        <v>790</v>
      </c>
      <c r="L85" s="46"/>
      <c r="M85" s="46"/>
      <c r="N85" s="46" t="s">
        <v>836</v>
      </c>
      <c r="O85" s="46"/>
      <c r="P85" s="46"/>
      <c r="Q85" s="46" t="s">
        <v>595</v>
      </c>
      <c r="R85" s="46"/>
      <c r="S85" s="48"/>
      <c r="T85" s="47" t="s">
        <v>596</v>
      </c>
      <c r="U85" s="46"/>
      <c r="V85" s="46"/>
      <c r="W85" s="45" t="s">
        <v>615</v>
      </c>
      <c r="X85" s="46"/>
      <c r="Y85" s="46"/>
      <c r="Z85" s="45" t="s">
        <v>597</v>
      </c>
      <c r="AA85" s="46"/>
      <c r="AB85" s="46"/>
      <c r="AC85" s="45" t="s">
        <v>598</v>
      </c>
      <c r="AD85" s="46"/>
      <c r="AE85" s="46"/>
      <c r="AF85" s="45" t="s">
        <v>599</v>
      </c>
      <c r="AG85" s="46"/>
      <c r="AH85" s="46"/>
      <c r="AI85" s="45" t="s">
        <v>600</v>
      </c>
      <c r="AJ85" s="46"/>
      <c r="AK85" s="46"/>
      <c r="AL85" s="45" t="s">
        <v>601</v>
      </c>
      <c r="AM85" s="46"/>
      <c r="AN85" s="46"/>
      <c r="AO85" s="45" t="s">
        <v>602</v>
      </c>
      <c r="AP85" s="46"/>
      <c r="AQ85" s="46"/>
      <c r="AR85" s="45" t="s">
        <v>603</v>
      </c>
      <c r="AS85" s="46"/>
      <c r="AT85" s="46"/>
      <c r="AU85" s="45" t="s">
        <v>604</v>
      </c>
      <c r="AV85" s="46"/>
      <c r="AW85" s="46"/>
      <c r="AX85" s="45" t="s">
        <v>605</v>
      </c>
      <c r="AY85" s="46"/>
      <c r="AZ85" s="46"/>
      <c r="BA85" s="53" t="s">
        <v>606</v>
      </c>
      <c r="BB85" s="54"/>
      <c r="BC85" s="54"/>
      <c r="BD85" s="20"/>
    </row>
    <row r="86" spans="3:56" ht="12" customHeight="1" x14ac:dyDescent="0.3">
      <c r="C86" s="22" t="s">
        <v>607</v>
      </c>
      <c r="D86" s="22"/>
      <c r="E86" s="22"/>
      <c r="F86" s="22"/>
      <c r="G86" s="22"/>
      <c r="H86" s="23"/>
      <c r="I86" s="23"/>
      <c r="J86" s="23"/>
      <c r="K86" s="42"/>
      <c r="L86" s="43"/>
      <c r="M86" s="43"/>
      <c r="N86" s="43"/>
      <c r="O86" s="43"/>
      <c r="P86" s="43"/>
      <c r="Q86" s="43"/>
      <c r="R86" s="43"/>
      <c r="S86" s="55"/>
      <c r="T86" s="42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20"/>
    </row>
    <row r="87" spans="3:56" ht="12" customHeight="1" x14ac:dyDescent="0.3">
      <c r="C87" s="19"/>
      <c r="D87" s="11"/>
      <c r="E87" s="11"/>
      <c r="F87" s="11"/>
      <c r="I87" s="15"/>
      <c r="J87" s="14" t="s">
        <v>6</v>
      </c>
      <c r="K87" s="47" t="s">
        <v>791</v>
      </c>
      <c r="L87" s="46"/>
      <c r="M87" s="46"/>
      <c r="N87" s="46" t="s">
        <v>837</v>
      </c>
      <c r="O87" s="46"/>
      <c r="P87" s="46"/>
      <c r="Q87" s="46" t="s">
        <v>616</v>
      </c>
      <c r="R87" s="46"/>
      <c r="S87" s="48"/>
      <c r="T87" s="47" t="s">
        <v>617</v>
      </c>
      <c r="U87" s="46"/>
      <c r="V87" s="46"/>
      <c r="W87" s="45" t="s">
        <v>618</v>
      </c>
      <c r="X87" s="46"/>
      <c r="Y87" s="46"/>
      <c r="Z87" s="45" t="s">
        <v>619</v>
      </c>
      <c r="AA87" s="46"/>
      <c r="AB87" s="46"/>
      <c r="AC87" s="45" t="s">
        <v>620</v>
      </c>
      <c r="AD87" s="46"/>
      <c r="AE87" s="46"/>
      <c r="AF87" s="45" t="s">
        <v>621</v>
      </c>
      <c r="AG87" s="46"/>
      <c r="AH87" s="46"/>
      <c r="AI87" s="45" t="s">
        <v>622</v>
      </c>
      <c r="AJ87" s="46"/>
      <c r="AK87" s="46"/>
      <c r="AL87" s="45" t="s">
        <v>623</v>
      </c>
      <c r="AM87" s="46"/>
      <c r="AN87" s="46"/>
      <c r="AO87" s="45" t="s">
        <v>624</v>
      </c>
      <c r="AP87" s="46"/>
      <c r="AQ87" s="46"/>
      <c r="AR87" s="45" t="s">
        <v>625</v>
      </c>
      <c r="AS87" s="46"/>
      <c r="AT87" s="46"/>
      <c r="AU87" s="45" t="s">
        <v>626</v>
      </c>
      <c r="AV87" s="46"/>
      <c r="AW87" s="46"/>
      <c r="AX87" s="45" t="s">
        <v>627</v>
      </c>
      <c r="AY87" s="46"/>
      <c r="AZ87" s="46"/>
      <c r="BA87" s="53" t="s">
        <v>628</v>
      </c>
      <c r="BB87" s="54"/>
      <c r="BC87" s="54"/>
      <c r="BD87" s="20"/>
    </row>
    <row r="88" spans="3:56" ht="12" customHeight="1" x14ac:dyDescent="0.3">
      <c r="C88" s="19"/>
      <c r="D88" s="19"/>
      <c r="E88" s="19"/>
      <c r="F88" s="19"/>
      <c r="G88" s="20"/>
      <c r="H88" s="20"/>
      <c r="I88" s="21"/>
      <c r="J88" s="18" t="s">
        <v>7</v>
      </c>
      <c r="K88" s="47" t="s">
        <v>792</v>
      </c>
      <c r="L88" s="46"/>
      <c r="M88" s="46"/>
      <c r="N88" s="46" t="s">
        <v>838</v>
      </c>
      <c r="O88" s="46"/>
      <c r="P88" s="46"/>
      <c r="Q88" s="46" t="s">
        <v>629</v>
      </c>
      <c r="R88" s="46"/>
      <c r="S88" s="48"/>
      <c r="T88" s="47" t="s">
        <v>630</v>
      </c>
      <c r="U88" s="46"/>
      <c r="V88" s="46"/>
      <c r="W88" s="45" t="s">
        <v>631</v>
      </c>
      <c r="X88" s="46"/>
      <c r="Y88" s="46"/>
      <c r="Z88" s="45" t="s">
        <v>632</v>
      </c>
      <c r="AA88" s="46"/>
      <c r="AB88" s="46"/>
      <c r="AC88" s="45" t="s">
        <v>633</v>
      </c>
      <c r="AD88" s="46"/>
      <c r="AE88" s="46"/>
      <c r="AF88" s="45" t="s">
        <v>634</v>
      </c>
      <c r="AG88" s="46"/>
      <c r="AH88" s="46"/>
      <c r="AI88" s="45" t="s">
        <v>635</v>
      </c>
      <c r="AJ88" s="46"/>
      <c r="AK88" s="46"/>
      <c r="AL88" s="45" t="s">
        <v>636</v>
      </c>
      <c r="AM88" s="46"/>
      <c r="AN88" s="46"/>
      <c r="AO88" s="45" t="s">
        <v>637</v>
      </c>
      <c r="AP88" s="46"/>
      <c r="AQ88" s="46"/>
      <c r="AR88" s="45" t="s">
        <v>638</v>
      </c>
      <c r="AS88" s="46"/>
      <c r="AT88" s="46"/>
      <c r="AU88" s="45" t="s">
        <v>639</v>
      </c>
      <c r="AV88" s="46"/>
      <c r="AW88" s="46"/>
      <c r="AX88" s="45" t="s">
        <v>640</v>
      </c>
      <c r="AY88" s="46"/>
      <c r="AZ88" s="46"/>
      <c r="BA88" s="53" t="s">
        <v>641</v>
      </c>
      <c r="BB88" s="54"/>
      <c r="BC88" s="54"/>
      <c r="BD88" s="20"/>
    </row>
    <row r="89" spans="3:56" ht="12" customHeight="1" x14ac:dyDescent="0.3">
      <c r="C89" s="22" t="s">
        <v>608</v>
      </c>
      <c r="D89" s="22"/>
      <c r="E89" s="22"/>
      <c r="F89" s="22"/>
      <c r="G89" s="22"/>
      <c r="H89" s="23"/>
      <c r="I89" s="23"/>
      <c r="J89" s="23"/>
      <c r="K89" s="42"/>
      <c r="L89" s="43"/>
      <c r="M89" s="43"/>
      <c r="N89" s="43"/>
      <c r="O89" s="43"/>
      <c r="P89" s="43"/>
      <c r="Q89" s="43"/>
      <c r="R89" s="43"/>
      <c r="S89" s="55"/>
      <c r="T89" s="42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20"/>
    </row>
    <row r="90" spans="3:56" ht="12" customHeight="1" x14ac:dyDescent="0.3">
      <c r="C90" s="19"/>
      <c r="D90" s="11"/>
      <c r="E90" s="11"/>
      <c r="F90" s="11"/>
      <c r="I90" s="15"/>
      <c r="J90" s="14" t="s">
        <v>6</v>
      </c>
      <c r="K90" s="47" t="s">
        <v>793</v>
      </c>
      <c r="L90" s="46"/>
      <c r="M90" s="46"/>
      <c r="N90" s="46" t="s">
        <v>839</v>
      </c>
      <c r="O90" s="46"/>
      <c r="P90" s="46"/>
      <c r="Q90" s="46" t="s">
        <v>642</v>
      </c>
      <c r="R90" s="46"/>
      <c r="S90" s="48"/>
      <c r="T90" s="47" t="s">
        <v>643</v>
      </c>
      <c r="U90" s="46"/>
      <c r="V90" s="46"/>
      <c r="W90" s="45" t="s">
        <v>644</v>
      </c>
      <c r="X90" s="46"/>
      <c r="Y90" s="46"/>
      <c r="Z90" s="45" t="s">
        <v>645</v>
      </c>
      <c r="AA90" s="46"/>
      <c r="AB90" s="46"/>
      <c r="AC90" s="45" t="s">
        <v>646</v>
      </c>
      <c r="AD90" s="46"/>
      <c r="AE90" s="46"/>
      <c r="AF90" s="45" t="s">
        <v>647</v>
      </c>
      <c r="AG90" s="46"/>
      <c r="AH90" s="46"/>
      <c r="AI90" s="45" t="s">
        <v>648</v>
      </c>
      <c r="AJ90" s="46"/>
      <c r="AK90" s="46"/>
      <c r="AL90" s="45" t="s">
        <v>649</v>
      </c>
      <c r="AM90" s="46"/>
      <c r="AN90" s="46"/>
      <c r="AO90" s="45" t="s">
        <v>650</v>
      </c>
      <c r="AP90" s="46"/>
      <c r="AQ90" s="46"/>
      <c r="AR90" s="45" t="s">
        <v>651</v>
      </c>
      <c r="AS90" s="46"/>
      <c r="AT90" s="46"/>
      <c r="AU90" s="45" t="s">
        <v>652</v>
      </c>
      <c r="AV90" s="46"/>
      <c r="AW90" s="46"/>
      <c r="AX90" s="45" t="s">
        <v>653</v>
      </c>
      <c r="AY90" s="46"/>
      <c r="AZ90" s="46"/>
      <c r="BA90" s="53" t="s">
        <v>654</v>
      </c>
      <c r="BB90" s="54"/>
      <c r="BC90" s="54"/>
      <c r="BD90" s="20"/>
    </row>
    <row r="91" spans="3:56" ht="12" customHeight="1" x14ac:dyDescent="0.3">
      <c r="C91" s="19"/>
      <c r="D91" s="19"/>
      <c r="E91" s="19"/>
      <c r="F91" s="19"/>
      <c r="G91" s="20"/>
      <c r="H91" s="20"/>
      <c r="I91" s="21"/>
      <c r="J91" s="18" t="s">
        <v>7</v>
      </c>
      <c r="K91" s="47" t="s">
        <v>794</v>
      </c>
      <c r="L91" s="46"/>
      <c r="M91" s="46"/>
      <c r="N91" s="46" t="s">
        <v>840</v>
      </c>
      <c r="O91" s="46"/>
      <c r="P91" s="46"/>
      <c r="Q91" s="46" t="s">
        <v>655</v>
      </c>
      <c r="R91" s="46"/>
      <c r="S91" s="48"/>
      <c r="T91" s="47" t="s">
        <v>656</v>
      </c>
      <c r="U91" s="46"/>
      <c r="V91" s="46"/>
      <c r="W91" s="45" t="s">
        <v>657</v>
      </c>
      <c r="X91" s="46"/>
      <c r="Y91" s="46"/>
      <c r="Z91" s="45" t="s">
        <v>658</v>
      </c>
      <c r="AA91" s="46"/>
      <c r="AB91" s="46"/>
      <c r="AC91" s="45" t="s">
        <v>659</v>
      </c>
      <c r="AD91" s="46"/>
      <c r="AE91" s="46"/>
      <c r="AF91" s="45" t="s">
        <v>660</v>
      </c>
      <c r="AG91" s="46"/>
      <c r="AH91" s="46"/>
      <c r="AI91" s="45" t="s">
        <v>661</v>
      </c>
      <c r="AJ91" s="46"/>
      <c r="AK91" s="46"/>
      <c r="AL91" s="45" t="s">
        <v>662</v>
      </c>
      <c r="AM91" s="46"/>
      <c r="AN91" s="46"/>
      <c r="AO91" s="45" t="s">
        <v>663</v>
      </c>
      <c r="AP91" s="46"/>
      <c r="AQ91" s="46"/>
      <c r="AR91" s="45" t="s">
        <v>664</v>
      </c>
      <c r="AS91" s="46"/>
      <c r="AT91" s="46"/>
      <c r="AU91" s="45" t="s">
        <v>665</v>
      </c>
      <c r="AV91" s="46"/>
      <c r="AW91" s="46"/>
      <c r="AX91" s="45" t="s">
        <v>666</v>
      </c>
      <c r="AY91" s="46"/>
      <c r="AZ91" s="46"/>
      <c r="BA91" s="53" t="s">
        <v>667</v>
      </c>
      <c r="BB91" s="54"/>
      <c r="BC91" s="54"/>
      <c r="BD91" s="20"/>
    </row>
    <row r="92" spans="3:56" ht="12" customHeight="1" x14ac:dyDescent="0.3">
      <c r="C92" s="22" t="s">
        <v>609</v>
      </c>
      <c r="D92" s="22"/>
      <c r="E92" s="22"/>
      <c r="F92" s="22"/>
      <c r="G92" s="22"/>
      <c r="H92" s="23"/>
      <c r="I92" s="23"/>
      <c r="J92" s="23"/>
      <c r="K92" s="42"/>
      <c r="L92" s="43"/>
      <c r="M92" s="43"/>
      <c r="N92" s="43"/>
      <c r="O92" s="43"/>
      <c r="P92" s="43"/>
      <c r="Q92" s="43"/>
      <c r="R92" s="43"/>
      <c r="S92" s="55"/>
      <c r="T92" s="42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20"/>
    </row>
    <row r="93" spans="3:56" ht="12" customHeight="1" x14ac:dyDescent="0.3">
      <c r="C93" s="19"/>
      <c r="D93" s="11"/>
      <c r="E93" s="11"/>
      <c r="F93" s="11"/>
      <c r="I93" s="15"/>
      <c r="J93" s="14" t="s">
        <v>6</v>
      </c>
      <c r="K93" s="47" t="s">
        <v>795</v>
      </c>
      <c r="L93" s="46"/>
      <c r="M93" s="46"/>
      <c r="N93" s="46" t="s">
        <v>841</v>
      </c>
      <c r="O93" s="46"/>
      <c r="P93" s="46"/>
      <c r="Q93" s="46" t="s">
        <v>668</v>
      </c>
      <c r="R93" s="46"/>
      <c r="S93" s="48"/>
      <c r="T93" s="47" t="s">
        <v>669</v>
      </c>
      <c r="U93" s="46"/>
      <c r="V93" s="46"/>
      <c r="W93" s="45" t="s">
        <v>670</v>
      </c>
      <c r="X93" s="46"/>
      <c r="Y93" s="46"/>
      <c r="Z93" s="45" t="s">
        <v>671</v>
      </c>
      <c r="AA93" s="46"/>
      <c r="AB93" s="46"/>
      <c r="AC93" s="45" t="s">
        <v>672</v>
      </c>
      <c r="AD93" s="46"/>
      <c r="AE93" s="46"/>
      <c r="AF93" s="45" t="s">
        <v>673</v>
      </c>
      <c r="AG93" s="46"/>
      <c r="AH93" s="46"/>
      <c r="AI93" s="45" t="s">
        <v>674</v>
      </c>
      <c r="AJ93" s="46"/>
      <c r="AK93" s="46"/>
      <c r="AL93" s="45" t="s">
        <v>675</v>
      </c>
      <c r="AM93" s="46"/>
      <c r="AN93" s="46"/>
      <c r="AO93" s="45" t="s">
        <v>676</v>
      </c>
      <c r="AP93" s="46"/>
      <c r="AQ93" s="46"/>
      <c r="AR93" s="45" t="s">
        <v>677</v>
      </c>
      <c r="AS93" s="46"/>
      <c r="AT93" s="46"/>
      <c r="AU93" s="45" t="s">
        <v>678</v>
      </c>
      <c r="AV93" s="46"/>
      <c r="AW93" s="46"/>
      <c r="AX93" s="45" t="s">
        <v>679</v>
      </c>
      <c r="AY93" s="46"/>
      <c r="AZ93" s="46"/>
      <c r="BA93" s="53" t="s">
        <v>680</v>
      </c>
      <c r="BB93" s="54"/>
      <c r="BC93" s="54"/>
      <c r="BD93" s="20"/>
    </row>
    <row r="94" spans="3:56" ht="12" customHeight="1" x14ac:dyDescent="0.3">
      <c r="C94" s="19"/>
      <c r="D94" s="19"/>
      <c r="E94" s="19"/>
      <c r="F94" s="19"/>
      <c r="G94" s="20"/>
      <c r="H94" s="20"/>
      <c r="I94" s="21"/>
      <c r="J94" s="18" t="s">
        <v>7</v>
      </c>
      <c r="K94" s="47" t="s">
        <v>796</v>
      </c>
      <c r="L94" s="46"/>
      <c r="M94" s="46"/>
      <c r="N94" s="46" t="s">
        <v>842</v>
      </c>
      <c r="O94" s="46"/>
      <c r="P94" s="46"/>
      <c r="Q94" s="46" t="s">
        <v>681</v>
      </c>
      <c r="R94" s="46"/>
      <c r="S94" s="48"/>
      <c r="T94" s="47" t="s">
        <v>682</v>
      </c>
      <c r="U94" s="46"/>
      <c r="V94" s="46"/>
      <c r="W94" s="45" t="s">
        <v>683</v>
      </c>
      <c r="X94" s="46"/>
      <c r="Y94" s="46"/>
      <c r="Z94" s="45" t="s">
        <v>684</v>
      </c>
      <c r="AA94" s="46"/>
      <c r="AB94" s="46"/>
      <c r="AC94" s="45" t="s">
        <v>685</v>
      </c>
      <c r="AD94" s="46"/>
      <c r="AE94" s="46"/>
      <c r="AF94" s="45" t="s">
        <v>686</v>
      </c>
      <c r="AG94" s="46"/>
      <c r="AH94" s="46"/>
      <c r="AI94" s="45" t="s">
        <v>687</v>
      </c>
      <c r="AJ94" s="46"/>
      <c r="AK94" s="46"/>
      <c r="AL94" s="45" t="s">
        <v>688</v>
      </c>
      <c r="AM94" s="46"/>
      <c r="AN94" s="46"/>
      <c r="AO94" s="45" t="s">
        <v>689</v>
      </c>
      <c r="AP94" s="46"/>
      <c r="AQ94" s="46"/>
      <c r="AR94" s="45" t="s">
        <v>690</v>
      </c>
      <c r="AS94" s="46"/>
      <c r="AT94" s="46"/>
      <c r="AU94" s="45" t="s">
        <v>691</v>
      </c>
      <c r="AV94" s="46"/>
      <c r="AW94" s="46"/>
      <c r="AX94" s="45" t="s">
        <v>692</v>
      </c>
      <c r="AY94" s="46"/>
      <c r="AZ94" s="46"/>
      <c r="BA94" s="53" t="s">
        <v>693</v>
      </c>
      <c r="BB94" s="54"/>
      <c r="BC94" s="54"/>
      <c r="BD94" s="20"/>
    </row>
    <row r="95" spans="3:56" ht="12" customHeight="1" x14ac:dyDescent="0.3">
      <c r="C95" s="22" t="s">
        <v>610</v>
      </c>
      <c r="D95" s="22"/>
      <c r="E95" s="22"/>
      <c r="F95" s="22"/>
      <c r="G95" s="22"/>
      <c r="H95" s="23"/>
      <c r="I95" s="23"/>
      <c r="J95" s="23"/>
      <c r="K95" s="42"/>
      <c r="L95" s="43"/>
      <c r="M95" s="43"/>
      <c r="N95" s="43"/>
      <c r="O95" s="43"/>
      <c r="P95" s="43"/>
      <c r="Q95" s="43"/>
      <c r="R95" s="43"/>
      <c r="S95" s="55"/>
      <c r="T95" s="42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20"/>
    </row>
    <row r="96" spans="3:56" ht="12" customHeight="1" x14ac:dyDescent="0.3">
      <c r="C96" s="19"/>
      <c r="D96" s="11"/>
      <c r="E96" s="11"/>
      <c r="F96" s="11"/>
      <c r="I96" s="15"/>
      <c r="J96" s="14" t="s">
        <v>6</v>
      </c>
      <c r="K96" s="47" t="s">
        <v>797</v>
      </c>
      <c r="L96" s="46"/>
      <c r="M96" s="46"/>
      <c r="N96" s="46" t="s">
        <v>843</v>
      </c>
      <c r="O96" s="46"/>
      <c r="P96" s="46"/>
      <c r="Q96" s="46" t="s">
        <v>694</v>
      </c>
      <c r="R96" s="46"/>
      <c r="S96" s="48"/>
      <c r="T96" s="47" t="s">
        <v>695</v>
      </c>
      <c r="U96" s="46"/>
      <c r="V96" s="46"/>
      <c r="W96" s="45" t="s">
        <v>696</v>
      </c>
      <c r="X96" s="46"/>
      <c r="Y96" s="46"/>
      <c r="Z96" s="45" t="s">
        <v>697</v>
      </c>
      <c r="AA96" s="46"/>
      <c r="AB96" s="46"/>
      <c r="AC96" s="45" t="s">
        <v>698</v>
      </c>
      <c r="AD96" s="46"/>
      <c r="AE96" s="46"/>
      <c r="AF96" s="45" t="s">
        <v>699</v>
      </c>
      <c r="AG96" s="46"/>
      <c r="AH96" s="46"/>
      <c r="AI96" s="45" t="s">
        <v>700</v>
      </c>
      <c r="AJ96" s="46"/>
      <c r="AK96" s="46"/>
      <c r="AL96" s="45" t="s">
        <v>701</v>
      </c>
      <c r="AM96" s="46"/>
      <c r="AN96" s="46"/>
      <c r="AO96" s="45" t="s">
        <v>702</v>
      </c>
      <c r="AP96" s="46"/>
      <c r="AQ96" s="46"/>
      <c r="AR96" s="45" t="s">
        <v>703</v>
      </c>
      <c r="AS96" s="46"/>
      <c r="AT96" s="46"/>
      <c r="AU96" s="45" t="s">
        <v>704</v>
      </c>
      <c r="AV96" s="46"/>
      <c r="AW96" s="46"/>
      <c r="AX96" s="45" t="s">
        <v>705</v>
      </c>
      <c r="AY96" s="46"/>
      <c r="AZ96" s="46"/>
      <c r="BA96" s="53" t="s">
        <v>706</v>
      </c>
      <c r="BB96" s="54"/>
      <c r="BC96" s="54"/>
      <c r="BD96" s="20"/>
    </row>
    <row r="97" spans="3:57" ht="12" customHeight="1" x14ac:dyDescent="0.3">
      <c r="C97" s="19"/>
      <c r="D97" s="19"/>
      <c r="E97" s="19"/>
      <c r="F97" s="19"/>
      <c r="G97" s="20"/>
      <c r="H97" s="20"/>
      <c r="I97" s="21"/>
      <c r="J97" s="18" t="s">
        <v>7</v>
      </c>
      <c r="K97" s="47" t="s">
        <v>798</v>
      </c>
      <c r="L97" s="46"/>
      <c r="M97" s="46"/>
      <c r="N97" s="46" t="s">
        <v>844</v>
      </c>
      <c r="O97" s="46"/>
      <c r="P97" s="46"/>
      <c r="Q97" s="46" t="s">
        <v>707</v>
      </c>
      <c r="R97" s="46"/>
      <c r="S97" s="48"/>
      <c r="T97" s="47" t="s">
        <v>708</v>
      </c>
      <c r="U97" s="46"/>
      <c r="V97" s="46"/>
      <c r="W97" s="45" t="s">
        <v>709</v>
      </c>
      <c r="X97" s="46"/>
      <c r="Y97" s="46"/>
      <c r="Z97" s="45" t="s">
        <v>710</v>
      </c>
      <c r="AA97" s="46"/>
      <c r="AB97" s="46"/>
      <c r="AC97" s="45" t="s">
        <v>711</v>
      </c>
      <c r="AD97" s="46"/>
      <c r="AE97" s="46"/>
      <c r="AF97" s="45" t="s">
        <v>712</v>
      </c>
      <c r="AG97" s="46"/>
      <c r="AH97" s="46"/>
      <c r="AI97" s="45" t="s">
        <v>713</v>
      </c>
      <c r="AJ97" s="46"/>
      <c r="AK97" s="46"/>
      <c r="AL97" s="45" t="s">
        <v>714</v>
      </c>
      <c r="AM97" s="46"/>
      <c r="AN97" s="46"/>
      <c r="AO97" s="45" t="s">
        <v>715</v>
      </c>
      <c r="AP97" s="46"/>
      <c r="AQ97" s="46"/>
      <c r="AR97" s="45" t="s">
        <v>716</v>
      </c>
      <c r="AS97" s="46"/>
      <c r="AT97" s="46"/>
      <c r="AU97" s="45" t="s">
        <v>717</v>
      </c>
      <c r="AV97" s="46"/>
      <c r="AW97" s="46"/>
      <c r="AX97" s="45" t="s">
        <v>718</v>
      </c>
      <c r="AY97" s="46"/>
      <c r="AZ97" s="46"/>
      <c r="BA97" s="53" t="s">
        <v>719</v>
      </c>
      <c r="BB97" s="54"/>
      <c r="BC97" s="54"/>
      <c r="BD97" s="20"/>
    </row>
    <row r="98" spans="3:57" ht="12" customHeight="1" x14ac:dyDescent="0.3">
      <c r="C98" s="22" t="s">
        <v>611</v>
      </c>
      <c r="D98" s="22"/>
      <c r="E98" s="22"/>
      <c r="F98" s="22"/>
      <c r="G98" s="22"/>
      <c r="H98" s="23"/>
      <c r="I98" s="23"/>
      <c r="J98" s="23"/>
      <c r="K98" s="42"/>
      <c r="L98" s="43"/>
      <c r="M98" s="43"/>
      <c r="N98" s="43"/>
      <c r="O98" s="43"/>
      <c r="P98" s="43"/>
      <c r="Q98" s="43"/>
      <c r="R98" s="43"/>
      <c r="S98" s="55"/>
      <c r="T98" s="42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20"/>
    </row>
    <row r="99" spans="3:57" ht="12" customHeight="1" x14ac:dyDescent="0.3">
      <c r="C99" s="19"/>
      <c r="D99" s="11"/>
      <c r="E99" s="11"/>
      <c r="F99" s="11"/>
      <c r="I99" s="15"/>
      <c r="J99" s="14" t="s">
        <v>6</v>
      </c>
      <c r="K99" s="47" t="s">
        <v>799</v>
      </c>
      <c r="L99" s="46"/>
      <c r="M99" s="46"/>
      <c r="N99" s="46" t="s">
        <v>845</v>
      </c>
      <c r="O99" s="46"/>
      <c r="P99" s="46"/>
      <c r="Q99" s="46" t="s">
        <v>720</v>
      </c>
      <c r="R99" s="46"/>
      <c r="S99" s="48"/>
      <c r="T99" s="47" t="s">
        <v>721</v>
      </c>
      <c r="U99" s="46"/>
      <c r="V99" s="46"/>
      <c r="W99" s="45" t="s">
        <v>722</v>
      </c>
      <c r="X99" s="46"/>
      <c r="Y99" s="46"/>
      <c r="Z99" s="45" t="s">
        <v>723</v>
      </c>
      <c r="AA99" s="46"/>
      <c r="AB99" s="46"/>
      <c r="AC99" s="45" t="s">
        <v>724</v>
      </c>
      <c r="AD99" s="46"/>
      <c r="AE99" s="46"/>
      <c r="AF99" s="45" t="s">
        <v>725</v>
      </c>
      <c r="AG99" s="46"/>
      <c r="AH99" s="46"/>
      <c r="AI99" s="45" t="s">
        <v>726</v>
      </c>
      <c r="AJ99" s="46"/>
      <c r="AK99" s="46"/>
      <c r="AL99" s="45" t="s">
        <v>727</v>
      </c>
      <c r="AM99" s="46"/>
      <c r="AN99" s="46"/>
      <c r="AO99" s="45" t="s">
        <v>728</v>
      </c>
      <c r="AP99" s="46"/>
      <c r="AQ99" s="46"/>
      <c r="AR99" s="45" t="s">
        <v>729</v>
      </c>
      <c r="AS99" s="46"/>
      <c r="AT99" s="46"/>
      <c r="AU99" s="45" t="s">
        <v>730</v>
      </c>
      <c r="AV99" s="46"/>
      <c r="AW99" s="46"/>
      <c r="AX99" s="45" t="s">
        <v>731</v>
      </c>
      <c r="AY99" s="46"/>
      <c r="AZ99" s="46"/>
      <c r="BA99" s="53" t="s">
        <v>732</v>
      </c>
      <c r="BB99" s="54"/>
      <c r="BC99" s="54"/>
      <c r="BD99" s="20"/>
    </row>
    <row r="100" spans="3:57" ht="12" customHeight="1" thickBot="1" x14ac:dyDescent="0.35">
      <c r="C100" s="24"/>
      <c r="D100" s="24"/>
      <c r="E100" s="24"/>
      <c r="F100" s="24"/>
      <c r="G100" s="25"/>
      <c r="H100" s="25"/>
      <c r="I100" s="26"/>
      <c r="J100" s="27" t="s">
        <v>7</v>
      </c>
      <c r="K100" s="72" t="s">
        <v>800</v>
      </c>
      <c r="L100" s="69"/>
      <c r="M100" s="69"/>
      <c r="N100" s="69" t="s">
        <v>846</v>
      </c>
      <c r="O100" s="69"/>
      <c r="P100" s="69"/>
      <c r="Q100" s="69" t="s">
        <v>733</v>
      </c>
      <c r="R100" s="69"/>
      <c r="S100" s="73"/>
      <c r="T100" s="72" t="s">
        <v>734</v>
      </c>
      <c r="U100" s="69"/>
      <c r="V100" s="69"/>
      <c r="W100" s="68" t="s">
        <v>735</v>
      </c>
      <c r="X100" s="69"/>
      <c r="Y100" s="69"/>
      <c r="Z100" s="68" t="s">
        <v>736</v>
      </c>
      <c r="AA100" s="69"/>
      <c r="AB100" s="69"/>
      <c r="AC100" s="68" t="s">
        <v>737</v>
      </c>
      <c r="AD100" s="69"/>
      <c r="AE100" s="69"/>
      <c r="AF100" s="68" t="s">
        <v>738</v>
      </c>
      <c r="AG100" s="69"/>
      <c r="AH100" s="69"/>
      <c r="AI100" s="68" t="s">
        <v>739</v>
      </c>
      <c r="AJ100" s="69"/>
      <c r="AK100" s="69"/>
      <c r="AL100" s="68" t="s">
        <v>740</v>
      </c>
      <c r="AM100" s="69"/>
      <c r="AN100" s="69"/>
      <c r="AO100" s="68" t="s">
        <v>741</v>
      </c>
      <c r="AP100" s="69"/>
      <c r="AQ100" s="69"/>
      <c r="AR100" s="68" t="s">
        <v>742</v>
      </c>
      <c r="AS100" s="69"/>
      <c r="AT100" s="69"/>
      <c r="AU100" s="68" t="s">
        <v>743</v>
      </c>
      <c r="AV100" s="69"/>
      <c r="AW100" s="69"/>
      <c r="AX100" s="68" t="s">
        <v>744</v>
      </c>
      <c r="AY100" s="69"/>
      <c r="AZ100" s="69"/>
      <c r="BA100" s="70" t="s">
        <v>745</v>
      </c>
      <c r="BB100" s="71"/>
      <c r="BC100" s="71"/>
      <c r="BD100" s="20"/>
    </row>
    <row r="101" spans="3:57" ht="12" customHeight="1" x14ac:dyDescent="0.3"/>
    <row r="102" spans="3:57" ht="12" customHeight="1" x14ac:dyDescent="0.3"/>
    <row r="103" spans="3:57" ht="12" customHeight="1" x14ac:dyDescent="0.3"/>
    <row r="104" spans="3:57" ht="12" customHeight="1" x14ac:dyDescent="0.3"/>
    <row r="105" spans="3:57" ht="15" customHeight="1" x14ac:dyDescent="0.3"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</row>
    <row r="106" spans="3:57" ht="15" customHeight="1" x14ac:dyDescent="0.3"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</row>
    <row r="107" spans="3:57" ht="15" customHeight="1" x14ac:dyDescent="0.3"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</row>
    <row r="108" spans="3:57" ht="15" customHeight="1" x14ac:dyDescent="0.3"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</row>
    <row r="109" spans="3:57" ht="15" customHeight="1" x14ac:dyDescent="0.3"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</row>
    <row r="110" spans="3:57" ht="15" customHeight="1" x14ac:dyDescent="0.3"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</row>
    <row r="111" spans="3:57" ht="15" customHeight="1" x14ac:dyDescent="0.3"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</row>
    <row r="112" spans="3:57" ht="15" customHeight="1" x14ac:dyDescent="0.3"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</row>
    <row r="113" spans="7:57" ht="15" customHeight="1" x14ac:dyDescent="0.3"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</row>
    <row r="114" spans="7:57" ht="15" customHeight="1" x14ac:dyDescent="0.3"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</row>
    <row r="115" spans="7:57" ht="15" customHeight="1" x14ac:dyDescent="0.3"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</row>
    <row r="116" spans="7:57" ht="15" customHeight="1" x14ac:dyDescent="0.3"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</row>
    <row r="117" spans="7:57" ht="15" customHeight="1" x14ac:dyDescent="0.3"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</row>
    <row r="118" spans="7:57" ht="15" customHeight="1" x14ac:dyDescent="0.3"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</row>
    <row r="119" spans="7:57" ht="15" customHeight="1" x14ac:dyDescent="0.3"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</row>
    <row r="120" spans="7:57" ht="15" customHeight="1" x14ac:dyDescent="0.3"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</row>
    <row r="121" spans="7:57" ht="15" customHeight="1" x14ac:dyDescent="0.3"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</row>
    <row r="122" spans="7:57" ht="15" customHeight="1" x14ac:dyDescent="0.3"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</row>
    <row r="123" spans="7:57" ht="15" customHeight="1" x14ac:dyDescent="0.3"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</row>
    <row r="124" spans="7:57" ht="15" customHeight="1" x14ac:dyDescent="0.3"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</row>
    <row r="125" spans="7:57" ht="15" customHeight="1" x14ac:dyDescent="0.3"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</row>
    <row r="126" spans="7:57" ht="15" customHeight="1" x14ac:dyDescent="0.3"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</row>
    <row r="127" spans="7:57" ht="15" customHeight="1" x14ac:dyDescent="0.3"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</row>
    <row r="128" spans="7:57" ht="15" customHeight="1" x14ac:dyDescent="0.3"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</row>
    <row r="129" spans="7:57" ht="15" customHeight="1" x14ac:dyDescent="0.3"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</row>
    <row r="130" spans="7:57" ht="15" customHeight="1" x14ac:dyDescent="0.3"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</row>
    <row r="131" spans="7:57" ht="15" customHeight="1" x14ac:dyDescent="0.3"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</row>
    <row r="132" spans="7:57" ht="15" customHeight="1" x14ac:dyDescent="0.3"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</row>
    <row r="133" spans="7:57" ht="15" customHeight="1" x14ac:dyDescent="0.3"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</row>
  </sheetData>
  <mergeCells count="1060">
    <mergeCell ref="C6:M6"/>
    <mergeCell ref="C16:R16"/>
    <mergeCell ref="AL98:AN98"/>
    <mergeCell ref="AO98:AQ98"/>
    <mergeCell ref="AR98:AT98"/>
    <mergeCell ref="AU98:AW98"/>
    <mergeCell ref="AX98:AZ98"/>
    <mergeCell ref="BA98:BC98"/>
    <mergeCell ref="K98:M98"/>
    <mergeCell ref="N98:P98"/>
    <mergeCell ref="Q98:S98"/>
    <mergeCell ref="T98:V98"/>
    <mergeCell ref="W98:Y98"/>
    <mergeCell ref="Z98:AB98"/>
    <mergeCell ref="AC98:AE98"/>
    <mergeCell ref="AF98:AH98"/>
    <mergeCell ref="AI98:AK98"/>
    <mergeCell ref="AI92:AK92"/>
    <mergeCell ref="AL92:AN92"/>
    <mergeCell ref="AO92:AQ92"/>
    <mergeCell ref="AR92:AT92"/>
    <mergeCell ref="AU92:AW92"/>
    <mergeCell ref="AX92:AZ92"/>
    <mergeCell ref="BA92:BC92"/>
    <mergeCell ref="K95:M95"/>
    <mergeCell ref="N95:P95"/>
    <mergeCell ref="Q95:S95"/>
    <mergeCell ref="T95:V95"/>
    <mergeCell ref="W95:Y95"/>
    <mergeCell ref="Z95:AB95"/>
    <mergeCell ref="AC95:AE95"/>
    <mergeCell ref="AF95:AH95"/>
    <mergeCell ref="AU95:AW95"/>
    <mergeCell ref="AX95:AZ95"/>
    <mergeCell ref="BA95:BC95"/>
    <mergeCell ref="K89:M89"/>
    <mergeCell ref="K92:M92"/>
    <mergeCell ref="N92:P92"/>
    <mergeCell ref="Q92:S92"/>
    <mergeCell ref="T92:V92"/>
    <mergeCell ref="W92:Y92"/>
    <mergeCell ref="Z92:AB92"/>
    <mergeCell ref="AC92:AE92"/>
    <mergeCell ref="AF92:AH92"/>
    <mergeCell ref="AL83:AN83"/>
    <mergeCell ref="AO83:AQ83"/>
    <mergeCell ref="AR83:AT83"/>
    <mergeCell ref="AU83:AW83"/>
    <mergeCell ref="AX83:AZ83"/>
    <mergeCell ref="BA83:BC83"/>
    <mergeCell ref="K86:M86"/>
    <mergeCell ref="N86:P86"/>
    <mergeCell ref="Q86:S86"/>
    <mergeCell ref="T86:V86"/>
    <mergeCell ref="W86:Y86"/>
    <mergeCell ref="Z86:AB86"/>
    <mergeCell ref="AC86:AE86"/>
    <mergeCell ref="AF86:AH86"/>
    <mergeCell ref="AI86:AK86"/>
    <mergeCell ref="AL86:AN86"/>
    <mergeCell ref="AO86:AQ86"/>
    <mergeCell ref="AR86:AT86"/>
    <mergeCell ref="AU86:AW86"/>
    <mergeCell ref="AX86:AZ86"/>
    <mergeCell ref="BA86:BC86"/>
    <mergeCell ref="K83:M83"/>
    <mergeCell ref="N83:P83"/>
    <mergeCell ref="Q83:S83"/>
    <mergeCell ref="T83:V83"/>
    <mergeCell ref="W83:Y83"/>
    <mergeCell ref="Z83:AB83"/>
    <mergeCell ref="AC83:AE83"/>
    <mergeCell ref="AF83:AH83"/>
    <mergeCell ref="AI83:AK83"/>
    <mergeCell ref="AL77:AN77"/>
    <mergeCell ref="AO77:AQ77"/>
    <mergeCell ref="AR77:AT77"/>
    <mergeCell ref="AU77:AW77"/>
    <mergeCell ref="AX77:AZ77"/>
    <mergeCell ref="BA77:BC77"/>
    <mergeCell ref="K80:M80"/>
    <mergeCell ref="N80:P80"/>
    <mergeCell ref="Q80:S80"/>
    <mergeCell ref="T80:V80"/>
    <mergeCell ref="W80:Y80"/>
    <mergeCell ref="Z80:AB80"/>
    <mergeCell ref="AC80:AE80"/>
    <mergeCell ref="AF80:AH80"/>
    <mergeCell ref="AI80:AK80"/>
    <mergeCell ref="AL80:AN80"/>
    <mergeCell ref="AO80:AQ80"/>
    <mergeCell ref="AR80:AT80"/>
    <mergeCell ref="AU80:AW80"/>
    <mergeCell ref="AX80:AZ80"/>
    <mergeCell ref="BA80:BC80"/>
    <mergeCell ref="K77:M77"/>
    <mergeCell ref="N77:P77"/>
    <mergeCell ref="Q77:S77"/>
    <mergeCell ref="T77:V77"/>
    <mergeCell ref="W77:Y77"/>
    <mergeCell ref="Z77:AB77"/>
    <mergeCell ref="AC77:AE77"/>
    <mergeCell ref="AF77:AH77"/>
    <mergeCell ref="AI77:AK77"/>
    <mergeCell ref="AL71:AN71"/>
    <mergeCell ref="AO71:AQ71"/>
    <mergeCell ref="AR71:AT71"/>
    <mergeCell ref="AU71:AW71"/>
    <mergeCell ref="AX71:AZ71"/>
    <mergeCell ref="BA71:BC71"/>
    <mergeCell ref="K74:M74"/>
    <mergeCell ref="N74:P74"/>
    <mergeCell ref="Q74:S74"/>
    <mergeCell ref="T74:V74"/>
    <mergeCell ref="W74:Y74"/>
    <mergeCell ref="Z74:AB74"/>
    <mergeCell ref="AC74:AE74"/>
    <mergeCell ref="AF74:AH74"/>
    <mergeCell ref="AI74:AK74"/>
    <mergeCell ref="AL74:AN74"/>
    <mergeCell ref="AO74:AQ74"/>
    <mergeCell ref="AR74:AT74"/>
    <mergeCell ref="AU74:AW74"/>
    <mergeCell ref="AX74:AZ74"/>
    <mergeCell ref="AC71:AE71"/>
    <mergeCell ref="AF71:AH71"/>
    <mergeCell ref="AI71:AK71"/>
    <mergeCell ref="K76:M76"/>
    <mergeCell ref="AL65:AN65"/>
    <mergeCell ref="AO65:AQ65"/>
    <mergeCell ref="AR65:AT65"/>
    <mergeCell ref="AU65:AW65"/>
    <mergeCell ref="AX65:AZ65"/>
    <mergeCell ref="BA65:BC65"/>
    <mergeCell ref="K68:M68"/>
    <mergeCell ref="N68:P68"/>
    <mergeCell ref="Q68:S68"/>
    <mergeCell ref="T68:V68"/>
    <mergeCell ref="W68:Y68"/>
    <mergeCell ref="Z68:AB68"/>
    <mergeCell ref="AC68:AE68"/>
    <mergeCell ref="AF68:AH68"/>
    <mergeCell ref="AI68:AK68"/>
    <mergeCell ref="AL68:AN68"/>
    <mergeCell ref="AO68:AQ68"/>
    <mergeCell ref="AR68:AT68"/>
    <mergeCell ref="AU68:AW68"/>
    <mergeCell ref="AX68:AZ68"/>
    <mergeCell ref="BA68:BC68"/>
    <mergeCell ref="K65:M65"/>
    <mergeCell ref="N65:P65"/>
    <mergeCell ref="Q65:S65"/>
    <mergeCell ref="AU67:AW67"/>
    <mergeCell ref="AX67:AZ67"/>
    <mergeCell ref="BA67:BC67"/>
    <mergeCell ref="AI67:AK67"/>
    <mergeCell ref="AL67:AN67"/>
    <mergeCell ref="AO67:AQ67"/>
    <mergeCell ref="AR67:AT67"/>
    <mergeCell ref="K67:M67"/>
    <mergeCell ref="K59:M59"/>
    <mergeCell ref="N59:P59"/>
    <mergeCell ref="Q59:S59"/>
    <mergeCell ref="T59:V59"/>
    <mergeCell ref="W59:Y59"/>
    <mergeCell ref="Z59:AB59"/>
    <mergeCell ref="AC59:AE59"/>
    <mergeCell ref="AF59:AH59"/>
    <mergeCell ref="AI59:AK59"/>
    <mergeCell ref="AL59:AN59"/>
    <mergeCell ref="AO59:AQ59"/>
    <mergeCell ref="AR59:AT59"/>
    <mergeCell ref="AU59:AW59"/>
    <mergeCell ref="AX59:AZ59"/>
    <mergeCell ref="BA59:BC59"/>
    <mergeCell ref="K61:M61"/>
    <mergeCell ref="N61:P61"/>
    <mergeCell ref="Q61:S61"/>
    <mergeCell ref="T61:V61"/>
    <mergeCell ref="AI60:AK60"/>
    <mergeCell ref="AL60:AN60"/>
    <mergeCell ref="AO60:AQ60"/>
    <mergeCell ref="AR60:AT60"/>
    <mergeCell ref="AU60:AW60"/>
    <mergeCell ref="Z61:AB61"/>
    <mergeCell ref="AC61:AE61"/>
    <mergeCell ref="AF61:AH61"/>
    <mergeCell ref="AI61:AK61"/>
    <mergeCell ref="AL61:AN61"/>
    <mergeCell ref="AO61:AQ61"/>
    <mergeCell ref="AR61:AT61"/>
    <mergeCell ref="K60:M60"/>
    <mergeCell ref="W48:Y48"/>
    <mergeCell ref="K62:M62"/>
    <mergeCell ref="N62:P62"/>
    <mergeCell ref="Q62:S62"/>
    <mergeCell ref="T62:V62"/>
    <mergeCell ref="W62:Y62"/>
    <mergeCell ref="AU53:AW53"/>
    <mergeCell ref="AX53:AZ53"/>
    <mergeCell ref="BA53:BC53"/>
    <mergeCell ref="AL47:AN47"/>
    <mergeCell ref="AO47:AQ47"/>
    <mergeCell ref="AR47:AT47"/>
    <mergeCell ref="AU47:AW47"/>
    <mergeCell ref="AX47:AZ47"/>
    <mergeCell ref="BA47:BC47"/>
    <mergeCell ref="K50:M50"/>
    <mergeCell ref="N50:P50"/>
    <mergeCell ref="Q50:S50"/>
    <mergeCell ref="T50:V50"/>
    <mergeCell ref="W50:Y50"/>
    <mergeCell ref="Z50:AB50"/>
    <mergeCell ref="AC50:AE50"/>
    <mergeCell ref="AF50:AH50"/>
    <mergeCell ref="AI50:AK50"/>
    <mergeCell ref="AL50:AN50"/>
    <mergeCell ref="AO50:AQ50"/>
    <mergeCell ref="AR50:AT50"/>
    <mergeCell ref="AU50:AW50"/>
    <mergeCell ref="AX50:AZ50"/>
    <mergeCell ref="BA50:BC50"/>
    <mergeCell ref="K47:M47"/>
    <mergeCell ref="N47:P47"/>
    <mergeCell ref="BA43:BC43"/>
    <mergeCell ref="K43:M43"/>
    <mergeCell ref="N43:P43"/>
    <mergeCell ref="Q43:S43"/>
    <mergeCell ref="T43:V43"/>
    <mergeCell ref="W43:Y43"/>
    <mergeCell ref="Z43:AB43"/>
    <mergeCell ref="AL42:AN42"/>
    <mergeCell ref="AO42:AQ42"/>
    <mergeCell ref="AR42:AT42"/>
    <mergeCell ref="AU42:AW42"/>
    <mergeCell ref="AU41:AW41"/>
    <mergeCell ref="AX41:AZ41"/>
    <mergeCell ref="BA41:BC41"/>
    <mergeCell ref="BA51:BC51"/>
    <mergeCell ref="AX48:AZ48"/>
    <mergeCell ref="K44:M44"/>
    <mergeCell ref="N44:P44"/>
    <mergeCell ref="Q44:S44"/>
    <mergeCell ref="T44:V44"/>
    <mergeCell ref="W44:Y44"/>
    <mergeCell ref="Z44:AB44"/>
    <mergeCell ref="AC44:AE44"/>
    <mergeCell ref="AF44:AH44"/>
    <mergeCell ref="AI44:AK44"/>
    <mergeCell ref="AL44:AN44"/>
    <mergeCell ref="AO44:AQ44"/>
    <mergeCell ref="AR44:AT44"/>
    <mergeCell ref="AU44:AW44"/>
    <mergeCell ref="AX44:AZ44"/>
    <mergeCell ref="BA44:BC44"/>
    <mergeCell ref="BA48:BC48"/>
    <mergeCell ref="AL89:AN89"/>
    <mergeCell ref="W41:Y41"/>
    <mergeCell ref="Z41:AB41"/>
    <mergeCell ref="AC41:AE41"/>
    <mergeCell ref="AL36:AN36"/>
    <mergeCell ref="AO36:AQ36"/>
    <mergeCell ref="AR36:AT36"/>
    <mergeCell ref="Q47:S47"/>
    <mergeCell ref="T47:V47"/>
    <mergeCell ref="W47:Y47"/>
    <mergeCell ref="Z47:AB47"/>
    <mergeCell ref="AC47:AE47"/>
    <mergeCell ref="AF47:AH47"/>
    <mergeCell ref="AI47:AK47"/>
    <mergeCell ref="AL41:AN41"/>
    <mergeCell ref="AO41:AQ41"/>
    <mergeCell ref="AR41:AT41"/>
    <mergeCell ref="AF45:AH45"/>
    <mergeCell ref="AI43:AK43"/>
    <mergeCell ref="AL43:AN43"/>
    <mergeCell ref="AO43:AQ43"/>
    <mergeCell ref="AR43:AT43"/>
    <mergeCell ref="AC43:AE43"/>
    <mergeCell ref="AF43:AH43"/>
    <mergeCell ref="AF40:AH40"/>
    <mergeCell ref="AF41:AH41"/>
    <mergeCell ref="AI41:AK41"/>
    <mergeCell ref="AI36:AK36"/>
    <mergeCell ref="Q41:S41"/>
    <mergeCell ref="T41:V41"/>
    <mergeCell ref="T46:V46"/>
    <mergeCell ref="W46:Y46"/>
    <mergeCell ref="Z81:AB81"/>
    <mergeCell ref="AC81:AE81"/>
    <mergeCell ref="AF81:AH81"/>
    <mergeCell ref="AI81:AK81"/>
    <mergeCell ref="AO89:AQ89"/>
    <mergeCell ref="AR89:AT89"/>
    <mergeCell ref="AU89:AW89"/>
    <mergeCell ref="AX89:AZ89"/>
    <mergeCell ref="BA89:BC89"/>
    <mergeCell ref="K32:M32"/>
    <mergeCell ref="N32:P32"/>
    <mergeCell ref="Q32:S32"/>
    <mergeCell ref="T32:V32"/>
    <mergeCell ref="W32:Y32"/>
    <mergeCell ref="Z32:AB32"/>
    <mergeCell ref="AC32:AE32"/>
    <mergeCell ref="AF32:AH32"/>
    <mergeCell ref="AI32:AK32"/>
    <mergeCell ref="AL32:AN32"/>
    <mergeCell ref="AO32:AQ32"/>
    <mergeCell ref="AR32:AT32"/>
    <mergeCell ref="AU32:AW32"/>
    <mergeCell ref="AX32:AZ32"/>
    <mergeCell ref="BA32:BC32"/>
    <mergeCell ref="N89:P89"/>
    <mergeCell ref="Q89:S89"/>
    <mergeCell ref="T89:V89"/>
    <mergeCell ref="W89:Y89"/>
    <mergeCell ref="Z89:AB89"/>
    <mergeCell ref="AC89:AE89"/>
    <mergeCell ref="AF89:AH89"/>
    <mergeCell ref="AI89:AK89"/>
    <mergeCell ref="T78:V78"/>
    <mergeCell ref="W78:Y78"/>
    <mergeCell ref="Z78:AB78"/>
    <mergeCell ref="AC78:AE78"/>
    <mergeCell ref="AF78:AH78"/>
    <mergeCell ref="AI78:AK78"/>
    <mergeCell ref="AL81:AN81"/>
    <mergeCell ref="AO81:AQ81"/>
    <mergeCell ref="AR81:AT81"/>
    <mergeCell ref="AU81:AW81"/>
    <mergeCell ref="AX81:AZ81"/>
    <mergeCell ref="BA81:BC81"/>
    <mergeCell ref="K82:M82"/>
    <mergeCell ref="N82:P82"/>
    <mergeCell ref="Q82:S82"/>
    <mergeCell ref="T82:V82"/>
    <mergeCell ref="W82:Y82"/>
    <mergeCell ref="Z82:AB82"/>
    <mergeCell ref="AC82:AE82"/>
    <mergeCell ref="AF82:AH82"/>
    <mergeCell ref="AI82:AK82"/>
    <mergeCell ref="AL82:AN82"/>
    <mergeCell ref="AO82:AQ82"/>
    <mergeCell ref="AR82:AT82"/>
    <mergeCell ref="AU82:AW82"/>
    <mergeCell ref="AX82:AZ82"/>
    <mergeCell ref="BA82:BC82"/>
    <mergeCell ref="K81:M81"/>
    <mergeCell ref="N81:P81"/>
    <mergeCell ref="Q81:S81"/>
    <mergeCell ref="T81:V81"/>
    <mergeCell ref="W81:Y81"/>
    <mergeCell ref="K75:M75"/>
    <mergeCell ref="N75:P75"/>
    <mergeCell ref="Q75:S75"/>
    <mergeCell ref="T75:V75"/>
    <mergeCell ref="W75:Y75"/>
    <mergeCell ref="Z75:AB75"/>
    <mergeCell ref="AC75:AE75"/>
    <mergeCell ref="AF75:AH75"/>
    <mergeCell ref="AI75:AK75"/>
    <mergeCell ref="AO78:AQ78"/>
    <mergeCell ref="AR78:AT78"/>
    <mergeCell ref="AU78:AW78"/>
    <mergeCell ref="AX78:AZ78"/>
    <mergeCell ref="BA78:BC78"/>
    <mergeCell ref="K79:M79"/>
    <mergeCell ref="N79:P79"/>
    <mergeCell ref="Q79:S79"/>
    <mergeCell ref="T79:V79"/>
    <mergeCell ref="W79:Y79"/>
    <mergeCell ref="Z79:AB79"/>
    <mergeCell ref="AC79:AE79"/>
    <mergeCell ref="AF79:AH79"/>
    <mergeCell ref="AI79:AK79"/>
    <mergeCell ref="AL79:AN79"/>
    <mergeCell ref="AO79:AQ79"/>
    <mergeCell ref="AR79:AT79"/>
    <mergeCell ref="AU79:AW79"/>
    <mergeCell ref="AX79:AZ79"/>
    <mergeCell ref="BA79:BC79"/>
    <mergeCell ref="K78:M78"/>
    <mergeCell ref="N78:P78"/>
    <mergeCell ref="Q78:S78"/>
    <mergeCell ref="T71:V71"/>
    <mergeCell ref="W71:Y71"/>
    <mergeCell ref="Z71:AB71"/>
    <mergeCell ref="N76:P76"/>
    <mergeCell ref="Q76:S76"/>
    <mergeCell ref="T76:V76"/>
    <mergeCell ref="W76:Y76"/>
    <mergeCell ref="Z76:AB76"/>
    <mergeCell ref="AC76:AE76"/>
    <mergeCell ref="AF76:AH76"/>
    <mergeCell ref="AI76:AK76"/>
    <mergeCell ref="AL76:AN76"/>
    <mergeCell ref="AO76:AQ76"/>
    <mergeCell ref="AR76:AT76"/>
    <mergeCell ref="AU76:AW76"/>
    <mergeCell ref="AX76:AZ76"/>
    <mergeCell ref="BA76:BC76"/>
    <mergeCell ref="Z96:AB96"/>
    <mergeCell ref="AC96:AE96"/>
    <mergeCell ref="AF96:AH96"/>
    <mergeCell ref="AI96:AK96"/>
    <mergeCell ref="AL96:AN96"/>
    <mergeCell ref="AO96:AQ96"/>
    <mergeCell ref="AR96:AT96"/>
    <mergeCell ref="AC69:AE69"/>
    <mergeCell ref="AF69:AH69"/>
    <mergeCell ref="AI69:AK69"/>
    <mergeCell ref="K73:M73"/>
    <mergeCell ref="N73:P73"/>
    <mergeCell ref="Q73:S73"/>
    <mergeCell ref="T73:V73"/>
    <mergeCell ref="W73:Y73"/>
    <mergeCell ref="Z73:AB73"/>
    <mergeCell ref="AC73:AE73"/>
    <mergeCell ref="AF73:AH73"/>
    <mergeCell ref="AI73:AK73"/>
    <mergeCell ref="AL73:AN73"/>
    <mergeCell ref="K72:M72"/>
    <mergeCell ref="N72:P72"/>
    <mergeCell ref="Q72:S72"/>
    <mergeCell ref="T72:V72"/>
    <mergeCell ref="W72:Y72"/>
    <mergeCell ref="Z72:AB72"/>
    <mergeCell ref="AC72:AE72"/>
    <mergeCell ref="AF72:AH72"/>
    <mergeCell ref="AI72:AK72"/>
    <mergeCell ref="K71:M71"/>
    <mergeCell ref="N71:P71"/>
    <mergeCell ref="Q71:S71"/>
    <mergeCell ref="T93:V93"/>
    <mergeCell ref="W93:Y93"/>
    <mergeCell ref="Z93:AB93"/>
    <mergeCell ref="AC93:AE93"/>
    <mergeCell ref="AF93:AH93"/>
    <mergeCell ref="AI93:AK93"/>
    <mergeCell ref="AL93:AN93"/>
    <mergeCell ref="AO93:AQ93"/>
    <mergeCell ref="AR93:AT93"/>
    <mergeCell ref="AU96:AW96"/>
    <mergeCell ref="AX96:AZ96"/>
    <mergeCell ref="BA96:BC96"/>
    <mergeCell ref="K97:M97"/>
    <mergeCell ref="N97:P97"/>
    <mergeCell ref="Q97:S97"/>
    <mergeCell ref="T97:V97"/>
    <mergeCell ref="W97:Y97"/>
    <mergeCell ref="Z97:AB97"/>
    <mergeCell ref="AC97:AE97"/>
    <mergeCell ref="AF97:AH97"/>
    <mergeCell ref="AI97:AK97"/>
    <mergeCell ref="AL97:AN97"/>
    <mergeCell ref="AO97:AQ97"/>
    <mergeCell ref="AR97:AT97"/>
    <mergeCell ref="AU97:AW97"/>
    <mergeCell ref="AX97:AZ97"/>
    <mergeCell ref="BA97:BC97"/>
    <mergeCell ref="K96:M96"/>
    <mergeCell ref="N96:P96"/>
    <mergeCell ref="Q96:S96"/>
    <mergeCell ref="T96:V96"/>
    <mergeCell ref="W96:Y96"/>
    <mergeCell ref="Q90:S90"/>
    <mergeCell ref="T90:V90"/>
    <mergeCell ref="W90:Y90"/>
    <mergeCell ref="Z90:AB90"/>
    <mergeCell ref="AC90:AE90"/>
    <mergeCell ref="AF90:AH90"/>
    <mergeCell ref="AI90:AK90"/>
    <mergeCell ref="AR90:AT90"/>
    <mergeCell ref="AU90:AW90"/>
    <mergeCell ref="AX90:AZ90"/>
    <mergeCell ref="BA90:BC90"/>
    <mergeCell ref="AU93:AW93"/>
    <mergeCell ref="AX93:AZ93"/>
    <mergeCell ref="BA93:BC93"/>
    <mergeCell ref="K94:M94"/>
    <mergeCell ref="N94:P94"/>
    <mergeCell ref="Q94:S94"/>
    <mergeCell ref="T94:V94"/>
    <mergeCell ref="W94:Y94"/>
    <mergeCell ref="Z94:AB94"/>
    <mergeCell ref="AC94:AE94"/>
    <mergeCell ref="AF94:AH94"/>
    <mergeCell ref="AI94:AK94"/>
    <mergeCell ref="AL94:AN94"/>
    <mergeCell ref="AO94:AQ94"/>
    <mergeCell ref="AR94:AT94"/>
    <mergeCell ref="AU94:AW94"/>
    <mergeCell ref="AX94:AZ94"/>
    <mergeCell ref="BA94:BC94"/>
    <mergeCell ref="K93:M93"/>
    <mergeCell ref="N93:P93"/>
    <mergeCell ref="Q93:S93"/>
    <mergeCell ref="AL88:AN88"/>
    <mergeCell ref="AO88:AQ88"/>
    <mergeCell ref="AR88:AT88"/>
    <mergeCell ref="AU88:AW88"/>
    <mergeCell ref="AX88:AZ88"/>
    <mergeCell ref="BA88:BC88"/>
    <mergeCell ref="K87:M87"/>
    <mergeCell ref="N87:P87"/>
    <mergeCell ref="Q87:S87"/>
    <mergeCell ref="T87:V87"/>
    <mergeCell ref="W87:Y87"/>
    <mergeCell ref="Z87:AB87"/>
    <mergeCell ref="AC87:AE87"/>
    <mergeCell ref="AF87:AH87"/>
    <mergeCell ref="AI87:AK87"/>
    <mergeCell ref="K91:M91"/>
    <mergeCell ref="N91:P91"/>
    <mergeCell ref="Q91:S91"/>
    <mergeCell ref="T91:V91"/>
    <mergeCell ref="W91:Y91"/>
    <mergeCell ref="Z91:AB91"/>
    <mergeCell ref="AC91:AE91"/>
    <mergeCell ref="AF91:AH91"/>
    <mergeCell ref="AI91:AK91"/>
    <mergeCell ref="AL91:AN91"/>
    <mergeCell ref="AO91:AQ91"/>
    <mergeCell ref="AR91:AT91"/>
    <mergeCell ref="AU91:AW91"/>
    <mergeCell ref="AX91:AZ91"/>
    <mergeCell ref="BA91:BC91"/>
    <mergeCell ref="K90:M90"/>
    <mergeCell ref="N90:P90"/>
    <mergeCell ref="AU87:AW87"/>
    <mergeCell ref="AX87:AZ87"/>
    <mergeCell ref="BA87:BC87"/>
    <mergeCell ref="AL90:AN90"/>
    <mergeCell ref="AO90:AQ90"/>
    <mergeCell ref="K100:M100"/>
    <mergeCell ref="N100:P100"/>
    <mergeCell ref="Q100:S100"/>
    <mergeCell ref="T100:V100"/>
    <mergeCell ref="W100:Y100"/>
    <mergeCell ref="Z100:AB100"/>
    <mergeCell ref="AL99:AN99"/>
    <mergeCell ref="AO99:AQ99"/>
    <mergeCell ref="AR99:AT99"/>
    <mergeCell ref="K99:M99"/>
    <mergeCell ref="N99:P99"/>
    <mergeCell ref="Q99:S99"/>
    <mergeCell ref="T99:V99"/>
    <mergeCell ref="W99:Y99"/>
    <mergeCell ref="Z99:AB99"/>
    <mergeCell ref="AC99:AE99"/>
    <mergeCell ref="AF99:AH99"/>
    <mergeCell ref="AI99:AK99"/>
    <mergeCell ref="K88:M88"/>
    <mergeCell ref="N88:P88"/>
    <mergeCell ref="Q88:S88"/>
    <mergeCell ref="T88:V88"/>
    <mergeCell ref="W88:Y88"/>
    <mergeCell ref="Z88:AB88"/>
    <mergeCell ref="AC88:AE88"/>
    <mergeCell ref="AF88:AH88"/>
    <mergeCell ref="AI88:AK88"/>
    <mergeCell ref="BA84:BC84"/>
    <mergeCell ref="AI84:AK84"/>
    <mergeCell ref="AL84:AN84"/>
    <mergeCell ref="AO84:AQ84"/>
    <mergeCell ref="AR84:AT84"/>
    <mergeCell ref="AI95:AK95"/>
    <mergeCell ref="AL95:AN95"/>
    <mergeCell ref="AO95:AQ95"/>
    <mergeCell ref="AR95:AT95"/>
    <mergeCell ref="AL78:AN78"/>
    <mergeCell ref="AU100:AW100"/>
    <mergeCell ref="AX100:AZ100"/>
    <mergeCell ref="BA100:BC100"/>
    <mergeCell ref="AC100:AE100"/>
    <mergeCell ref="AF100:AH100"/>
    <mergeCell ref="AI100:AK100"/>
    <mergeCell ref="AL100:AN100"/>
    <mergeCell ref="AO100:AQ100"/>
    <mergeCell ref="AR100:AT100"/>
    <mergeCell ref="AU99:AW99"/>
    <mergeCell ref="AX99:AZ99"/>
    <mergeCell ref="BA99:BC99"/>
    <mergeCell ref="BA85:BC85"/>
    <mergeCell ref="AI85:AK85"/>
    <mergeCell ref="AL85:AN85"/>
    <mergeCell ref="AO85:AQ85"/>
    <mergeCell ref="AR85:AT85"/>
    <mergeCell ref="AU85:AW85"/>
    <mergeCell ref="AX85:AZ85"/>
    <mergeCell ref="AL87:AN87"/>
    <mergeCell ref="AO87:AQ87"/>
    <mergeCell ref="AR87:AT87"/>
    <mergeCell ref="AR70:AT70"/>
    <mergeCell ref="AU70:AW70"/>
    <mergeCell ref="AX70:AZ70"/>
    <mergeCell ref="BA70:BC70"/>
    <mergeCell ref="AL72:AN72"/>
    <mergeCell ref="AO72:AQ72"/>
    <mergeCell ref="AR72:AT72"/>
    <mergeCell ref="AU72:AW72"/>
    <mergeCell ref="AX72:AZ72"/>
    <mergeCell ref="BA72:BC72"/>
    <mergeCell ref="AL75:AN75"/>
    <mergeCell ref="AO75:AQ75"/>
    <mergeCell ref="AR75:AT75"/>
    <mergeCell ref="AU75:AW75"/>
    <mergeCell ref="AX75:AZ75"/>
    <mergeCell ref="BA75:BC75"/>
    <mergeCell ref="AO73:AQ73"/>
    <mergeCell ref="AR73:AT73"/>
    <mergeCell ref="AU73:AW73"/>
    <mergeCell ref="AX73:AZ73"/>
    <mergeCell ref="BA73:BC73"/>
    <mergeCell ref="BA74:BC74"/>
    <mergeCell ref="AU84:AW84"/>
    <mergeCell ref="AL69:AN69"/>
    <mergeCell ref="AO69:AQ69"/>
    <mergeCell ref="AR69:AT69"/>
    <mergeCell ref="AU69:AW69"/>
    <mergeCell ref="AX69:AZ69"/>
    <mergeCell ref="BA69:BC69"/>
    <mergeCell ref="K64:M64"/>
    <mergeCell ref="N64:P64"/>
    <mergeCell ref="T65:V65"/>
    <mergeCell ref="W65:Y65"/>
    <mergeCell ref="Z65:AB65"/>
    <mergeCell ref="AC65:AE65"/>
    <mergeCell ref="AF65:AH65"/>
    <mergeCell ref="AI65:AK65"/>
    <mergeCell ref="AI70:AK70"/>
    <mergeCell ref="AL66:AN66"/>
    <mergeCell ref="AO66:AQ66"/>
    <mergeCell ref="AR66:AT66"/>
    <mergeCell ref="AU66:AW66"/>
    <mergeCell ref="K84:M84"/>
    <mergeCell ref="N84:P84"/>
    <mergeCell ref="Q84:S84"/>
    <mergeCell ref="T84:V84"/>
    <mergeCell ref="W84:Y84"/>
    <mergeCell ref="Z84:AB84"/>
    <mergeCell ref="AC84:AE84"/>
    <mergeCell ref="N67:P67"/>
    <mergeCell ref="Q67:S67"/>
    <mergeCell ref="AX84:AZ84"/>
    <mergeCell ref="AL70:AN70"/>
    <mergeCell ref="AO70:AQ70"/>
    <mergeCell ref="K85:M85"/>
    <mergeCell ref="N85:P85"/>
    <mergeCell ref="Q85:S85"/>
    <mergeCell ref="T85:V85"/>
    <mergeCell ref="W85:Y85"/>
    <mergeCell ref="Z85:AB85"/>
    <mergeCell ref="AC85:AE85"/>
    <mergeCell ref="AF85:AH85"/>
    <mergeCell ref="AF84:AH84"/>
    <mergeCell ref="Q64:S64"/>
    <mergeCell ref="T64:V64"/>
    <mergeCell ref="W64:Y64"/>
    <mergeCell ref="Z64:AB64"/>
    <mergeCell ref="K70:M70"/>
    <mergeCell ref="N70:P70"/>
    <mergeCell ref="Q70:S70"/>
    <mergeCell ref="T70:V70"/>
    <mergeCell ref="W70:Y70"/>
    <mergeCell ref="Z70:AB70"/>
    <mergeCell ref="AC70:AE70"/>
    <mergeCell ref="AF70:AH70"/>
    <mergeCell ref="K69:M69"/>
    <mergeCell ref="N69:P69"/>
    <mergeCell ref="T67:V67"/>
    <mergeCell ref="W67:Y67"/>
    <mergeCell ref="Z67:AB67"/>
    <mergeCell ref="AC67:AE67"/>
    <mergeCell ref="AF67:AH67"/>
    <mergeCell ref="Q69:S69"/>
    <mergeCell ref="T69:V69"/>
    <mergeCell ref="W69:Y69"/>
    <mergeCell ref="Z69:AB69"/>
    <mergeCell ref="K58:M58"/>
    <mergeCell ref="N58:P58"/>
    <mergeCell ref="Q58:S58"/>
    <mergeCell ref="AC64:AE64"/>
    <mergeCell ref="AF64:AH64"/>
    <mergeCell ref="AF63:AH63"/>
    <mergeCell ref="AU61:AW61"/>
    <mergeCell ref="AX66:AZ66"/>
    <mergeCell ref="BA66:BC66"/>
    <mergeCell ref="BA64:BC64"/>
    <mergeCell ref="K66:M66"/>
    <mergeCell ref="N66:P66"/>
    <mergeCell ref="Q66:S66"/>
    <mergeCell ref="T66:V66"/>
    <mergeCell ref="W66:Y66"/>
    <mergeCell ref="Z66:AB66"/>
    <mergeCell ref="AC66:AE66"/>
    <mergeCell ref="AF66:AH66"/>
    <mergeCell ref="AI66:AK66"/>
    <mergeCell ref="AI64:AK64"/>
    <mergeCell ref="AL64:AN64"/>
    <mergeCell ref="AO64:AQ64"/>
    <mergeCell ref="AR64:AT64"/>
    <mergeCell ref="AU64:AW64"/>
    <mergeCell ref="AX64:AZ64"/>
    <mergeCell ref="K63:M63"/>
    <mergeCell ref="N63:P63"/>
    <mergeCell ref="Q63:S63"/>
    <mergeCell ref="T63:V63"/>
    <mergeCell ref="W63:Y63"/>
    <mergeCell ref="Z63:AB63"/>
    <mergeCell ref="AC63:AE63"/>
    <mergeCell ref="N60:P60"/>
    <mergeCell ref="Q60:S60"/>
    <mergeCell ref="T60:V60"/>
    <mergeCell ref="W60:Y60"/>
    <mergeCell ref="Z60:AB60"/>
    <mergeCell ref="AC60:AE60"/>
    <mergeCell ref="AF60:AH60"/>
    <mergeCell ref="W61:Y61"/>
    <mergeCell ref="AI63:AK63"/>
    <mergeCell ref="AL63:AN63"/>
    <mergeCell ref="Z62:AB62"/>
    <mergeCell ref="AC62:AE62"/>
    <mergeCell ref="AF62:AH62"/>
    <mergeCell ref="AI62:AK62"/>
    <mergeCell ref="AL62:AN62"/>
    <mergeCell ref="AO62:AQ62"/>
    <mergeCell ref="AR62:AT62"/>
    <mergeCell ref="BA63:BC63"/>
    <mergeCell ref="AX60:AZ60"/>
    <mergeCell ref="BA60:BC60"/>
    <mergeCell ref="BA61:BC61"/>
    <mergeCell ref="AU63:AW63"/>
    <mergeCell ref="AU62:AW62"/>
    <mergeCell ref="AX62:AZ62"/>
    <mergeCell ref="BA62:BC62"/>
    <mergeCell ref="T58:V58"/>
    <mergeCell ref="W58:Y58"/>
    <mergeCell ref="Z58:AB58"/>
    <mergeCell ref="AC58:AE58"/>
    <mergeCell ref="AF58:AH58"/>
    <mergeCell ref="AR58:AT58"/>
    <mergeCell ref="AU58:AW58"/>
    <mergeCell ref="AX58:AZ58"/>
    <mergeCell ref="AO63:AQ63"/>
    <mergeCell ref="AR63:AT63"/>
    <mergeCell ref="AX61:AZ61"/>
    <mergeCell ref="AX63:AZ63"/>
    <mergeCell ref="AU55:AW55"/>
    <mergeCell ref="AX55:AZ55"/>
    <mergeCell ref="BA55:BC55"/>
    <mergeCell ref="AI55:AK55"/>
    <mergeCell ref="AL55:AN55"/>
    <mergeCell ref="AO55:AQ55"/>
    <mergeCell ref="AR55:AT55"/>
    <mergeCell ref="AX57:AZ57"/>
    <mergeCell ref="BA57:BC57"/>
    <mergeCell ref="AI57:AK57"/>
    <mergeCell ref="AL57:AN57"/>
    <mergeCell ref="AO57:AQ57"/>
    <mergeCell ref="AR57:AT57"/>
    <mergeCell ref="AU57:AW57"/>
    <mergeCell ref="BA58:BC58"/>
    <mergeCell ref="AI58:AK58"/>
    <mergeCell ref="AL58:AN58"/>
    <mergeCell ref="AO58:AQ58"/>
    <mergeCell ref="AI56:AK56"/>
    <mergeCell ref="AL56:AN56"/>
    <mergeCell ref="AO56:AQ56"/>
    <mergeCell ref="AR56:AT56"/>
    <mergeCell ref="AU56:AW56"/>
    <mergeCell ref="AX56:AZ56"/>
    <mergeCell ref="BA56:BC56"/>
    <mergeCell ref="K57:M57"/>
    <mergeCell ref="N57:P57"/>
    <mergeCell ref="Q57:S57"/>
    <mergeCell ref="T57:V57"/>
    <mergeCell ref="W57:Y57"/>
    <mergeCell ref="Z57:AB57"/>
    <mergeCell ref="K53:M53"/>
    <mergeCell ref="N53:P53"/>
    <mergeCell ref="Q53:S53"/>
    <mergeCell ref="T53:V53"/>
    <mergeCell ref="W53:Y53"/>
    <mergeCell ref="Z53:AB53"/>
    <mergeCell ref="AL54:AN54"/>
    <mergeCell ref="AC57:AE57"/>
    <mergeCell ref="AC55:AE55"/>
    <mergeCell ref="AF55:AH55"/>
    <mergeCell ref="K55:M55"/>
    <mergeCell ref="N55:P55"/>
    <mergeCell ref="Q55:S55"/>
    <mergeCell ref="T55:V55"/>
    <mergeCell ref="W55:Y55"/>
    <mergeCell ref="Z55:AB55"/>
    <mergeCell ref="K56:M56"/>
    <mergeCell ref="N56:P56"/>
    <mergeCell ref="Q56:S56"/>
    <mergeCell ref="T56:V56"/>
    <mergeCell ref="W56:Y56"/>
    <mergeCell ref="Z56:AB56"/>
    <mergeCell ref="AC56:AE56"/>
    <mergeCell ref="AF56:AH56"/>
    <mergeCell ref="AF57:AH57"/>
    <mergeCell ref="AC53:AE53"/>
    <mergeCell ref="AO54:AQ54"/>
    <mergeCell ref="AR54:AT54"/>
    <mergeCell ref="AU54:AW54"/>
    <mergeCell ref="AX54:AZ54"/>
    <mergeCell ref="BA54:BC54"/>
    <mergeCell ref="BA52:BC52"/>
    <mergeCell ref="K54:M54"/>
    <mergeCell ref="N54:P54"/>
    <mergeCell ref="Q54:S54"/>
    <mergeCell ref="T54:V54"/>
    <mergeCell ref="W54:Y54"/>
    <mergeCell ref="Z54:AB54"/>
    <mergeCell ref="AC54:AE54"/>
    <mergeCell ref="AF54:AH54"/>
    <mergeCell ref="AI54:AK54"/>
    <mergeCell ref="AI52:AK52"/>
    <mergeCell ref="AL52:AN52"/>
    <mergeCell ref="AO52:AQ52"/>
    <mergeCell ref="AR52:AT52"/>
    <mergeCell ref="AU52:AW52"/>
    <mergeCell ref="AX52:AZ52"/>
    <mergeCell ref="K52:M52"/>
    <mergeCell ref="N52:P52"/>
    <mergeCell ref="Q52:S52"/>
    <mergeCell ref="T52:V52"/>
    <mergeCell ref="W52:Y52"/>
    <mergeCell ref="Z52:AB52"/>
    <mergeCell ref="AF53:AH53"/>
    <mergeCell ref="AI53:AK53"/>
    <mergeCell ref="AL53:AN53"/>
    <mergeCell ref="AO53:AQ53"/>
    <mergeCell ref="AR53:AT53"/>
    <mergeCell ref="K51:M51"/>
    <mergeCell ref="N51:P51"/>
    <mergeCell ref="Q51:S51"/>
    <mergeCell ref="T51:V51"/>
    <mergeCell ref="W51:Y51"/>
    <mergeCell ref="Z51:AB51"/>
    <mergeCell ref="AC51:AE51"/>
    <mergeCell ref="AC49:AE49"/>
    <mergeCell ref="AF49:AH49"/>
    <mergeCell ref="AI49:AK49"/>
    <mergeCell ref="AL49:AN49"/>
    <mergeCell ref="AO49:AQ49"/>
    <mergeCell ref="AR49:AT49"/>
    <mergeCell ref="AU51:AW51"/>
    <mergeCell ref="K49:M49"/>
    <mergeCell ref="N49:P49"/>
    <mergeCell ref="Q49:S49"/>
    <mergeCell ref="T49:V49"/>
    <mergeCell ref="W49:Y49"/>
    <mergeCell ref="AI51:AK51"/>
    <mergeCell ref="AL51:AN51"/>
    <mergeCell ref="AO51:AQ51"/>
    <mergeCell ref="AR51:AT51"/>
    <mergeCell ref="Z49:AB49"/>
    <mergeCell ref="BA45:BC45"/>
    <mergeCell ref="AI45:AK45"/>
    <mergeCell ref="AL45:AN45"/>
    <mergeCell ref="AO45:AQ45"/>
    <mergeCell ref="AR45:AT45"/>
    <mergeCell ref="AU45:AW45"/>
    <mergeCell ref="BA46:BC46"/>
    <mergeCell ref="AI46:AK46"/>
    <mergeCell ref="AL46:AN46"/>
    <mergeCell ref="AO46:AQ46"/>
    <mergeCell ref="AR46:AT46"/>
    <mergeCell ref="AU46:AW46"/>
    <mergeCell ref="AX46:AZ46"/>
    <mergeCell ref="AU48:AW48"/>
    <mergeCell ref="AC52:AE52"/>
    <mergeCell ref="AF52:AH52"/>
    <mergeCell ref="AF51:AH51"/>
    <mergeCell ref="AU49:AW49"/>
    <mergeCell ref="AX49:AZ49"/>
    <mergeCell ref="AX51:AZ51"/>
    <mergeCell ref="BA49:BC49"/>
    <mergeCell ref="AC46:AE46"/>
    <mergeCell ref="AF46:AH46"/>
    <mergeCell ref="AR48:AT48"/>
    <mergeCell ref="AI40:AK40"/>
    <mergeCell ref="AL40:AN40"/>
    <mergeCell ref="AO40:AQ40"/>
    <mergeCell ref="AR40:AT40"/>
    <mergeCell ref="AU40:AW40"/>
    <mergeCell ref="AX40:AZ40"/>
    <mergeCell ref="K40:M40"/>
    <mergeCell ref="N40:P40"/>
    <mergeCell ref="Q40:S40"/>
    <mergeCell ref="T40:V40"/>
    <mergeCell ref="W40:Y40"/>
    <mergeCell ref="Z40:AB40"/>
    <mergeCell ref="AC40:AE40"/>
    <mergeCell ref="Z48:AB48"/>
    <mergeCell ref="AC48:AE48"/>
    <mergeCell ref="AF48:AH48"/>
    <mergeCell ref="AI48:AK48"/>
    <mergeCell ref="AL48:AN48"/>
    <mergeCell ref="AO48:AQ48"/>
    <mergeCell ref="AX45:AZ45"/>
    <mergeCell ref="K41:M41"/>
    <mergeCell ref="N41:P41"/>
    <mergeCell ref="AU43:AW43"/>
    <mergeCell ref="AX43:AZ43"/>
    <mergeCell ref="Z46:AB46"/>
    <mergeCell ref="K46:M46"/>
    <mergeCell ref="N46:P46"/>
    <mergeCell ref="Q46:S46"/>
    <mergeCell ref="K48:M48"/>
    <mergeCell ref="N48:P48"/>
    <mergeCell ref="Q48:S48"/>
    <mergeCell ref="T48:V48"/>
    <mergeCell ref="Z38:AB38"/>
    <mergeCell ref="AC38:AE38"/>
    <mergeCell ref="AF38:AH38"/>
    <mergeCell ref="AI38:AK38"/>
    <mergeCell ref="AL38:AN38"/>
    <mergeCell ref="AO38:AQ38"/>
    <mergeCell ref="AR38:AT38"/>
    <mergeCell ref="AU38:AW38"/>
    <mergeCell ref="AX38:AZ38"/>
    <mergeCell ref="BA37:BC37"/>
    <mergeCell ref="AF39:AH39"/>
    <mergeCell ref="AO39:AQ39"/>
    <mergeCell ref="AR39:AT39"/>
    <mergeCell ref="K45:M45"/>
    <mergeCell ref="N45:P45"/>
    <mergeCell ref="Q45:S45"/>
    <mergeCell ref="T45:V45"/>
    <mergeCell ref="W45:Y45"/>
    <mergeCell ref="Z45:AB45"/>
    <mergeCell ref="AC45:AE45"/>
    <mergeCell ref="AX42:AZ42"/>
    <mergeCell ref="BA42:BC42"/>
    <mergeCell ref="BA40:BC40"/>
    <mergeCell ref="K42:M42"/>
    <mergeCell ref="N42:P42"/>
    <mergeCell ref="Q42:S42"/>
    <mergeCell ref="T42:V42"/>
    <mergeCell ref="W42:Y42"/>
    <mergeCell ref="Z42:AB42"/>
    <mergeCell ref="AC42:AE42"/>
    <mergeCell ref="AF42:AH42"/>
    <mergeCell ref="AI42:AK42"/>
    <mergeCell ref="K39:M39"/>
    <mergeCell ref="N39:P39"/>
    <mergeCell ref="Q39:S39"/>
    <mergeCell ref="T39:V39"/>
    <mergeCell ref="W39:Y39"/>
    <mergeCell ref="Z39:AB39"/>
    <mergeCell ref="AC39:AE39"/>
    <mergeCell ref="K37:M37"/>
    <mergeCell ref="N37:P37"/>
    <mergeCell ref="Q37:S37"/>
    <mergeCell ref="T37:V37"/>
    <mergeCell ref="W37:Y37"/>
    <mergeCell ref="Z37:AB37"/>
    <mergeCell ref="AX39:AZ39"/>
    <mergeCell ref="BA39:BC39"/>
    <mergeCell ref="AI39:AK39"/>
    <mergeCell ref="AL39:AN39"/>
    <mergeCell ref="AU39:AW39"/>
    <mergeCell ref="K38:M38"/>
    <mergeCell ref="N38:P38"/>
    <mergeCell ref="BA38:BC38"/>
    <mergeCell ref="AC37:AE37"/>
    <mergeCell ref="AF37:AH37"/>
    <mergeCell ref="AI37:AK37"/>
    <mergeCell ref="AL37:AN37"/>
    <mergeCell ref="AO37:AQ37"/>
    <mergeCell ref="AR37:AT37"/>
    <mergeCell ref="AU37:AW37"/>
    <mergeCell ref="AX37:AZ37"/>
    <mergeCell ref="Q38:S38"/>
    <mergeCell ref="T38:V38"/>
    <mergeCell ref="W38:Y38"/>
    <mergeCell ref="BA31:BC31"/>
    <mergeCell ref="T30:BC30"/>
    <mergeCell ref="C30:J31"/>
    <mergeCell ref="K30:S30"/>
    <mergeCell ref="K31:M31"/>
    <mergeCell ref="N31:P31"/>
    <mergeCell ref="Q31:S31"/>
    <mergeCell ref="Z31:AB31"/>
    <mergeCell ref="AC31:AE31"/>
    <mergeCell ref="AF31:AH31"/>
    <mergeCell ref="AI31:AK31"/>
    <mergeCell ref="AL31:AN31"/>
    <mergeCell ref="AO31:AQ31"/>
    <mergeCell ref="T31:V31"/>
    <mergeCell ref="W31:Y31"/>
    <mergeCell ref="AU33:AW33"/>
    <mergeCell ref="AX33:AZ33"/>
    <mergeCell ref="BA33:BC33"/>
    <mergeCell ref="AR31:AT31"/>
    <mergeCell ref="AU31:AW31"/>
    <mergeCell ref="AX31:AZ31"/>
    <mergeCell ref="AU36:AW36"/>
    <mergeCell ref="AX36:AZ36"/>
    <mergeCell ref="BA36:BC36"/>
    <mergeCell ref="AL34:AN34"/>
    <mergeCell ref="AO34:AQ34"/>
    <mergeCell ref="AR34:AT34"/>
    <mergeCell ref="AU34:AW34"/>
    <mergeCell ref="AX34:AZ34"/>
    <mergeCell ref="K36:M36"/>
    <mergeCell ref="N36:P36"/>
    <mergeCell ref="Q36:S36"/>
    <mergeCell ref="T36:V36"/>
    <mergeCell ref="W36:Y36"/>
    <mergeCell ref="Z36:AB36"/>
    <mergeCell ref="AC36:AE36"/>
    <mergeCell ref="AF36:AH36"/>
    <mergeCell ref="AI34:AK34"/>
    <mergeCell ref="BA34:BC34"/>
    <mergeCell ref="K34:M34"/>
    <mergeCell ref="N34:P34"/>
    <mergeCell ref="Q34:S34"/>
    <mergeCell ref="T34:V34"/>
    <mergeCell ref="W34:Y34"/>
    <mergeCell ref="Z34:AB34"/>
    <mergeCell ref="AC34:AE34"/>
    <mergeCell ref="AF34:AH34"/>
    <mergeCell ref="AU35:AW35"/>
    <mergeCell ref="AX35:AZ35"/>
    <mergeCell ref="BA35:BC35"/>
    <mergeCell ref="K35:M35"/>
    <mergeCell ref="N35:P35"/>
    <mergeCell ref="Q35:S35"/>
    <mergeCell ref="T35:V35"/>
    <mergeCell ref="W35:Y35"/>
    <mergeCell ref="Z35:AB35"/>
    <mergeCell ref="AC35:AE35"/>
    <mergeCell ref="AF35:AH35"/>
    <mergeCell ref="AI35:AK35"/>
    <mergeCell ref="AL35:AN35"/>
    <mergeCell ref="AO35:AQ35"/>
    <mergeCell ref="AR35:AT35"/>
    <mergeCell ref="C8:F8"/>
    <mergeCell ref="AC33:AE33"/>
    <mergeCell ref="AF33:AH33"/>
    <mergeCell ref="AI33:AK33"/>
    <mergeCell ref="AL33:AN33"/>
    <mergeCell ref="AO33:AQ33"/>
    <mergeCell ref="AR33:AT33"/>
    <mergeCell ref="K33:M33"/>
    <mergeCell ref="N33:P33"/>
    <mergeCell ref="Q33:S33"/>
    <mergeCell ref="T33:V33"/>
    <mergeCell ref="W33:Y33"/>
    <mergeCell ref="Z33:AB33"/>
    <mergeCell ref="H8:J8"/>
    <mergeCell ref="C11:F11"/>
    <mergeCell ref="J11:M11"/>
    <mergeCell ref="K8:M8"/>
  </mergeCells>
  <phoneticPr fontId="1" type="noConversion"/>
  <conditionalFormatting sqref="K33:P100">
    <cfRule type="containsText" dxfId="4" priority="4" operator="containsText" text="개선">
      <formula>NOT(ISERROR(SEARCH("개선",K33)))</formula>
    </cfRule>
  </conditionalFormatting>
  <conditionalFormatting sqref="K33:P100 T33:BC100">
    <cfRule type="containsText" dxfId="3" priority="3" operator="containsText" text="개선">
      <formula>NOT(ISERROR(SEARCH("개선",K33)))</formula>
    </cfRule>
    <cfRule type="containsText" dxfId="2" priority="2" operator="containsText" text="양호">
      <formula>NOT(ISERROR(SEARCH("양호",K33)))</formula>
    </cfRule>
    <cfRule type="containsText" dxfId="1" priority="1" operator="containsText" text="우수">
      <formula>NOT(ISERROR(SEARCH("우수",K33)))</formula>
    </cfRule>
  </conditionalFormatting>
  <pageMargins left="0.25" right="0.25" top="0.75" bottom="0.75" header="0.3" footer="0.3"/>
  <pageSetup paperSize="9" scale="5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8A661-082C-4D29-85A9-87E779BA7345}">
  <sheetPr>
    <tabColor theme="7"/>
  </sheetPr>
  <dimension ref="A1:BO44"/>
  <sheetViews>
    <sheetView showGridLines="0" view="pageBreakPreview" zoomScaleNormal="100" zoomScaleSheetLayoutView="100" workbookViewId="0">
      <selection activeCell="BF3" sqref="BF3"/>
    </sheetView>
  </sheetViews>
  <sheetFormatPr defaultColWidth="9.625" defaultRowHeight="15" customHeight="1" x14ac:dyDescent="0.3"/>
  <cols>
    <col min="1" max="57" width="1.625" style="7" customWidth="1"/>
    <col min="58" max="59" width="9.625" style="5"/>
    <col min="60" max="60" width="10.125" style="5" bestFit="1" customWidth="1"/>
    <col min="61" max="16384" width="9.625" style="5"/>
  </cols>
  <sheetData>
    <row r="1" spans="1:61" ht="8.1" customHeight="1" thickBot="1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</row>
    <row r="2" spans="1:61" ht="28.5" customHeight="1" thickTop="1" thickBot="1" x14ac:dyDescent="0.35">
      <c r="A2" s="5"/>
      <c r="B2" s="29" t="s">
        <v>42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5"/>
    </row>
    <row r="3" spans="1:61" ht="16.5" customHeight="1" thickTop="1" x14ac:dyDescent="0.3">
      <c r="A3" s="5"/>
      <c r="B3" s="28" t="s">
        <v>489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5"/>
    </row>
    <row r="4" spans="1:61" customFormat="1" ht="12" customHeight="1" x14ac:dyDescent="0.3">
      <c r="A4" s="2"/>
      <c r="B4" s="10" t="s">
        <v>43</v>
      </c>
      <c r="C4" s="4"/>
      <c r="D4" s="4"/>
      <c r="E4" s="4"/>
      <c r="F4" s="4"/>
      <c r="G4" s="4"/>
      <c r="H4" s="4"/>
      <c r="I4" s="4"/>
      <c r="J4" s="4"/>
      <c r="K4" s="3"/>
      <c r="L4" s="3"/>
      <c r="M4" s="3"/>
      <c r="N4" s="3"/>
      <c r="O4" s="3"/>
      <c r="P4" s="3"/>
      <c r="Q4" s="3"/>
      <c r="R4" s="3"/>
      <c r="S4" s="4"/>
      <c r="T4" s="4"/>
      <c r="U4" s="4"/>
      <c r="V4" s="4"/>
      <c r="W4" s="4"/>
      <c r="X4" s="4"/>
      <c r="Y4" s="4"/>
      <c r="Z4" s="4"/>
      <c r="AA4" s="3"/>
      <c r="AB4" s="3"/>
      <c r="AC4" s="3"/>
      <c r="AD4" s="3"/>
      <c r="AE4" s="3"/>
      <c r="AF4" s="3"/>
      <c r="AG4" s="3"/>
      <c r="AH4" s="3"/>
      <c r="AI4" s="4"/>
      <c r="AJ4" s="4"/>
      <c r="AK4" s="4"/>
      <c r="AL4" s="4"/>
      <c r="AM4" s="4"/>
      <c r="AN4" s="4"/>
      <c r="AO4" s="4"/>
      <c r="AP4" s="4"/>
      <c r="AQ4" s="3"/>
      <c r="AR4" s="3"/>
      <c r="AS4" s="3"/>
      <c r="AT4" s="3"/>
      <c r="AU4" s="3"/>
      <c r="AV4" s="3"/>
      <c r="AW4" s="3"/>
      <c r="AX4" s="3"/>
      <c r="AY4" s="4"/>
      <c r="AZ4" s="4"/>
      <c r="BA4" s="4"/>
      <c r="BB4" s="4"/>
      <c r="BC4" s="12"/>
      <c r="BD4" s="31" t="s">
        <v>488</v>
      </c>
      <c r="BE4" s="2"/>
    </row>
    <row r="5" spans="1:61" ht="15" customHeight="1" x14ac:dyDescent="0.3">
      <c r="C5" s="6" t="s">
        <v>44</v>
      </c>
      <c r="BG5" s="5" t="s">
        <v>41</v>
      </c>
      <c r="BH5" s="5" t="s">
        <v>45</v>
      </c>
      <c r="BI5" s="5" t="s">
        <v>145</v>
      </c>
    </row>
    <row r="6" spans="1:61" ht="15" customHeight="1" x14ac:dyDescent="0.3">
      <c r="C6" s="102" t="s">
        <v>751</v>
      </c>
      <c r="D6" s="103"/>
      <c r="E6" s="103"/>
      <c r="F6" s="103"/>
      <c r="G6" s="103"/>
      <c r="H6" s="103"/>
      <c r="I6" s="103"/>
      <c r="J6" s="103"/>
      <c r="K6" s="103"/>
      <c r="L6" s="103"/>
      <c r="M6" s="103"/>
      <c r="BG6" s="5" t="s">
        <v>847</v>
      </c>
      <c r="BH6" s="33" t="e">
        <f>COUNTIFS('CCI raw'!$R:$R, "불만", 'CCI raw'!$H:$H, BG6) / COUNTIF('CCI raw'!$H:$H, BG6) * 100</f>
        <v>#DIV/0!</v>
      </c>
      <c r="BI6" s="9" t="e">
        <f>COUNTIFS('CCI raw'!$R:$R, "불만") / COUNTA('CCI raw'!$R:$R) * 100</f>
        <v>#DIV/0!</v>
      </c>
    </row>
    <row r="7" spans="1:61" ht="15" customHeight="1" x14ac:dyDescent="0.3">
      <c r="A7" s="6"/>
      <c r="B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G7" s="5" t="s">
        <v>848</v>
      </c>
      <c r="BH7" s="33" t="e">
        <f>COUNTIFS('CCI raw'!$R:$R, "불만", 'CCI raw'!$H:$H, BG7) / COUNTIF('CCI raw'!$H:$H, BG7) * 100</f>
        <v>#DIV/0!</v>
      </c>
      <c r="BI7" s="9" t="e">
        <f>BI6</f>
        <v>#DIV/0!</v>
      </c>
    </row>
    <row r="8" spans="1:61" ht="15" customHeight="1" x14ac:dyDescent="0.3">
      <c r="A8" s="6"/>
      <c r="B8" s="6"/>
      <c r="C8" s="44" t="s">
        <v>38</v>
      </c>
      <c r="D8" s="44"/>
      <c r="E8" s="44"/>
      <c r="F8" s="44"/>
      <c r="H8" s="108" t="e">
        <f>J11-C11</f>
        <v>#N/A</v>
      </c>
      <c r="I8" s="108"/>
      <c r="J8" s="108"/>
      <c r="K8" s="109" t="e">
        <f>IF(H8&gt;0, "상승", IF(H8=0, "동일", "감소"))</f>
        <v>#N/A</v>
      </c>
      <c r="L8" s="110"/>
      <c r="M8" s="110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G8" s="5" t="s">
        <v>849</v>
      </c>
      <c r="BH8" s="33" t="e">
        <f>COUNTIFS('CCI raw'!$R:$R, "불만", 'CCI raw'!$H:$H, BG8) / COUNTIF('CCI raw'!$H:$H, BG8) * 100</f>
        <v>#DIV/0!</v>
      </c>
      <c r="BI8" s="9" t="e">
        <f t="shared" ref="BI8:BI10" si="0">BI7</f>
        <v>#DIV/0!</v>
      </c>
    </row>
    <row r="9" spans="1:61" ht="15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G9" s="5" t="s">
        <v>850</v>
      </c>
      <c r="BH9" s="33" t="e">
        <f>COUNTIFS('CCI raw'!$R:$R, "불만", 'CCI raw'!$H:$H, BG9) / COUNTIF('CCI raw'!$H:$H, BG9) * 100</f>
        <v>#DIV/0!</v>
      </c>
      <c r="BI9" s="9" t="e">
        <f t="shared" si="0"/>
        <v>#DIV/0!</v>
      </c>
    </row>
    <row r="10" spans="1:61" ht="15" customHeight="1" x14ac:dyDescent="0.3">
      <c r="A10" s="6"/>
      <c r="B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G10" s="5" t="s">
        <v>851</v>
      </c>
      <c r="BH10" s="33" t="e">
        <f>COUNTIFS('CCI raw'!$R:$R, "불만", 'CCI raw'!$H:$H, BG10) / COUNTIF('CCI raw'!$H:$H, BG10) * 100</f>
        <v>#DIV/0!</v>
      </c>
      <c r="BI10" s="9" t="e">
        <f t="shared" si="0"/>
        <v>#DIV/0!</v>
      </c>
    </row>
    <row r="11" spans="1:61" ht="15" customHeight="1" x14ac:dyDescent="0.3">
      <c r="A11" s="6"/>
      <c r="B11" s="6"/>
      <c r="C11" s="109" t="e" cm="1">
        <f t="array" ref="C11">SUMPRODUCT(--('CCI raw'!A:A &lt;= '2.VOC대시보드'!BH14) * ('CCI raw'!$R:$R = "불만") * ('CCI raw'!$H:$H = LEFT(B2,8))) / SUMPRODUCT(--('CCI raw'!A:A &lt;= '2.VOC대시보드'!BH14) * ('CCI raw'!$H:$H = LEFT(B2,8))) * 100</f>
        <v>#VALUE!</v>
      </c>
      <c r="D11" s="109"/>
      <c r="E11" s="109"/>
      <c r="F11" s="109"/>
      <c r="J11" s="109" t="e">
        <f>_xlfn.XLOOKUP(LEFT(B2,8),BG6:BG10,BH6:BH10)</f>
        <v>#N/A</v>
      </c>
      <c r="K11" s="111"/>
      <c r="L11" s="111"/>
      <c r="M11" s="111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I11" s="9"/>
    </row>
    <row r="12" spans="1:61" ht="15" customHeight="1" x14ac:dyDescent="0.3">
      <c r="A12" s="6"/>
      <c r="B12" s="6"/>
      <c r="C12" s="11" t="s">
        <v>39</v>
      </c>
      <c r="D12" s="6"/>
      <c r="E12" s="6"/>
      <c r="F12" s="6"/>
      <c r="G12" s="6"/>
      <c r="H12" s="6"/>
      <c r="I12" s="6"/>
      <c r="J12" s="6"/>
      <c r="K12" s="6"/>
      <c r="L12" s="6"/>
      <c r="M12" s="14" t="s">
        <v>1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I12" s="9"/>
    </row>
    <row r="13" spans="1:61" ht="15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I13" s="9"/>
    </row>
    <row r="14" spans="1:61" ht="15" customHeigh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G14" s="5" t="s">
        <v>39</v>
      </c>
      <c r="BH14" s="5" t="e" cm="1">
        <f t="array" ref="BH14">TEXT(EOMONTH(DATE(LEFT(MAX(VALUE('CCI raw'!A2:A1000000)),4), MID(MAX(VALUE('CCI raw'!A2:A1000000)),5,2), RIGHT(MAX(VALUE('CCI raw'!A2:A1000000)),2)), -1), "yyyymmdd")</f>
        <v>#VALUE!</v>
      </c>
      <c r="BI14" s="9"/>
    </row>
    <row r="15" spans="1:61" ht="15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I15" s="9"/>
    </row>
    <row r="16" spans="1:61" ht="15" customHeight="1" x14ac:dyDescent="0.3">
      <c r="A16" s="6"/>
      <c r="B16" s="6"/>
      <c r="C16" s="102" t="s">
        <v>752</v>
      </c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I16" s="9"/>
    </row>
    <row r="17" spans="1:67" ht="15" customHeight="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I17" s="9"/>
    </row>
    <row r="20" spans="1:67" ht="15" customHeight="1" x14ac:dyDescent="0.3">
      <c r="BG20" s="5" t="s">
        <v>24</v>
      </c>
      <c r="BH20" s="5" t="s">
        <v>46</v>
      </c>
      <c r="BI20" s="5" t="s">
        <v>47</v>
      </c>
      <c r="BJ20" s="5" t="s">
        <v>45</v>
      </c>
    </row>
    <row r="21" spans="1:67" ht="15" customHeight="1" x14ac:dyDescent="0.3">
      <c r="BG21" s="5" t="s">
        <v>25</v>
      </c>
      <c r="BH21" s="9" t="e">
        <f>COUNTIFS('CCI raw'!$R:$R, "칭찬", 'CCI raw'!$A:$A, "202601*") / COUNTIF('CCI raw'!$A:$A, "202601*") * 100</f>
        <v>#DIV/0!</v>
      </c>
      <c r="BI21" s="9" t="e">
        <f>COUNTIFS('CCI raw'!$R:$R, "불만", 'CCI raw'!$A:$A, "202601*") / COUNTIF('CCI raw'!$A:$A, "202601*") * 100</f>
        <v>#DIV/0!</v>
      </c>
      <c r="BJ21" s="9" t="e">
        <f>BI21</f>
        <v>#DIV/0!</v>
      </c>
      <c r="BK21" s="9"/>
      <c r="BM21" s="9"/>
      <c r="BN21" s="9"/>
      <c r="BO21" s="9"/>
    </row>
    <row r="22" spans="1:67" ht="15" customHeight="1" x14ac:dyDescent="0.3">
      <c r="BG22" s="5" t="s">
        <v>26</v>
      </c>
      <c r="BH22" s="9" t="e">
        <f>COUNTIFS('CCI raw'!$R:$R, "칭찬", 'CCI raw'!$A:$A, "202602*") / COUNTIF('CCI raw'!$A:$A, "202602*") * 100</f>
        <v>#DIV/0!</v>
      </c>
      <c r="BI22" s="9" t="e">
        <f>COUNTIFS('CCI raw'!$R:$R, "불만", 'CCI raw'!$A:$A, "202602*") / COUNTIF('CCI raw'!$A:$A, "202602*") * 100</f>
        <v>#DIV/0!</v>
      </c>
      <c r="BJ22" s="9" t="e">
        <f t="shared" ref="BJ22:BJ32" si="1">BI22</f>
        <v>#DIV/0!</v>
      </c>
      <c r="BK22" s="9"/>
      <c r="BM22" s="9"/>
      <c r="BN22" s="9"/>
      <c r="BO22" s="9"/>
    </row>
    <row r="23" spans="1:67" ht="15" customHeight="1" x14ac:dyDescent="0.3">
      <c r="G23" s="8"/>
      <c r="BG23" s="5" t="s">
        <v>27</v>
      </c>
      <c r="BH23" s="9" t="e">
        <f>COUNTIFS('CCI raw'!$R:$R, "칭찬", 'CCI raw'!$A:$A, "202603*") / COUNTIF('CCI raw'!$A:$A, "202603*") * 100</f>
        <v>#DIV/0!</v>
      </c>
      <c r="BI23" s="9" t="e">
        <f>COUNTIFS('CCI raw'!$R:$R, "불만", 'CCI raw'!$A:$A, "202603*") / COUNTIF('CCI raw'!$A:$A, "202603*") * 100</f>
        <v>#DIV/0!</v>
      </c>
      <c r="BJ23" s="9" t="e">
        <f t="shared" si="1"/>
        <v>#DIV/0!</v>
      </c>
      <c r="BK23" s="9"/>
      <c r="BM23" s="9"/>
      <c r="BN23" s="9"/>
      <c r="BO23" s="9"/>
    </row>
    <row r="24" spans="1:67" ht="15" customHeight="1" x14ac:dyDescent="0.3">
      <c r="T24" s="8"/>
      <c r="BG24" s="5" t="s">
        <v>28</v>
      </c>
      <c r="BH24" s="9" t="e">
        <f>COUNTIFS('CCI raw'!$R:$R, "칭찬", 'CCI raw'!$A:$A, "202604*") / COUNTIF('CCI raw'!$A:$A, "202604*") * 100</f>
        <v>#DIV/0!</v>
      </c>
      <c r="BI24" s="9" t="e">
        <f>COUNTIFS('CCI raw'!$R:$R, "불만", 'CCI raw'!$A:$A, "202604*") / COUNTIF('CCI raw'!$A:$A, "202604*") * 100</f>
        <v>#DIV/0!</v>
      </c>
      <c r="BJ24" s="9" t="e">
        <f t="shared" si="1"/>
        <v>#DIV/0!</v>
      </c>
      <c r="BK24" s="9"/>
      <c r="BM24" s="9"/>
      <c r="BN24" s="9"/>
      <c r="BO24" s="9"/>
    </row>
    <row r="25" spans="1:67" ht="15" customHeight="1" x14ac:dyDescent="0.3">
      <c r="BG25" s="5" t="s">
        <v>29</v>
      </c>
      <c r="BH25" s="9" t="e">
        <f>COUNTIFS('CCI raw'!$R:$R, "칭찬", 'CCI raw'!$A:$A, "202605*") / COUNTIF('CCI raw'!$A:$A, "202605*") * 100</f>
        <v>#DIV/0!</v>
      </c>
      <c r="BI25" s="9" t="e">
        <f>COUNTIFS('CCI raw'!$R:$R, "불만", 'CCI raw'!$A:$A, "202605*") / COUNTIF('CCI raw'!$A:$A, "202605*") * 100</f>
        <v>#DIV/0!</v>
      </c>
      <c r="BJ25" s="9" t="e">
        <f t="shared" si="1"/>
        <v>#DIV/0!</v>
      </c>
      <c r="BK25" s="9"/>
      <c r="BM25" s="9"/>
      <c r="BN25" s="9"/>
      <c r="BO25" s="9"/>
    </row>
    <row r="26" spans="1:67" ht="15" customHeight="1" x14ac:dyDescent="0.3">
      <c r="BG26" s="5" t="s">
        <v>30</v>
      </c>
      <c r="BH26" s="9" t="e">
        <f>COUNTIFS('CCI raw'!$R:$R, "칭찬", 'CCI raw'!$A:$A, "202606*") / COUNTIF('CCI raw'!$A:$A, "202606*") * 100</f>
        <v>#DIV/0!</v>
      </c>
      <c r="BI26" s="9" t="e">
        <f>COUNTIFS('CCI raw'!$R:$R, "불만", 'CCI raw'!$A:$A, "202606*") / COUNTIF('CCI raw'!$A:$A, "202606*") * 100</f>
        <v>#DIV/0!</v>
      </c>
      <c r="BJ26" s="9" t="e">
        <f t="shared" si="1"/>
        <v>#DIV/0!</v>
      </c>
      <c r="BK26" s="9"/>
      <c r="BM26" s="9"/>
      <c r="BN26" s="9"/>
      <c r="BO26" s="9"/>
    </row>
    <row r="27" spans="1:67" ht="15" customHeight="1" x14ac:dyDescent="0.3">
      <c r="BG27" s="5" t="s">
        <v>31</v>
      </c>
      <c r="BH27" s="9" t="e">
        <f>COUNTIFS('CCI raw'!$R:$R, "칭찬", 'CCI raw'!$A:$A, "202607*") / COUNTIF('CCI raw'!$A:$A, "202607*") * 100</f>
        <v>#DIV/0!</v>
      </c>
      <c r="BI27" s="9" t="e">
        <f>COUNTIFS('CCI raw'!$R:$R, "불만", 'CCI raw'!$A:$A, "202607*") / COUNTIF('CCI raw'!$A:$A, "202607*") * 100</f>
        <v>#DIV/0!</v>
      </c>
      <c r="BJ27" s="9" t="e">
        <f t="shared" si="1"/>
        <v>#DIV/0!</v>
      </c>
      <c r="BK27" s="9"/>
      <c r="BM27" s="9"/>
      <c r="BN27" s="9"/>
      <c r="BO27" s="9"/>
    </row>
    <row r="28" spans="1:67" ht="15" customHeight="1" x14ac:dyDescent="0.3">
      <c r="B28" s="10" t="s">
        <v>481</v>
      </c>
      <c r="C28" s="4"/>
      <c r="D28" s="4"/>
      <c r="E28" s="4"/>
      <c r="F28" s="4"/>
      <c r="G28" s="4"/>
      <c r="H28" s="4"/>
      <c r="I28" s="4"/>
      <c r="J28" s="4"/>
      <c r="K28" s="3"/>
      <c r="L28" s="3"/>
      <c r="M28" s="3"/>
      <c r="N28" s="3"/>
      <c r="O28" s="3"/>
      <c r="P28" s="3"/>
      <c r="Q28" s="3"/>
      <c r="R28" s="3"/>
      <c r="S28" s="4"/>
      <c r="T28" s="4"/>
      <c r="U28" s="4"/>
      <c r="V28" s="4"/>
      <c r="W28" s="4"/>
      <c r="X28" s="4"/>
      <c r="Y28" s="4"/>
      <c r="Z28" s="4"/>
      <c r="AA28" s="3"/>
      <c r="AB28" s="3"/>
      <c r="AC28" s="3"/>
      <c r="AD28" s="3"/>
      <c r="AE28" s="3"/>
      <c r="AF28" s="3"/>
      <c r="AG28" s="3"/>
      <c r="AH28" s="3"/>
      <c r="AI28" s="4"/>
      <c r="AJ28" s="4"/>
      <c r="AK28" s="4"/>
      <c r="AL28" s="4"/>
      <c r="AM28" s="4"/>
      <c r="AN28" s="4"/>
      <c r="AO28" s="4"/>
      <c r="AP28" s="4"/>
      <c r="AQ28" s="3"/>
      <c r="AR28" s="3"/>
      <c r="AS28" s="3"/>
      <c r="AT28" s="3"/>
      <c r="AU28" s="3"/>
      <c r="AV28" s="3"/>
      <c r="AW28" s="3"/>
      <c r="AX28" s="3"/>
      <c r="AY28" s="4"/>
      <c r="AZ28" s="4"/>
      <c r="BA28" s="4"/>
      <c r="BB28" s="4"/>
      <c r="BC28" s="12"/>
      <c r="BD28" s="31" t="s">
        <v>748</v>
      </c>
      <c r="BG28" s="5" t="s">
        <v>32</v>
      </c>
      <c r="BH28" s="9" t="e">
        <f>COUNTIFS('CCI raw'!$R:$R, "칭찬", 'CCI raw'!$A:$A, "202608*") / COUNTIF('CCI raw'!$A:$A, "202608*") * 100</f>
        <v>#DIV/0!</v>
      </c>
      <c r="BI28" s="9" t="e">
        <f>COUNTIFS('CCI raw'!$R:$R, "불만", 'CCI raw'!$A:$A, "202608*") / COUNTIF('CCI raw'!$A:$A, "202608*") * 100</f>
        <v>#DIV/0!</v>
      </c>
      <c r="BJ28" s="9" t="e">
        <f t="shared" si="1"/>
        <v>#DIV/0!</v>
      </c>
      <c r="BK28" s="9"/>
      <c r="BM28" s="9"/>
      <c r="BN28" s="9"/>
      <c r="BO28" s="9"/>
    </row>
    <row r="29" spans="1:67" ht="15" customHeight="1" thickBot="1" x14ac:dyDescent="0.35">
      <c r="C29" s="6" t="s">
        <v>753</v>
      </c>
      <c r="BG29" s="5" t="s">
        <v>33</v>
      </c>
      <c r="BH29" s="9" t="e">
        <f>COUNTIFS('CCI raw'!$R:$R, "칭찬", 'CCI raw'!$A:$A, "202609*") / COUNTIF('CCI raw'!$A:$A, "202609*") * 100</f>
        <v>#DIV/0!</v>
      </c>
      <c r="BI29" s="9" t="e">
        <f>COUNTIFS('CCI raw'!$R:$R, "불만", 'CCI raw'!$A:$A, "202609*") / COUNTIF('CCI raw'!$A:$A, "202609*") * 100</f>
        <v>#DIV/0!</v>
      </c>
      <c r="BJ29" s="9" t="e">
        <f t="shared" si="1"/>
        <v>#DIV/0!</v>
      </c>
      <c r="BK29" s="9"/>
      <c r="BM29" s="9"/>
      <c r="BN29" s="9"/>
      <c r="BO29" s="9"/>
    </row>
    <row r="30" spans="1:67" ht="12" customHeight="1" x14ac:dyDescent="0.3">
      <c r="C30" s="60" t="s">
        <v>490</v>
      </c>
      <c r="D30" s="60"/>
      <c r="E30" s="60"/>
      <c r="F30" s="60"/>
      <c r="G30" s="60"/>
      <c r="H30" s="60"/>
      <c r="I30" s="84"/>
      <c r="J30" s="32" t="s">
        <v>482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G30" s="5" t="s">
        <v>34</v>
      </c>
      <c r="BH30" s="9" t="e">
        <f>COUNTIFS('CCI raw'!$R:$R, "칭찬", 'CCI raw'!$A:$A, "202610*") / COUNTIF('CCI raw'!$A:$A, "202610*") * 100</f>
        <v>#DIV/0!</v>
      </c>
      <c r="BI30" s="9" t="e">
        <f>COUNTIFS('CCI raw'!$R:$R, "불만", 'CCI raw'!$A:$A, "202610*") / COUNTIF('CCI raw'!$A:$A, "202610*") * 100</f>
        <v>#DIV/0!</v>
      </c>
      <c r="BJ30" s="9" t="e">
        <f t="shared" si="1"/>
        <v>#DIV/0!</v>
      </c>
      <c r="BK30" s="9"/>
      <c r="BM30" s="9"/>
      <c r="BN30" s="9"/>
      <c r="BO30" s="9"/>
    </row>
    <row r="31" spans="1:67" ht="12" customHeight="1" thickBot="1" x14ac:dyDescent="0.35">
      <c r="C31" s="61"/>
      <c r="D31" s="61"/>
      <c r="E31" s="61"/>
      <c r="F31" s="61"/>
      <c r="G31" s="61"/>
      <c r="H31" s="61"/>
      <c r="I31" s="85"/>
      <c r="J31" s="34"/>
      <c r="K31" s="34"/>
      <c r="L31" s="34"/>
      <c r="M31" s="34"/>
      <c r="N31" s="35" t="s">
        <v>480</v>
      </c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G31" s="5" t="s">
        <v>35</v>
      </c>
      <c r="BH31" s="9" t="e">
        <f>COUNTIFS('CCI raw'!$R:$R, "칭찬", 'CCI raw'!$A:$A, "202611*") / COUNTIF('CCI raw'!$A:$A, "202611*") * 100</f>
        <v>#DIV/0!</v>
      </c>
      <c r="BI31" s="9" t="e">
        <f>COUNTIFS('CCI raw'!$R:$R, "불만", 'CCI raw'!$A:$A, "202611*") / COUNTIF('CCI raw'!$A:$A, "202611*") * 100</f>
        <v>#DIV/0!</v>
      </c>
      <c r="BJ31" s="9" t="e">
        <f t="shared" si="1"/>
        <v>#DIV/0!</v>
      </c>
      <c r="BK31" s="9"/>
      <c r="BM31" s="9"/>
      <c r="BN31" s="9"/>
      <c r="BO31" s="9"/>
    </row>
    <row r="32" spans="1:67" ht="20.100000000000001" customHeight="1" x14ac:dyDescent="0.3">
      <c r="C32" s="86" t="s">
        <v>496</v>
      </c>
      <c r="D32" s="86"/>
      <c r="E32" s="86"/>
      <c r="F32" s="86"/>
      <c r="G32" s="86"/>
      <c r="H32" s="86"/>
      <c r="I32" s="87"/>
      <c r="J32" s="96" t="s">
        <v>495</v>
      </c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G32" s="5" t="s">
        <v>36</v>
      </c>
      <c r="BH32" s="9" t="e">
        <f>COUNTIFS('CCI raw'!$R:$R, "칭찬", 'CCI raw'!$A:$A, "202612*") / COUNTIF('CCI raw'!$A:$A, "202612*") * 100</f>
        <v>#DIV/0!</v>
      </c>
      <c r="BI32" s="9" t="e">
        <f>COUNTIFS('CCI raw'!$R:$R, "불만", 'CCI raw'!$A:$A, "202612*") / COUNTIF('CCI raw'!$A:$A, "202612*") * 100</f>
        <v>#DIV/0!</v>
      </c>
      <c r="BJ32" s="9" t="e">
        <f t="shared" si="1"/>
        <v>#DIV/0!</v>
      </c>
      <c r="BM32" s="9"/>
      <c r="BN32" s="9"/>
      <c r="BO32" s="9"/>
    </row>
    <row r="33" spans="3:67" ht="15" customHeight="1" x14ac:dyDescent="0.3">
      <c r="C33" s="88"/>
      <c r="D33" s="88"/>
      <c r="E33" s="88"/>
      <c r="F33" s="88"/>
      <c r="G33" s="88"/>
      <c r="H33" s="88"/>
      <c r="I33" s="89"/>
      <c r="J33" s="37"/>
      <c r="K33" s="37"/>
      <c r="L33" s="37"/>
      <c r="M33" s="37"/>
      <c r="N33" s="80" t="s">
        <v>483</v>
      </c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H33" s="9"/>
      <c r="BI33" s="9"/>
      <c r="BJ33" s="9"/>
      <c r="BM33" s="9"/>
      <c r="BN33" s="9"/>
      <c r="BO33" s="9"/>
    </row>
    <row r="34" spans="3:67" ht="15" customHeight="1" x14ac:dyDescent="0.3">
      <c r="C34" s="88"/>
      <c r="D34" s="88"/>
      <c r="E34" s="88"/>
      <c r="F34" s="88"/>
      <c r="G34" s="88"/>
      <c r="H34" s="88"/>
      <c r="I34" s="89"/>
      <c r="J34" s="37"/>
      <c r="K34" s="37"/>
      <c r="L34" s="37"/>
      <c r="M34" s="37"/>
      <c r="N34" s="80" t="s">
        <v>746</v>
      </c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</row>
    <row r="35" spans="3:67" ht="15" customHeight="1" x14ac:dyDescent="0.3">
      <c r="C35" s="88"/>
      <c r="D35" s="88"/>
      <c r="E35" s="88"/>
      <c r="F35" s="88"/>
      <c r="G35" s="88"/>
      <c r="H35" s="88"/>
      <c r="I35" s="89"/>
      <c r="J35" s="37"/>
      <c r="K35" s="37"/>
      <c r="L35" s="37"/>
      <c r="M35" s="37"/>
      <c r="N35" s="98" t="s">
        <v>747</v>
      </c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</row>
    <row r="36" spans="3:67" ht="20.100000000000001" customHeight="1" x14ac:dyDescent="0.3">
      <c r="C36" s="90" t="s">
        <v>497</v>
      </c>
      <c r="D36" s="90"/>
      <c r="E36" s="90"/>
      <c r="F36" s="90"/>
      <c r="G36" s="90"/>
      <c r="H36" s="90"/>
      <c r="I36" s="91"/>
      <c r="J36" s="100" t="s">
        <v>493</v>
      </c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</row>
    <row r="37" spans="3:67" ht="15" customHeight="1" x14ac:dyDescent="0.3">
      <c r="C37" s="88"/>
      <c r="D37" s="88"/>
      <c r="E37" s="88"/>
      <c r="F37" s="88"/>
      <c r="G37" s="88"/>
      <c r="H37" s="88"/>
      <c r="I37" s="89"/>
      <c r="J37" s="38"/>
      <c r="K37" s="37"/>
      <c r="L37" s="37"/>
      <c r="M37" s="37"/>
      <c r="N37" s="80" t="s">
        <v>484</v>
      </c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</row>
    <row r="38" spans="3:67" ht="15" customHeight="1" x14ac:dyDescent="0.3">
      <c r="C38" s="88"/>
      <c r="D38" s="88"/>
      <c r="E38" s="88"/>
      <c r="F38" s="88"/>
      <c r="G38" s="88"/>
      <c r="H38" s="88"/>
      <c r="I38" s="89"/>
      <c r="J38" s="38"/>
      <c r="K38" s="37"/>
      <c r="L38" s="37"/>
      <c r="M38" s="37"/>
      <c r="N38" s="80" t="s">
        <v>485</v>
      </c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</row>
    <row r="39" spans="3:67" ht="15" customHeight="1" x14ac:dyDescent="0.3">
      <c r="C39" s="92"/>
      <c r="D39" s="92"/>
      <c r="E39" s="92"/>
      <c r="F39" s="92"/>
      <c r="G39" s="92"/>
      <c r="H39" s="92"/>
      <c r="I39" s="93"/>
      <c r="J39" s="39"/>
      <c r="K39" s="40"/>
      <c r="L39" s="40"/>
      <c r="M39" s="40"/>
      <c r="N39" s="104" t="s">
        <v>491</v>
      </c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AW39" s="105"/>
      <c r="AX39" s="105"/>
      <c r="AY39" s="105"/>
      <c r="AZ39" s="105"/>
      <c r="BA39" s="105"/>
      <c r="BB39" s="105"/>
      <c r="BC39" s="105"/>
    </row>
    <row r="40" spans="3:67" ht="20.100000000000001" customHeight="1" x14ac:dyDescent="0.3">
      <c r="C40" s="88" t="s">
        <v>498</v>
      </c>
      <c r="D40" s="88"/>
      <c r="E40" s="88"/>
      <c r="F40" s="88"/>
      <c r="G40" s="88"/>
      <c r="H40" s="88"/>
      <c r="I40" s="89"/>
      <c r="J40" s="106" t="s">
        <v>494</v>
      </c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  <c r="AO40" s="107"/>
      <c r="AP40" s="107"/>
      <c r="AQ40" s="107"/>
      <c r="AR40" s="107"/>
      <c r="AS40" s="107"/>
      <c r="AT40" s="107"/>
      <c r="AU40" s="107"/>
      <c r="AV40" s="107"/>
      <c r="AW40" s="107"/>
      <c r="AX40" s="107"/>
      <c r="AY40" s="107"/>
      <c r="AZ40" s="107"/>
      <c r="BA40" s="107"/>
      <c r="BB40" s="107"/>
      <c r="BC40" s="107"/>
    </row>
    <row r="41" spans="3:67" ht="15" customHeight="1" x14ac:dyDescent="0.3">
      <c r="C41" s="88"/>
      <c r="D41" s="88"/>
      <c r="E41" s="88"/>
      <c r="F41" s="88"/>
      <c r="G41" s="88"/>
      <c r="H41" s="88"/>
      <c r="I41" s="89"/>
      <c r="J41" s="37"/>
      <c r="K41" s="37"/>
      <c r="L41" s="37"/>
      <c r="M41" s="37"/>
      <c r="N41" s="80" t="s">
        <v>486</v>
      </c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</row>
    <row r="42" spans="3:67" ht="15" customHeight="1" x14ac:dyDescent="0.3">
      <c r="C42" s="88"/>
      <c r="D42" s="88"/>
      <c r="E42" s="88"/>
      <c r="F42" s="88"/>
      <c r="G42" s="88"/>
      <c r="H42" s="88"/>
      <c r="I42" s="89"/>
      <c r="J42" s="37"/>
      <c r="K42" s="37"/>
      <c r="L42" s="37"/>
      <c r="M42" s="37"/>
      <c r="N42" s="80" t="s">
        <v>487</v>
      </c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</row>
    <row r="43" spans="3:67" ht="15" customHeight="1" thickBot="1" x14ac:dyDescent="0.35">
      <c r="C43" s="94"/>
      <c r="D43" s="94"/>
      <c r="E43" s="94"/>
      <c r="F43" s="94"/>
      <c r="G43" s="94"/>
      <c r="H43" s="94"/>
      <c r="I43" s="95"/>
      <c r="J43" s="41"/>
      <c r="K43" s="34"/>
      <c r="L43" s="34"/>
      <c r="M43" s="34"/>
      <c r="N43" s="82" t="s">
        <v>492</v>
      </c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</row>
    <row r="44" spans="3:67" ht="12" customHeight="1" x14ac:dyDescent="0.3"/>
  </sheetData>
  <mergeCells count="23">
    <mergeCell ref="C6:M6"/>
    <mergeCell ref="C16:R16"/>
    <mergeCell ref="N39:BC39"/>
    <mergeCell ref="J40:BC40"/>
    <mergeCell ref="N41:BC41"/>
    <mergeCell ref="K8:M8"/>
    <mergeCell ref="C11:F11"/>
    <mergeCell ref="J11:M11"/>
    <mergeCell ref="H8:J8"/>
    <mergeCell ref="C8:F8"/>
    <mergeCell ref="N42:BC42"/>
    <mergeCell ref="N43:BC43"/>
    <mergeCell ref="C30:I31"/>
    <mergeCell ref="C32:I35"/>
    <mergeCell ref="C36:I39"/>
    <mergeCell ref="C40:I43"/>
    <mergeCell ref="J32:BC32"/>
    <mergeCell ref="N33:BC33"/>
    <mergeCell ref="N34:BC34"/>
    <mergeCell ref="N35:BC35"/>
    <mergeCell ref="J36:BC36"/>
    <mergeCell ref="N37:BC37"/>
    <mergeCell ref="N38:BC38"/>
  </mergeCells>
  <phoneticPr fontId="1" type="noConversion"/>
  <pageMargins left="0.25" right="0.25" top="0.75" bottom="0.75" header="0.3" footer="0.3"/>
  <pageSetup paperSize="9" scale="6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1E970-F57C-4DDE-BB5F-BADC687830CC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1.NPS대시보드</vt:lpstr>
      <vt:lpstr>2.VOC대시보드</vt:lpstr>
      <vt:lpstr>CCI raw</vt:lpstr>
      <vt:lpstr>'1.NPS대시보드'!Print_Area</vt:lpstr>
      <vt:lpstr>'2.VOC대시보드'!Print_Area</vt:lpstr>
    </vt:vector>
  </TitlesOfParts>
  <Company>kb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서승원 팀원(대리)</dc:creator>
  <cp:lastModifiedBy>서승원 팀원(대리)</cp:lastModifiedBy>
  <dcterms:created xsi:type="dcterms:W3CDTF">2025-12-18T07:54:41Z</dcterms:created>
  <dcterms:modified xsi:type="dcterms:W3CDTF">2026-04-02T23:42:35Z</dcterms:modified>
</cp:coreProperties>
</file>