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902163\Desktop\workspace\cxagent\WP-KB0-00107-TA-0001\app\agent\report_generation\reports\resources\report_template\"/>
    </mc:Choice>
  </mc:AlternateContent>
  <xr:revisionPtr revIDLastSave="0" documentId="13_ncr:1_{B0D4543D-0F4F-4777-9764-F80B728EF5B5}" xr6:coauthVersionLast="47" xr6:coauthVersionMax="47" xr10:uidLastSave="{00000000-0000-0000-0000-000000000000}"/>
  <bookViews>
    <workbookView xWindow="870" yWindow="-60" windowWidth="27990" windowHeight="16320" xr2:uid="{064C2565-54F6-4E61-8A31-B3FD016FB02C}"/>
  </bookViews>
  <sheets>
    <sheet name="1.NPS 현황 요약" sheetId="1" r:id="rId1"/>
    <sheet name="2.종합 NPS 현황" sheetId="2" r:id="rId2"/>
    <sheet name="3.스타뱅킹 NPS 현황" sheetId="8" r:id="rId3"/>
    <sheet name="4.영업점 NPS 현황" sheetId="9" r:id="rId4"/>
    <sheet name="5.고객센터 NPS 현황" sheetId="10" r:id="rId5"/>
    <sheet name="6.상품 NPS 현황" sheetId="11" r:id="rId6"/>
    <sheet name="7.NSS" sheetId="13" r:id="rId7"/>
    <sheet name="8.CCI" sheetId="14" r:id="rId8"/>
    <sheet name="9.종합 고객경험 관리활동 현황" sheetId="15" r:id="rId9"/>
    <sheet name="10.채널별 고객경험 관리활동 현황" sheetId="18" r:id="rId10"/>
    <sheet name="11.불만 VOC 요약 및 비교" sheetId="20" r:id="rId11"/>
  </sheets>
  <definedNames>
    <definedName name="_xlnm.Print_Area" localSheetId="0">'1.NPS 현황 요약'!$A$1:$BE$50</definedName>
    <definedName name="_xlnm.Print_Area" localSheetId="9">'10.채널별 고객경험 관리활동 현황'!$A$1:$BG$43</definedName>
    <definedName name="_xlnm.Print_Area" localSheetId="10">'11.불만 VOC 요약 및 비교'!$A$1:$BE$60</definedName>
    <definedName name="_xlnm.Print_Area" localSheetId="1">'2.종합 NPS 현황'!$A$1:$BE$45</definedName>
    <definedName name="_xlnm.Print_Area" localSheetId="2">'3.스타뱅킹 NPS 현황'!$A$1:$BE$61</definedName>
    <definedName name="_xlnm.Print_Area" localSheetId="3">'4.영업점 NPS 현황'!$A$1:$BE$55</definedName>
    <definedName name="_xlnm.Print_Area" localSheetId="4">'5.고객센터 NPS 현황'!$A$1:$BE$57</definedName>
    <definedName name="_xlnm.Print_Area" localSheetId="5">'6.상품 NPS 현황'!$A$1:$BE$57</definedName>
    <definedName name="_xlnm.Print_Area" localSheetId="6">'7.NSS'!$A$1:$BE$44</definedName>
    <definedName name="_xlnm.Print_Area" localSheetId="7">'8.CCI'!$A$1:$BE$42</definedName>
    <definedName name="_xlnm.Print_Area" localSheetId="8">'9.종합 고객경험 관리활동 현황'!$A$1:$BE$25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7" i="18" l="1"/>
  <c r="AQ8" i="18"/>
  <c r="AQ9" i="18"/>
  <c r="AQ10" i="18"/>
  <c r="AQ11" i="18"/>
  <c r="AQ12" i="18"/>
  <c r="AQ13" i="18"/>
  <c r="AQ14" i="18"/>
  <c r="AQ15" i="18"/>
  <c r="AQ16" i="18"/>
  <c r="AQ17" i="18"/>
  <c r="AQ18" i="18"/>
  <c r="AQ19" i="18"/>
  <c r="AQ20" i="18"/>
  <c r="AQ21" i="18"/>
  <c r="AQ22" i="18"/>
  <c r="AQ23" i="18"/>
  <c r="AQ24" i="18"/>
  <c r="AQ25" i="18"/>
  <c r="AQ26" i="18"/>
  <c r="AQ27" i="18"/>
  <c r="AQ28" i="18"/>
  <c r="AQ29" i="18"/>
  <c r="AQ30" i="18"/>
  <c r="AQ31" i="18"/>
  <c r="AQ32" i="18"/>
  <c r="AQ33" i="18"/>
  <c r="AQ34" i="18"/>
  <c r="AQ35" i="18"/>
  <c r="AQ36" i="18"/>
  <c r="AQ37" i="18"/>
  <c r="AQ38" i="18"/>
  <c r="AQ39" i="18"/>
  <c r="AQ40" i="18"/>
  <c r="AQ41" i="18"/>
  <c r="AQ42" i="18"/>
  <c r="AQ6" i="18"/>
  <c r="AM7" i="18"/>
  <c r="AM8" i="18"/>
  <c r="AM9" i="18"/>
  <c r="AM10" i="18"/>
  <c r="AM11" i="18"/>
  <c r="AM12" i="18"/>
  <c r="AM13" i="18"/>
  <c r="AM14" i="18"/>
  <c r="AM15" i="18"/>
  <c r="AM16" i="18"/>
  <c r="AM17" i="18"/>
  <c r="AM18" i="18"/>
  <c r="AM19" i="18"/>
  <c r="AM20" i="18"/>
  <c r="AM21" i="18"/>
  <c r="AM22" i="18"/>
  <c r="AM23" i="18"/>
  <c r="AM24" i="18"/>
  <c r="AM25" i="18"/>
  <c r="AM26" i="18"/>
  <c r="AM27" i="18"/>
  <c r="AM28" i="18"/>
  <c r="AM29" i="18"/>
  <c r="AM30" i="18"/>
  <c r="AM31" i="18"/>
  <c r="AM32" i="18"/>
  <c r="AM33" i="18"/>
  <c r="AM34" i="18"/>
  <c r="AM35" i="18"/>
  <c r="AM36" i="18"/>
  <c r="AM37" i="18"/>
  <c r="AM38" i="18"/>
  <c r="AM39" i="18"/>
  <c r="AM40" i="18"/>
  <c r="AM41" i="18"/>
  <c r="AM42" i="18"/>
  <c r="AM6" i="18"/>
  <c r="AI7" i="18"/>
  <c r="AI8" i="18"/>
  <c r="AI9" i="18"/>
  <c r="AI10" i="18"/>
  <c r="AI11" i="18"/>
  <c r="AI12" i="18"/>
  <c r="AI13" i="18"/>
  <c r="AI14" i="18"/>
  <c r="AI15" i="18"/>
  <c r="AI16" i="18"/>
  <c r="AI17" i="18"/>
  <c r="AI18" i="18"/>
  <c r="AI19" i="18"/>
  <c r="AI20" i="18"/>
  <c r="AI21" i="18"/>
  <c r="AI22" i="18"/>
  <c r="AI23" i="18"/>
  <c r="AI24" i="18"/>
  <c r="AI25" i="18"/>
  <c r="AI26" i="18"/>
  <c r="AI27" i="18"/>
  <c r="AI28" i="18"/>
  <c r="AI29" i="18"/>
  <c r="AI30" i="18"/>
  <c r="AI31" i="18"/>
  <c r="AI32" i="18"/>
  <c r="AI33" i="18"/>
  <c r="AI34" i="18"/>
  <c r="AI35" i="18"/>
  <c r="AI36" i="18"/>
  <c r="AI37" i="18"/>
  <c r="AI38" i="18"/>
  <c r="AI39" i="18"/>
  <c r="AI40" i="18"/>
  <c r="AI41" i="18"/>
  <c r="AI42" i="18"/>
  <c r="AI6" i="18"/>
  <c r="AE7" i="18"/>
  <c r="AE8" i="18"/>
  <c r="AE9" i="18"/>
  <c r="AE10" i="18"/>
  <c r="AE11" i="18"/>
  <c r="AE12" i="18"/>
  <c r="AE13" i="18"/>
  <c r="AE14" i="18"/>
  <c r="AE15" i="18"/>
  <c r="AE16" i="18"/>
  <c r="AE17" i="18"/>
  <c r="AE18" i="18"/>
  <c r="AE19" i="18"/>
  <c r="AE20" i="18"/>
  <c r="AE21" i="18"/>
  <c r="AE22" i="18"/>
  <c r="AE23" i="18"/>
  <c r="AE24" i="18"/>
  <c r="AE25" i="18"/>
  <c r="AE26" i="18"/>
  <c r="AE27" i="18"/>
  <c r="AE28" i="18"/>
  <c r="AE29" i="18"/>
  <c r="AE30" i="18"/>
  <c r="AE31" i="18"/>
  <c r="AE32" i="18"/>
  <c r="AE33" i="18"/>
  <c r="AE34" i="18"/>
  <c r="AE35" i="18"/>
  <c r="AE36" i="18"/>
  <c r="AE37" i="18"/>
  <c r="AE38" i="18"/>
  <c r="AE39" i="18"/>
  <c r="AE40" i="18"/>
  <c r="AE41" i="18"/>
  <c r="AE42" i="18"/>
  <c r="AE6" i="18"/>
  <c r="AA40" i="18"/>
  <c r="AA41" i="18"/>
  <c r="AA42" i="18"/>
  <c r="AA7" i="18"/>
  <c r="AA8" i="18"/>
  <c r="AA9" i="18"/>
  <c r="AA10" i="18"/>
  <c r="AA11" i="18"/>
  <c r="AA12" i="18"/>
  <c r="AA13" i="18"/>
  <c r="AA14" i="18"/>
  <c r="AA15" i="18"/>
  <c r="AA16" i="18"/>
  <c r="AA17" i="18"/>
  <c r="AA18" i="18"/>
  <c r="AA19" i="18"/>
  <c r="AA20" i="18"/>
  <c r="AA21" i="18"/>
  <c r="AA22" i="18"/>
  <c r="AA23" i="18"/>
  <c r="AA24" i="18"/>
  <c r="AA25" i="18"/>
  <c r="AA26" i="18"/>
  <c r="AA27" i="18"/>
  <c r="AA28" i="18"/>
  <c r="AA29" i="18"/>
  <c r="AA30" i="18"/>
  <c r="AA31" i="18"/>
  <c r="AA32" i="18"/>
  <c r="AA33" i="18"/>
  <c r="AA34" i="18"/>
  <c r="AA35" i="18"/>
  <c r="AA36" i="18"/>
  <c r="AA37" i="18"/>
  <c r="AA38" i="18"/>
  <c r="AA39" i="18"/>
  <c r="AA6" i="18"/>
  <c r="AR52" i="8"/>
  <c r="AO52" i="8"/>
  <c r="AL52" i="8"/>
  <c r="AI52" i="8"/>
  <c r="AF52" i="8"/>
  <c r="AC52" i="8"/>
  <c r="Z52" i="8"/>
  <c r="W52" i="8"/>
  <c r="T52" i="8"/>
  <c r="Q52" i="8"/>
  <c r="N52" i="8"/>
  <c r="K52" i="8"/>
  <c r="AR49" i="9"/>
  <c r="AO49" i="9"/>
  <c r="AL49" i="9"/>
  <c r="AI49" i="9"/>
  <c r="AF49" i="9"/>
  <c r="AC49" i="9"/>
  <c r="Z49" i="9"/>
  <c r="W49" i="9"/>
  <c r="T49" i="9"/>
  <c r="Q49" i="9"/>
  <c r="N49" i="9"/>
  <c r="K49" i="9"/>
  <c r="AR50" i="11"/>
  <c r="AO50" i="11"/>
  <c r="AL50" i="11"/>
  <c r="AI50" i="11"/>
  <c r="AF50" i="11"/>
  <c r="AC50" i="11"/>
  <c r="Z50" i="11"/>
  <c r="W50" i="11"/>
  <c r="T50" i="11"/>
  <c r="Q50" i="11"/>
  <c r="N50" i="11"/>
  <c r="K50" i="11"/>
  <c r="AR50" i="10"/>
  <c r="AO50" i="10"/>
  <c r="AL50" i="10"/>
  <c r="AI50" i="10"/>
  <c r="AF50" i="10"/>
  <c r="AC50" i="10"/>
  <c r="Z50" i="10"/>
  <c r="W50" i="10"/>
  <c r="T50" i="10"/>
  <c r="Q50" i="10"/>
  <c r="N50" i="10"/>
  <c r="K50" i="10"/>
  <c r="D5" i="15"/>
  <c r="BL64" i="18" l="1"/>
  <c r="BL65" i="18"/>
  <c r="BL63" i="18"/>
  <c r="BL62" i="18"/>
  <c r="BL56" i="18"/>
  <c r="BL57" i="18"/>
  <c r="BL58" i="18"/>
  <c r="BL59" i="18"/>
  <c r="BL60" i="18"/>
  <c r="BL61" i="18"/>
  <c r="BL43" i="18"/>
  <c r="BL44" i="18"/>
  <c r="BL45" i="18"/>
  <c r="BL46" i="18"/>
  <c r="BL47" i="18"/>
  <c r="BL48" i="18"/>
  <c r="BL49" i="18"/>
  <c r="BL50" i="18"/>
  <c r="BL51" i="18"/>
  <c r="BL52" i="18"/>
  <c r="BL53" i="18"/>
  <c r="BL54" i="18"/>
  <c r="BL55" i="18"/>
  <c r="BL42" i="18"/>
  <c r="BL41" i="18"/>
  <c r="BL40" i="18"/>
  <c r="BL39" i="18"/>
  <c r="BL38" i="18"/>
  <c r="BL37" i="18"/>
  <c r="BL36" i="18"/>
  <c r="BL35" i="18"/>
  <c r="BL34" i="18"/>
  <c r="BL33" i="18"/>
  <c r="BL32" i="18"/>
  <c r="BL31" i="18"/>
  <c r="BL30" i="18"/>
  <c r="BL29" i="18"/>
  <c r="BL28" i="18"/>
  <c r="BL27" i="18"/>
  <c r="BL26" i="18"/>
  <c r="BL25" i="18"/>
  <c r="BL24" i="18"/>
  <c r="BL23" i="18"/>
  <c r="BL22" i="18"/>
  <c r="BL21" i="18"/>
  <c r="BL20" i="18"/>
  <c r="BL19" i="18"/>
  <c r="BL18" i="18"/>
  <c r="BL17" i="18"/>
  <c r="BL16" i="18"/>
  <c r="BL15" i="18"/>
  <c r="BL14" i="18"/>
  <c r="BL13" i="18"/>
  <c r="BL12" i="18"/>
  <c r="BL11" i="18"/>
  <c r="BL10" i="18"/>
  <c r="BL9" i="18"/>
  <c r="BL8" i="18"/>
  <c r="BL7" i="18"/>
  <c r="BL6" i="18"/>
  <c r="BK69" i="18" l="1"/>
  <c r="BK70" i="18"/>
  <c r="BK71" i="18"/>
  <c r="BK72" i="18"/>
  <c r="BK73" i="18"/>
  <c r="BK74" i="18"/>
  <c r="BK75" i="18"/>
  <c r="BK76" i="18"/>
  <c r="BK77" i="18"/>
  <c r="BK78" i="18"/>
  <c r="BK79" i="18"/>
  <c r="BK80" i="18"/>
  <c r="BK81" i="18"/>
  <c r="BK82" i="18"/>
  <c r="BK83" i="18"/>
  <c r="BK84" i="18"/>
  <c r="BK85" i="18"/>
  <c r="BK86" i="18"/>
  <c r="BK87" i="18"/>
  <c r="BK88" i="18"/>
  <c r="BK89" i="18"/>
  <c r="BK90" i="18"/>
  <c r="BK91" i="18"/>
  <c r="BK92" i="18"/>
  <c r="BK93" i="18"/>
  <c r="BK94" i="18"/>
  <c r="BK95" i="18"/>
  <c r="BK96" i="18"/>
  <c r="BK97" i="18"/>
  <c r="BK98" i="18"/>
  <c r="BK99" i="18"/>
  <c r="BK100" i="18"/>
  <c r="BK101" i="18"/>
  <c r="BK102" i="18"/>
  <c r="BK103" i="18"/>
  <c r="BK104" i="18"/>
  <c r="BK105" i="18"/>
  <c r="BK106" i="18"/>
  <c r="BK107" i="18"/>
  <c r="BK68" i="18"/>
  <c r="Y11" i="15"/>
  <c r="AD11" i="15"/>
  <c r="AI11" i="15"/>
  <c r="AN11" i="15"/>
  <c r="Y12" i="15"/>
  <c r="AD12" i="15"/>
  <c r="AI12" i="15"/>
  <c r="AN12" i="15"/>
  <c r="Y13" i="15"/>
  <c r="AD13" i="15"/>
  <c r="AI13" i="15"/>
  <c r="AN13" i="15"/>
  <c r="Y14" i="15"/>
  <c r="AD14" i="15"/>
  <c r="AI14" i="15"/>
  <c r="AN14" i="15"/>
  <c r="Y15" i="15"/>
  <c r="AD15" i="15"/>
  <c r="AI15" i="15"/>
  <c r="AN15" i="15"/>
  <c r="Y16" i="15"/>
  <c r="AD16" i="15"/>
  <c r="AI16" i="15"/>
  <c r="AN16" i="15"/>
  <c r="Y17" i="15"/>
  <c r="AD17" i="15"/>
  <c r="AI17" i="15"/>
  <c r="AN17" i="15"/>
  <c r="Y18" i="15"/>
  <c r="AD18" i="15"/>
  <c r="AI18" i="15"/>
  <c r="AN18" i="15"/>
  <c r="Y19" i="15"/>
  <c r="AD19" i="15"/>
  <c r="AI19" i="15"/>
  <c r="AN19" i="15"/>
  <c r="Y20" i="15"/>
  <c r="AD20" i="15"/>
  <c r="AI20" i="15"/>
  <c r="AN20" i="15"/>
  <c r="Y21" i="15"/>
  <c r="AD21" i="15"/>
  <c r="AI21" i="15"/>
  <c r="AN21" i="15"/>
  <c r="Y22" i="15"/>
  <c r="AD22" i="15"/>
  <c r="AI22" i="15"/>
  <c r="AN22" i="15"/>
  <c r="Y23" i="15"/>
  <c r="AD23" i="15"/>
  <c r="AI23" i="15"/>
  <c r="AN23" i="15"/>
  <c r="Y24" i="15"/>
  <c r="AD24" i="15"/>
  <c r="AI24" i="15"/>
  <c r="AN24" i="15"/>
  <c r="AN10" i="15"/>
  <c r="AI10" i="15"/>
  <c r="AD10" i="15"/>
  <c r="Y10" i="15"/>
  <c r="AY19" i="18" l="1"/>
  <c r="BC38" i="18"/>
  <c r="AU37" i="18"/>
  <c r="AY7" i="18"/>
  <c r="AY9" i="18"/>
  <c r="AY13" i="18"/>
  <c r="AY25" i="18"/>
  <c r="AY27" i="18"/>
  <c r="AY35" i="18"/>
  <c r="AY33" i="18"/>
  <c r="AY31" i="18"/>
  <c r="AY40" i="18"/>
  <c r="AY38" i="18"/>
  <c r="BC7" i="18"/>
  <c r="BC9" i="18"/>
  <c r="BC13" i="18"/>
  <c r="BC19" i="18"/>
  <c r="BC25" i="18"/>
  <c r="BC27" i="18"/>
  <c r="AU35" i="18"/>
  <c r="AU33" i="18"/>
  <c r="AU31" i="18"/>
  <c r="AU40" i="18"/>
  <c r="AU38" i="18"/>
  <c r="AU10" i="18"/>
  <c r="AU22" i="18"/>
  <c r="AU26" i="18"/>
  <c r="BC34" i="18"/>
  <c r="BC32" i="18"/>
  <c r="AU41" i="18"/>
  <c r="AY8" i="18"/>
  <c r="AY10" i="18"/>
  <c r="AY14" i="18"/>
  <c r="AY22" i="18"/>
  <c r="AY26" i="18"/>
  <c r="AY30" i="18"/>
  <c r="AY34" i="18"/>
  <c r="AY32" i="18"/>
  <c r="AY37" i="18"/>
  <c r="AY39" i="18"/>
  <c r="AY41" i="18"/>
  <c r="AU14" i="18"/>
  <c r="AU30" i="18"/>
  <c r="BC39" i="18"/>
  <c r="BC8" i="18"/>
  <c r="BC10" i="18"/>
  <c r="BC14" i="18"/>
  <c r="BC22" i="18"/>
  <c r="BC26" i="18"/>
  <c r="BC30" i="18"/>
  <c r="AU34" i="18"/>
  <c r="AU32" i="18"/>
  <c r="BC37" i="18"/>
  <c r="AU39" i="18"/>
  <c r="BC41" i="18"/>
  <c r="AU8" i="18"/>
  <c r="AU7" i="18"/>
  <c r="AU9" i="18"/>
  <c r="AU13" i="18"/>
  <c r="AU19" i="18"/>
  <c r="AU25" i="18"/>
  <c r="AU27" i="18"/>
  <c r="BC35" i="18"/>
  <c r="BC33" i="18"/>
  <c r="BC31" i="18"/>
  <c r="BC40" i="18"/>
  <c r="C8" i="1"/>
</calcChain>
</file>

<file path=xl/sharedStrings.xml><?xml version="1.0" encoding="utf-8"?>
<sst xmlns="http://schemas.openxmlformats.org/spreadsheetml/2006/main" count="3609" uniqueCount="2819">
  <si>
    <t>Ⅰ. NPS 현황 Summary</t>
    <phoneticPr fontId="2" type="noConversion"/>
  </si>
  <si>
    <t>1. Bottom-Up NPS 조사 현황</t>
    <phoneticPr fontId="2" type="noConversion"/>
  </si>
  <si>
    <t>*접촉률 : 발송 URL 클릭건수 ÷ 총 발송 건수</t>
    <phoneticPr fontId="2" type="noConversion"/>
  </si>
  <si>
    <t>2. Bottom-Up NPS 월별 현황</t>
    <phoneticPr fontId="2" type="noConversion"/>
  </si>
  <si>
    <t>3. 고객감정지수(NSS) 및 고객불만지수(CCI) 월별 현황</t>
    <phoneticPr fontId="2" type="noConversion"/>
  </si>
  <si>
    <t>4. 고객경험 관리 활동 현황</t>
    <phoneticPr fontId="2" type="noConversion"/>
  </si>
  <si>
    <t>구분</t>
    <phoneticPr fontId="2" type="noConversion"/>
  </si>
  <si>
    <t>종합NPS</t>
    <phoneticPr fontId="2" type="noConversion"/>
  </si>
  <si>
    <t>발송</t>
    <phoneticPr fontId="1" type="noConversion"/>
  </si>
  <si>
    <t>응답접촉</t>
    <phoneticPr fontId="1" type="noConversion"/>
  </si>
  <si>
    <t>접촉률</t>
    <phoneticPr fontId="1" type="noConversion"/>
  </si>
  <si>
    <t>응답완료</t>
    <phoneticPr fontId="1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</si>
  <si>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</si>
  <si>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</si>
  <si>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</si>
  <si>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</si>
  <si>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</si>
  <si>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</si>
  <si>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</si>
  <si>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</si>
  <si>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</si>
  <si>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</si>
  <si>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</si>
  <si>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</si>
  <si>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종합NSS</t>
    <phoneticPr fontId="2" type="noConversion"/>
  </si>
  <si>
    <t>종합CCI</t>
    <phoneticPr fontId="2" type="noConversion"/>
  </si>
  <si>
    <t>종합</t>
    <phoneticPr fontId="2" type="noConversion"/>
  </si>
  <si>
    <t>배분건수</t>
    <phoneticPr fontId="2" type="noConversion"/>
  </si>
  <si>
    <t>검토</t>
    <phoneticPr fontId="2" type="noConversion"/>
  </si>
  <si>
    <t>건수</t>
    <phoneticPr fontId="2" type="noConversion"/>
  </si>
  <si>
    <t>비율(%)</t>
    <phoneticPr fontId="2" type="noConversion"/>
  </si>
  <si>
    <t>현행유지</t>
    <phoneticPr fontId="2" type="noConversion"/>
  </si>
  <si>
    <t>개선불가</t>
    <phoneticPr fontId="2" type="noConversion"/>
  </si>
  <si>
    <t>개선예정</t>
    <phoneticPr fontId="2" type="noConversion"/>
  </si>
  <si>
    <t>- {{problem_area_script}}</t>
    <phoneticPr fontId="2" type="noConversion"/>
  </si>
  <si>
    <t>Ⅱ. NPS 채널별 점수 현황</t>
    <phoneticPr fontId="2" type="noConversion"/>
  </si>
  <si>
    <t>1. 종합</t>
    <phoneticPr fontId="2" type="noConversion"/>
  </si>
  <si>
    <t>종합 Bottom-Up NPS 현황</t>
    <phoneticPr fontId="2" type="noConversion"/>
  </si>
  <si>
    <t>월별 채널 NPS</t>
    <phoneticPr fontId="2" type="noConversion"/>
  </si>
  <si>
    <t>월별 고객 충성도 그룹</t>
    <phoneticPr fontId="2" type="noConversion"/>
  </si>
  <si>
    <t>구분(점)</t>
    <phoneticPr fontId="2" type="noConversion"/>
  </si>
  <si>
    <t>누적</t>
    <phoneticPr fontId="2" type="noConversion"/>
  </si>
  <si>
    <t>기준월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</si>
  <si>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</si>
  <si>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</si>
  <si>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</si>
  <si>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</si>
  <si>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</si>
  <si>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</si>
  <si>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</si>
  <si>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</si>
  <si>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</si>
  <si>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</si>
  <si>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</si>
  <si>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</si>
  <si>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KB스타뱅킹</t>
  </si>
  <si>
    <t>영업점</t>
  </si>
  <si>
    <t>고객센터</t>
  </si>
  <si>
    <t>상품</t>
  </si>
  <si>
    <t>1월 대비</t>
    <phoneticPr fontId="2" type="noConversion"/>
  </si>
  <si>
    <t>{{cm_yyyymmdd}} 기준</t>
    <phoneticPr fontId="1" type="noConversion"/>
  </si>
  <si>
    <t>중립</t>
    <phoneticPr fontId="1" type="noConversion"/>
  </si>
  <si>
    <t>{{S1_발송건수_1}}</t>
  </si>
  <si>
    <t>{{S1_응답접촉_1}}</t>
  </si>
  <si>
    <t>{{S1_접촉률_1}}</t>
  </si>
  <si>
    <t>{{S1_응답완료_1}}</t>
  </si>
  <si>
    <t>{{S1_응답률_1}}</t>
  </si>
  <si>
    <t>- {{S1_script1}}</t>
  </si>
  <si>
    <t>{{S2_NPS_2}}</t>
  </si>
  <si>
    <t>{{S2_NPS_3}}</t>
  </si>
  <si>
    <t>{{S2_NPS_4}}</t>
  </si>
  <si>
    <t>{{S2_NPS_5}}</t>
  </si>
  <si>
    <t>{{S2_NPS_6}}</t>
  </si>
  <si>
    <t>{{S2_NPS_7}}</t>
  </si>
  <si>
    <t>{{S2_NPS_8}}</t>
  </si>
  <si>
    <t>{{S2_NPS_9}}</t>
  </si>
  <si>
    <t>{{S2_NPS_10}}</t>
  </si>
  <si>
    <t>{{S2_NPS_11}}</t>
  </si>
  <si>
    <t>{{S2_NPS_12}}</t>
  </si>
  <si>
    <t>{{S2_NPS_13}}</t>
  </si>
  <si>
    <t>응답률</t>
  </si>
  <si>
    <t>{{S2_누적NPS_1}}</t>
  </si>
  <si>
    <t>{{S2_누적NPS_2}}</t>
  </si>
  <si>
    <t>{{S2_누적NPS_3}}</t>
  </si>
  <si>
    <t>{{S2_누적NPS_4}}</t>
  </si>
  <si>
    <t>{{S2_누적NPS_5}}</t>
  </si>
  <si>
    <t>{{S2_누적NPS_6}}</t>
  </si>
  <si>
    <t>{{S2_누적NPS_7}}</t>
  </si>
  <si>
    <t>{{S2_누적NPS_8}}</t>
  </si>
  <si>
    <t>{{S2_누적NPS_9}}</t>
  </si>
  <si>
    <t>{{S2_누적NPS_10}}</t>
  </si>
  <si>
    <t>{{S2_누적NPS_11}}</t>
  </si>
  <si>
    <t>{{S2_누적NPS_12}}</t>
  </si>
  <si>
    <t>{{S2_누적NPS_13}}</t>
  </si>
  <si>
    <t>NPS</t>
    <phoneticPr fontId="2" type="noConversion"/>
  </si>
  <si>
    <t>{{S2_NPS_13}}</t>
    <phoneticPr fontId="2" type="noConversion"/>
  </si>
  <si>
    <t>{{S3_NPS_1}}</t>
  </si>
  <si>
    <t>{{S3_누적NPS_1}}</t>
  </si>
  <si>
    <t>{{S3_NPS_2}}</t>
  </si>
  <si>
    <t>{{S3_누적NPS_2}}</t>
  </si>
  <si>
    <t>{{S3_NPS_3}}</t>
  </si>
  <si>
    <t>{{S3_누적NPS_3}}</t>
  </si>
  <si>
    <t>{{S3_NPS_4}}</t>
  </si>
  <si>
    <t>{{S3_누적NPS_4}}</t>
  </si>
  <si>
    <t>{{S3_NPS_13}}</t>
  </si>
  <si>
    <t>{{S3_NPS_5}}</t>
  </si>
  <si>
    <t>{{S3_누적NPS_5}}</t>
  </si>
  <si>
    <t>{{S3_NPS_6}}</t>
  </si>
  <si>
    <t>{{S3_누적NPS_6}}</t>
  </si>
  <si>
    <t>{{S3_NPS_7}}</t>
  </si>
  <si>
    <t>{{S3_누적NPS_7}}</t>
  </si>
  <si>
    <t>{{S3_NPS_8}}</t>
  </si>
  <si>
    <t>{{S3_누적NPS_8}}</t>
  </si>
  <si>
    <t>{{S3_NPS_9}}</t>
  </si>
  <si>
    <t>{{S3_누적NPS_9}}</t>
  </si>
  <si>
    <t>{{S3_NPS_10}}</t>
  </si>
  <si>
    <t>{{S3_누적NPS_10}}</t>
  </si>
  <si>
    <t>{{S3_NPS_11}}</t>
  </si>
  <si>
    <t>{{S3_누적NPS_11}}</t>
  </si>
  <si>
    <t>{{S3_NPS_12}}</t>
  </si>
  <si>
    <t>{{S3_누적NPS_12}}</t>
  </si>
  <si>
    <t>{{S3_누적NPS_13}}</t>
  </si>
  <si>
    <t>KB스타뱅킹 Bottom-Up NPS 현황</t>
    <phoneticPr fontId="2" type="noConversion"/>
  </si>
  <si>
    <t>월별 NPS 영향도</t>
    <phoneticPr fontId="2" type="noConversion"/>
  </si>
  <si>
    <t>NPS</t>
  </si>
  <si>
    <t>로그인/인증</t>
  </si>
  <si>
    <t>홈화면</t>
  </si>
  <si>
    <t>계좌조회/이체</t>
  </si>
  <si>
    <t>통합검색</t>
  </si>
  <si>
    <t>금융상품몰</t>
  </si>
  <si>
    <t>상품가입</t>
  </si>
  <si>
    <t>상품관리/해지</t>
  </si>
  <si>
    <t>콘텐츠/서비스</t>
  </si>
  <si>
    <t>월별 비추천 이유 응답 비율</t>
    <phoneticPr fontId="2" type="noConversion"/>
  </si>
  <si>
    <t>구분(%, %p)</t>
    <phoneticPr fontId="2" type="noConversion"/>
  </si>
  <si>
    <t>추천</t>
  </si>
  <si>
    <t>중립</t>
  </si>
  <si>
    <t>비추천</t>
  </si>
  <si>
    <t>누적NPS</t>
  </si>
  <si>
    <t>누적</t>
  </si>
  <si>
    <t>{{S2_NPS_1}}</t>
  </si>
  <si>
    <t>2. KB스타뱅킹</t>
    <phoneticPr fontId="2" type="noConversion"/>
  </si>
  <si>
    <t>-</t>
    <phoneticPr fontId="2" type="noConversion"/>
  </si>
  <si>
    <t>{{S3_NPS_13}}</t>
    <phoneticPr fontId="2" type="noConversion"/>
  </si>
  <si>
    <t>3. 영업점</t>
    <phoneticPr fontId="2" type="noConversion"/>
  </si>
  <si>
    <t>영업점 Bottom-Up NPS 현황</t>
    <phoneticPr fontId="2" type="noConversion"/>
  </si>
  <si>
    <t>내점/방문</t>
  </si>
  <si>
    <t>내점/방문</t>
    <phoneticPr fontId="1" type="noConversion"/>
  </si>
  <si>
    <t>대기</t>
  </si>
  <si>
    <t>대기</t>
    <phoneticPr fontId="1" type="noConversion"/>
  </si>
  <si>
    <t>맞이/의도파악</t>
  </si>
  <si>
    <t>맞이/의도파악</t>
    <phoneticPr fontId="1" type="noConversion"/>
  </si>
  <si>
    <t>직원상담</t>
  </si>
  <si>
    <t>직원상담</t>
    <phoneticPr fontId="1" type="noConversion"/>
  </si>
  <si>
    <t>업무처리/배웅</t>
  </si>
  <si>
    <t>{{S4_NPS_1}}</t>
  </si>
  <si>
    <t>{{S4_누적NPS_1}}</t>
  </si>
  <si>
    <t>{{S4_NPS_2}}</t>
  </si>
  <si>
    <t>{{S4_누적NPS_2}}</t>
  </si>
  <si>
    <t>{{S4_NPS_3}}</t>
  </si>
  <si>
    <t>{{S4_누적NPS_3}}</t>
  </si>
  <si>
    <t>{{S4_NPS_4}}</t>
  </si>
  <si>
    <t>{{S4_누적NPS_4}}</t>
  </si>
  <si>
    <t>{{S4_NPS_13}}</t>
  </si>
  <si>
    <t>{{S4_NPS_5}}</t>
  </si>
  <si>
    <t>{{S4_누적NPS_5}}</t>
  </si>
  <si>
    <t>{{S4_NPS_6}}</t>
  </si>
  <si>
    <t>{{S4_누적NPS_6}}</t>
  </si>
  <si>
    <t>{{S4_NPS_7}}</t>
  </si>
  <si>
    <t>{{S4_누적NPS_7}}</t>
  </si>
  <si>
    <t>{{S4_NPS_8}}</t>
  </si>
  <si>
    <t>{{S4_누적NPS_8}}</t>
  </si>
  <si>
    <t>{{S4_NPS_9}}</t>
  </si>
  <si>
    <t>{{S4_누적NPS_9}}</t>
  </si>
  <si>
    <t>{{S4_NPS_10}}</t>
  </si>
  <si>
    <t>{{S4_누적NPS_10}}</t>
  </si>
  <si>
    <t>{{S4_NPS_11}}</t>
  </si>
  <si>
    <t>{{S4_누적NPS_11}}</t>
  </si>
  <si>
    <t>{{S4_NPS_12}}</t>
  </si>
  <si>
    <t>{{S4_누적NPS_12}}</t>
  </si>
  <si>
    <t>{{S4_누적NPS_13}}</t>
  </si>
  <si>
    <t>버튼식 ARS</t>
  </si>
  <si>
    <t>보이는 ARS</t>
  </si>
  <si>
    <t>챗봇상담</t>
  </si>
  <si>
    <t>콜봇상담</t>
  </si>
  <si>
    <t>{{S5_NPS_1}}</t>
  </si>
  <si>
    <t>{{S5_누적NPS_1}}</t>
  </si>
  <si>
    <t>{{S5_NPS_2}}</t>
  </si>
  <si>
    <t>{{S5_누적NPS_2}}</t>
  </si>
  <si>
    <t>{{S5_NPS_3}}</t>
  </si>
  <si>
    <t>{{S5_누적NPS_3}}</t>
  </si>
  <si>
    <t>{{S5_NPS_4}}</t>
  </si>
  <si>
    <t>{{S5_누적NPS_4}}</t>
  </si>
  <si>
    <t>{{S5_NPS_13}}</t>
  </si>
  <si>
    <t>{{S5_NPS_5}}</t>
  </si>
  <si>
    <t>{{S5_누적NPS_5}}</t>
  </si>
  <si>
    <t>{{S5_NPS_6}}</t>
  </si>
  <si>
    <t>{{S5_누적NPS_6}}</t>
  </si>
  <si>
    <t>{{S5_NPS_7}}</t>
  </si>
  <si>
    <t>{{S5_누적NPS_7}}</t>
  </si>
  <si>
    <t>{{S5_NPS_8}}</t>
  </si>
  <si>
    <t>{{S5_누적NPS_8}}</t>
  </si>
  <si>
    <t>{{S5_NPS_9}}</t>
  </si>
  <si>
    <t>{{S5_누적NPS_9}}</t>
  </si>
  <si>
    <t>{{S5_NPS_10}}</t>
  </si>
  <si>
    <t>{{S5_누적NPS_10}}</t>
  </si>
  <si>
    <t>{{S5_NPS_11}}</t>
  </si>
  <si>
    <t>{{S5_누적NPS_11}}</t>
  </si>
  <si>
    <t>{{S5_NPS_12}}</t>
  </si>
  <si>
    <t>{{S5_누적NPS_12}}</t>
  </si>
  <si>
    <t>{{S5_누적NPS_13}}</t>
  </si>
  <si>
    <t>4. 고객센터</t>
    <phoneticPr fontId="2" type="noConversion"/>
  </si>
  <si>
    <t>5. 상품</t>
    <phoneticPr fontId="2" type="noConversion"/>
  </si>
  <si>
    <t>상품 Bottom-Up NPS 현황</t>
    <phoneticPr fontId="2" type="noConversion"/>
  </si>
  <si>
    <t>고객센터 Bottom-Up NPS 현황</t>
    <phoneticPr fontId="2" type="noConversion"/>
  </si>
  <si>
    <t>{{S6_NPS_1}}</t>
  </si>
  <si>
    <t>{{S6_누적NPS_1}}</t>
  </si>
  <si>
    <t>{{S6_NPS_2}}</t>
  </si>
  <si>
    <t>{{S6_NPS_3}}</t>
  </si>
  <si>
    <t>{{S6_NPS_4}}</t>
  </si>
  <si>
    <t>{{S6_NPS_13}}</t>
  </si>
  <si>
    <t>{{S6_NPS_5}}</t>
  </si>
  <si>
    <t>{{S6_NPS_6}}</t>
  </si>
  <si>
    <t>{{S6_NPS_7}}</t>
  </si>
  <si>
    <t>{{S6_NPS_8}}</t>
  </si>
  <si>
    <t>{{S6_NPS_9}}</t>
  </si>
  <si>
    <t>{{S6_NPS_10}}</t>
  </si>
  <si>
    <t>{{S6_NPS_11}}</t>
  </si>
  <si>
    <t>{{S6_NPS_12}}</t>
  </si>
  <si>
    <t>{{S4_NPS_13}}</t>
    <phoneticPr fontId="2" type="noConversion"/>
  </si>
  <si>
    <t>{{S5_NPS_13}}</t>
    <phoneticPr fontId="2" type="noConversion"/>
  </si>
  <si>
    <t>{{S6_NPS_13}}</t>
    <phoneticPr fontId="2" type="noConversion"/>
  </si>
  <si>
    <t>Ⅲ. 고객감정지수(NSS) 및 고객불만지수(CCI) 현황</t>
    <phoneticPr fontId="2" type="noConversion"/>
  </si>
  <si>
    <t>1. 고객감정지수(NSS)</t>
    <phoneticPr fontId="2" type="noConversion"/>
  </si>
  <si>
    <t>- {{S7_script2}}</t>
    <phoneticPr fontId="1" type="noConversion"/>
  </si>
  <si>
    <t>종합 고객감정지수(NSS) 현황</t>
    <phoneticPr fontId="2" type="noConversion"/>
  </si>
  <si>
    <t>* 고객감정지수는 (긍정 VOC 비율 - 부정 VOC 비율)로, 높을수록 긍정적 감정이 우세</t>
    <phoneticPr fontId="1" type="noConversion"/>
  </si>
  <si>
    <t>NSS</t>
    <phoneticPr fontId="2" type="noConversion"/>
  </si>
  <si>
    <t>월별 고객 감정 분류</t>
    <phoneticPr fontId="2" type="noConversion"/>
  </si>
  <si>
    <t>월별 채널 NSS</t>
    <phoneticPr fontId="2" type="noConversion"/>
  </si>
  <si>
    <t>{{S7_NSS_13}}</t>
  </si>
  <si>
    <t>{{S7_NSS_13}}</t>
    <phoneticPr fontId="2" type="noConversion"/>
  </si>
  <si>
    <t>긍정</t>
    <phoneticPr fontId="1" type="noConversion"/>
  </si>
  <si>
    <t>부정</t>
    <phoneticPr fontId="1" type="noConversion"/>
  </si>
  <si>
    <t>NSS</t>
    <phoneticPr fontId="1" type="noConversion"/>
  </si>
  <si>
    <t>누적NSS</t>
    <phoneticPr fontId="1" type="noConversion"/>
  </si>
  <si>
    <t>{{S7_NSS_1}}</t>
  </si>
  <si>
    <t>{{S7_누적NSS_1}}</t>
  </si>
  <si>
    <t>{{S7_NSS_2}}</t>
  </si>
  <si>
    <t>{{S7_누적NSS_2}}</t>
  </si>
  <si>
    <t>{{S7_NSS_3}}</t>
  </si>
  <si>
    <t>{{S7_누적NSS_3}}</t>
  </si>
  <si>
    <t>{{S7_NSS_4}}</t>
  </si>
  <si>
    <t>{{S7_누적NSS_4}}</t>
  </si>
  <si>
    <t>{{S7_NSS_5}}</t>
  </si>
  <si>
    <t>{{S7_누적NSS_5}}</t>
  </si>
  <si>
    <t>{{S7_NSS_6}}</t>
  </si>
  <si>
    <t>{{S7_누적NSS_6}}</t>
  </si>
  <si>
    <t>{{S7_NSS_7}}</t>
  </si>
  <si>
    <t>{{S7_누적NSS_7}}</t>
  </si>
  <si>
    <t>{{S7_NSS_8}}</t>
  </si>
  <si>
    <t>{{S7_누적NSS_8}}</t>
  </si>
  <si>
    <t>{{S7_NSS_9}}</t>
  </si>
  <si>
    <t>{{S7_누적NSS_9}}</t>
  </si>
  <si>
    <t>{{S7_NSS_10}}</t>
  </si>
  <si>
    <t>{{S7_누적NSS_10}}</t>
  </si>
  <si>
    <t>{{S7_NSS_11}}</t>
  </si>
  <si>
    <t>{{S7_누적NSS_11}}</t>
  </si>
  <si>
    <t>{{S7_NSS_12}}</t>
  </si>
  <si>
    <t>{{S7_누적NSS_12}}</t>
  </si>
  <si>
    <t>{{S7_누적NSS_13}}</t>
  </si>
  <si>
    <t>누적</t>
    <phoneticPr fontId="1" type="noConversion"/>
  </si>
  <si>
    <t>1월 대비</t>
    <phoneticPr fontId="1" type="noConversion"/>
  </si>
  <si>
    <t>2. 고객불만지수(CCI)</t>
    <phoneticPr fontId="2" type="noConversion"/>
  </si>
  <si>
    <t>- {{S8_script2}}</t>
    <phoneticPr fontId="1" type="noConversion"/>
  </si>
  <si>
    <t>종합 고객불만지수(CCI) 현황</t>
    <phoneticPr fontId="2" type="noConversion"/>
  </si>
  <si>
    <t>* 고객불만지수는 불만 VOC 비율로, 높을수록 고객불만 증가 의미</t>
    <phoneticPr fontId="1" type="noConversion"/>
  </si>
  <si>
    <t>월별 고객 VOC 유형 분류</t>
    <phoneticPr fontId="2" type="noConversion"/>
  </si>
  <si>
    <t>월별 채널 CCI</t>
    <phoneticPr fontId="2" type="noConversion"/>
  </si>
  <si>
    <t>칭찬</t>
  </si>
  <si>
    <t>불만</t>
  </si>
  <si>
    <t>개선</t>
  </si>
  <si>
    <t>기타</t>
  </si>
  <si>
    <t>CCI</t>
    <phoneticPr fontId="1" type="noConversion"/>
  </si>
  <si>
    <t>누적CCI</t>
    <phoneticPr fontId="1" type="noConversion"/>
  </si>
  <si>
    <t>{{S8_CCI_13}}</t>
  </si>
  <si>
    <t>{{S8_CCI_13}}</t>
    <phoneticPr fontId="2" type="noConversion"/>
  </si>
  <si>
    <t>CCI</t>
    <phoneticPr fontId="2" type="noConversion"/>
  </si>
  <si>
    <t>{{S8_CCI_1}}</t>
  </si>
  <si>
    <t>{{S8_누적CCI_1}}</t>
  </si>
  <si>
    <t>{{S8_CCI_2}}</t>
  </si>
  <si>
    <t>{{S8_누적CCI_2}}</t>
  </si>
  <si>
    <t>{{S8_CCI_3}}</t>
  </si>
  <si>
    <t>{{S8_누적CCI_3}}</t>
  </si>
  <si>
    <t>{{S8_CCI_4}}</t>
  </si>
  <si>
    <t>{{S8_누적CCI_4}}</t>
  </si>
  <si>
    <t>{{S8_CCI_5}}</t>
  </si>
  <si>
    <t>{{S8_누적CCI_5}}</t>
  </si>
  <si>
    <t>{{S8_CCI_6}}</t>
  </si>
  <si>
    <t>{{S8_누적CCI_6}}</t>
  </si>
  <si>
    <t>{{S8_CCI_7}}</t>
  </si>
  <si>
    <t>{{S8_누적CCI_7}}</t>
  </si>
  <si>
    <t>{{S8_CCI_8}}</t>
  </si>
  <si>
    <t>{{S8_누적CCI_8}}</t>
  </si>
  <si>
    <t>{{S8_CCI_9}}</t>
  </si>
  <si>
    <t>{{S8_누적CCI_9}}</t>
  </si>
  <si>
    <t>{{S8_CCI_10}}</t>
  </si>
  <si>
    <t>{{S8_누적CCI_10}}</t>
  </si>
  <si>
    <t>{{S8_CCI_11}}</t>
  </si>
  <si>
    <t>{{S8_누적CCI_11}}</t>
  </si>
  <si>
    <t>{{S8_CCI_12}}</t>
  </si>
  <si>
    <t>{{S8_누적CCI_12}}</t>
  </si>
  <si>
    <t>{{S8_누적CCI_13}}</t>
  </si>
  <si>
    <t>`{{cm_yy}}년 {{cm_mm}}월 Bottom-Up NPS Monthly Report</t>
    <phoneticPr fontId="1" type="noConversion"/>
  </si>
  <si>
    <t>Ⅳ. 고객경험 관리 활동 현황</t>
    <phoneticPr fontId="2" type="noConversion"/>
  </si>
  <si>
    <t>- {{S9_script1}}</t>
    <phoneticPr fontId="1" type="noConversion"/>
  </si>
  <si>
    <t>구분</t>
    <phoneticPr fontId="1" type="noConversion"/>
  </si>
  <si>
    <t>사업그룹</t>
    <phoneticPr fontId="1" type="noConversion"/>
  </si>
  <si>
    <t>관리활동(건, %)</t>
    <phoneticPr fontId="1" type="noConversion"/>
  </si>
  <si>
    <t>Bottom-Up NPS</t>
    <phoneticPr fontId="1" type="noConversion"/>
  </si>
  <si>
    <t>배분</t>
    <phoneticPr fontId="1" type="noConversion"/>
  </si>
  <si>
    <t>검토</t>
    <phoneticPr fontId="1" type="noConversion"/>
  </si>
  <si>
    <t>현행유지</t>
    <phoneticPr fontId="1" type="noConversion"/>
  </si>
  <si>
    <t>개선불가</t>
    <phoneticPr fontId="1" type="noConversion"/>
  </si>
  <si>
    <t>개선예정</t>
    <phoneticPr fontId="1" type="noConversion"/>
  </si>
  <si>
    <t>1월</t>
    <phoneticPr fontId="1" type="noConversion"/>
  </si>
  <si>
    <t>종합</t>
    <phoneticPr fontId="1" type="noConversion"/>
  </si>
  <si>
    <t>KB스타뱅킹</t>
    <phoneticPr fontId="1" type="noConversion"/>
  </si>
  <si>
    <t>합계</t>
    <phoneticPr fontId="1" type="noConversion"/>
  </si>
  <si>
    <t>디지털영업그룹</t>
    <phoneticPr fontId="1" type="noConversion"/>
  </si>
  <si>
    <t>개인고객그룹</t>
    <phoneticPr fontId="1" type="noConversion"/>
  </si>
  <si>
    <t>WM고객그룹</t>
    <phoneticPr fontId="1" type="noConversion"/>
  </si>
  <si>
    <t>기업고객그룹</t>
    <phoneticPr fontId="1" type="noConversion"/>
  </si>
  <si>
    <t>영업점</t>
    <phoneticPr fontId="1" type="noConversion"/>
  </si>
  <si>
    <t>기타</t>
    <phoneticPr fontId="1" type="noConversion"/>
  </si>
  <si>
    <t>고객센터</t>
    <phoneticPr fontId="1" type="noConversion"/>
  </si>
  <si>
    <t>고객컨택영업그룹</t>
    <phoneticPr fontId="1" type="noConversion"/>
  </si>
  <si>
    <t>상품</t>
    <phoneticPr fontId="1" type="noConversion"/>
  </si>
  <si>
    <t>2. 채널별 관리현황</t>
    <phoneticPr fontId="2" type="noConversion"/>
  </si>
  <si>
    <t>스타뱅킹영업부(P)</t>
  </si>
  <si>
    <t>개인여신부(P)</t>
  </si>
  <si>
    <t>수신상품부(P)</t>
  </si>
  <si>
    <t>외환사업부</t>
  </si>
  <si>
    <t>WM플랫폼부(P)</t>
  </si>
  <si>
    <t>디지털영업부</t>
    <phoneticPr fontId="2" type="noConversion"/>
  </si>
  <si>
    <t>영업추진부</t>
  </si>
  <si>
    <t>채널운영Unit(P)</t>
  </si>
  <si>
    <t>총무부</t>
  </si>
  <si>
    <t>소비자보호부</t>
  </si>
  <si>
    <t>인재개발부</t>
  </si>
  <si>
    <t>버튼식ARS</t>
  </si>
  <si>
    <t>고객컨택혁신부(P)</t>
  </si>
  <si>
    <t>보이는ARS</t>
  </si>
  <si>
    <t>고객컨택추진부</t>
  </si>
  <si>
    <t>저축성</t>
  </si>
  <si>
    <t>여신성</t>
  </si>
  <si>
    <t>투자성</t>
  </si>
  <si>
    <t>WM투자상품부</t>
  </si>
  <si>
    <t>보장성</t>
  </si>
  <si>
    <t>방카Unit</t>
  </si>
  <si>
    <t>외화환전</t>
  </si>
  <si>
    <t>외환업무부</t>
  </si>
  <si>
    <t>고객경험단계</t>
    <phoneticPr fontId="1" type="noConversion"/>
  </si>
  <si>
    <t>합계</t>
    <phoneticPr fontId="1" type="noConversion"/>
  </si>
  <si>
    <t>영업점</t>
    <phoneticPr fontId="1" type="noConversion"/>
  </si>
  <si>
    <t>고객센터</t>
    <phoneticPr fontId="1" type="noConversion"/>
  </si>
  <si>
    <t>상품</t>
    <phoneticPr fontId="1" type="noConversion"/>
  </si>
  <si>
    <t>채널</t>
    <phoneticPr fontId="1" type="noConversion"/>
  </si>
  <si>
    <t>그룹명</t>
    <phoneticPr fontId="1" type="noConversion"/>
  </si>
  <si>
    <t>배분</t>
    <phoneticPr fontId="1" type="noConversion"/>
  </si>
  <si>
    <t>검토</t>
    <phoneticPr fontId="1" type="noConversion"/>
  </si>
  <si>
    <t>검토율</t>
    <phoneticPr fontId="1" type="noConversion"/>
  </si>
  <si>
    <t>현행유지비율</t>
    <phoneticPr fontId="1" type="noConversion"/>
  </si>
  <si>
    <t>개선불가</t>
    <phoneticPr fontId="1" type="noConversion"/>
  </si>
  <si>
    <t>개선불가비율</t>
    <phoneticPr fontId="1" type="noConversion"/>
  </si>
  <si>
    <t>개선예정</t>
    <phoneticPr fontId="1" type="noConversion"/>
  </si>
  <si>
    <t>개선예정비율</t>
    <phoneticPr fontId="1" type="noConversion"/>
  </si>
  <si>
    <t>{{S9_채널_1}}</t>
  </si>
  <si>
    <t>{{S9_그룹명_1}}</t>
  </si>
  <si>
    <t>{{S9_배분_1}}</t>
  </si>
  <si>
    <t>{{S9_검토_1}}</t>
  </si>
  <si>
    <t>{{S9_검토율_1}}</t>
  </si>
  <si>
    <t>{{S9_현행유지_1}}</t>
  </si>
  <si>
    <t>{{S9_현행유지비율_1}}</t>
  </si>
  <si>
    <t>{{S9_개선불가_1}}</t>
  </si>
  <si>
    <t>{{S9_개선불가비율_1}}</t>
  </si>
  <si>
    <t>{{S9_개선예정_1}}</t>
  </si>
  <si>
    <t>{{S9_개선예정비율_1}}</t>
  </si>
  <si>
    <t>{{S9_채널_2}}</t>
  </si>
  <si>
    <t>{{S9_그룹명_2}}</t>
  </si>
  <si>
    <t>{{S9_배분_2}}</t>
  </si>
  <si>
    <t>{{S9_검토_2}}</t>
  </si>
  <si>
    <t>{{S9_검토율_2}}</t>
  </si>
  <si>
    <t>{{S9_현행유지_2}}</t>
  </si>
  <si>
    <t>{{S9_현행유지비율_2}}</t>
  </si>
  <si>
    <t>{{S9_개선불가_2}}</t>
  </si>
  <si>
    <t>{{S9_개선불가비율_2}}</t>
  </si>
  <si>
    <t>{{S9_개선예정_2}}</t>
  </si>
  <si>
    <t>{{S9_개선예정비율_2}}</t>
  </si>
  <si>
    <t>{{S9_채널_3}}</t>
  </si>
  <si>
    <t>{{S9_그룹명_3}}</t>
  </si>
  <si>
    <t>{{S9_배분_3}}</t>
  </si>
  <si>
    <t>{{S9_검토_3}}</t>
  </si>
  <si>
    <t>{{S9_검토율_3}}</t>
  </si>
  <si>
    <t>{{S9_현행유지_3}}</t>
  </si>
  <si>
    <t>{{S9_현행유지비율_3}}</t>
  </si>
  <si>
    <t>{{S9_개선불가_3}}</t>
  </si>
  <si>
    <t>{{S9_개선불가비율_3}}</t>
  </si>
  <si>
    <t>{{S9_개선예정_3}}</t>
  </si>
  <si>
    <t>{{S9_개선예정비율_3}}</t>
  </si>
  <si>
    <t>{{S9_채널_4}}</t>
  </si>
  <si>
    <t>{{S9_그룹명_4}}</t>
  </si>
  <si>
    <t>{{S9_배분_4}}</t>
  </si>
  <si>
    <t>{{S9_검토_4}}</t>
  </si>
  <si>
    <t>{{S9_검토율_4}}</t>
  </si>
  <si>
    <t>{{S9_현행유지_4}}</t>
  </si>
  <si>
    <t>{{S9_현행유지비율_4}}</t>
  </si>
  <si>
    <t>{{S9_개선불가_4}}</t>
  </si>
  <si>
    <t>{{S9_개선불가비율_4}}</t>
  </si>
  <si>
    <t>{{S9_개선예정_4}}</t>
  </si>
  <si>
    <t>{{S9_개선예정비율_4}}</t>
  </si>
  <si>
    <t>{{S9_채널_5}}</t>
  </si>
  <si>
    <t>{{S9_그룹명_5}}</t>
  </si>
  <si>
    <t>{{S9_배분_5}}</t>
  </si>
  <si>
    <t>{{S9_검토_5}}</t>
  </si>
  <si>
    <t>{{S9_검토율_5}}</t>
  </si>
  <si>
    <t>{{S9_현행유지_5}}</t>
  </si>
  <si>
    <t>{{S9_현행유지비율_5}}</t>
  </si>
  <si>
    <t>{{S9_개선불가_5}}</t>
  </si>
  <si>
    <t>{{S9_개선불가비율_5}}</t>
  </si>
  <si>
    <t>{{S9_개선예정_5}}</t>
  </si>
  <si>
    <t>{{S9_개선예정비율_5}}</t>
  </si>
  <si>
    <t>{{S9_채널_6}}</t>
  </si>
  <si>
    <t>{{S9_그룹명_6}}</t>
  </si>
  <si>
    <t>{{S9_배분_6}}</t>
  </si>
  <si>
    <t>{{S9_검토_6}}</t>
  </si>
  <si>
    <t>{{S9_검토율_6}}</t>
  </si>
  <si>
    <t>{{S9_현행유지_6}}</t>
  </si>
  <si>
    <t>{{S9_현행유지비율_6}}</t>
  </si>
  <si>
    <t>{{S9_개선불가_6}}</t>
  </si>
  <si>
    <t>{{S9_개선불가비율_6}}</t>
  </si>
  <si>
    <t>{{S9_개선예정_6}}</t>
  </si>
  <si>
    <t>{{S9_개선예정비율_6}}</t>
  </si>
  <si>
    <t>{{S9_채널_7}}</t>
  </si>
  <si>
    <t>{{S9_그룹명_7}}</t>
  </si>
  <si>
    <t>{{S9_배분_7}}</t>
  </si>
  <si>
    <t>{{S9_검토_7}}</t>
  </si>
  <si>
    <t>{{S9_검토율_7}}</t>
  </si>
  <si>
    <t>{{S9_현행유지_7}}</t>
  </si>
  <si>
    <t>{{S9_현행유지비율_7}}</t>
  </si>
  <si>
    <t>{{S9_개선불가_7}}</t>
  </si>
  <si>
    <t>{{S9_개선불가비율_7}}</t>
  </si>
  <si>
    <t>{{S9_개선예정_7}}</t>
  </si>
  <si>
    <t>{{S9_개선예정비율_7}}</t>
  </si>
  <si>
    <t>{{S9_채널_8}}</t>
  </si>
  <si>
    <t>{{S9_그룹명_8}}</t>
  </si>
  <si>
    <t>{{S9_배분_8}}</t>
  </si>
  <si>
    <t>{{S9_검토_8}}</t>
  </si>
  <si>
    <t>{{S9_검토율_8}}</t>
  </si>
  <si>
    <t>{{S9_현행유지_8}}</t>
  </si>
  <si>
    <t>{{S9_현행유지비율_8}}</t>
  </si>
  <si>
    <t>{{S9_개선불가_8}}</t>
  </si>
  <si>
    <t>{{S9_개선불가비율_8}}</t>
  </si>
  <si>
    <t>{{S9_개선예정_8}}</t>
  </si>
  <si>
    <t>{{S9_개선예정비율_8}}</t>
  </si>
  <si>
    <t>{{S9_채널_9}}</t>
  </si>
  <si>
    <t>{{S9_그룹명_9}}</t>
  </si>
  <si>
    <t>{{S9_배분_9}}</t>
  </si>
  <si>
    <t>{{S9_검토_9}}</t>
  </si>
  <si>
    <t>{{S9_검토율_9}}</t>
  </si>
  <si>
    <t>{{S9_현행유지_9}}</t>
  </si>
  <si>
    <t>{{S9_현행유지비율_9}}</t>
  </si>
  <si>
    <t>{{S9_개선불가_9}}</t>
  </si>
  <si>
    <t>{{S9_개선불가비율_9}}</t>
  </si>
  <si>
    <t>{{S9_개선예정_9}}</t>
  </si>
  <si>
    <t>{{S9_개선예정비율_9}}</t>
  </si>
  <si>
    <t>{{S9_채널_10}}</t>
  </si>
  <si>
    <t>{{S9_그룹명_10}}</t>
  </si>
  <si>
    <t>{{S9_배분_10}}</t>
  </si>
  <si>
    <t>{{S9_검토_10}}</t>
  </si>
  <si>
    <t>{{S9_검토율_10}}</t>
  </si>
  <si>
    <t>{{S9_현행유지_10}}</t>
  </si>
  <si>
    <t>{{S9_현행유지비율_10}}</t>
  </si>
  <si>
    <t>{{S9_개선불가_10}}</t>
  </si>
  <si>
    <t>{{S9_개선불가비율_10}}</t>
  </si>
  <si>
    <t>{{S9_개선예정_10}}</t>
  </si>
  <si>
    <t>{{S9_개선예정비율_10}}</t>
  </si>
  <si>
    <t>{{S9_채널_11}}</t>
  </si>
  <si>
    <t>{{S9_그룹명_11}}</t>
  </si>
  <si>
    <t>{{S9_배분_11}}</t>
  </si>
  <si>
    <t>{{S9_검토_11}}</t>
  </si>
  <si>
    <t>{{S9_검토율_11}}</t>
  </si>
  <si>
    <t>{{S9_현행유지_11}}</t>
  </si>
  <si>
    <t>{{S9_현행유지비율_11}}</t>
  </si>
  <si>
    <t>{{S9_개선불가_11}}</t>
  </si>
  <si>
    <t>{{S9_개선불가비율_11}}</t>
  </si>
  <si>
    <t>{{S9_개선예정_11}}</t>
  </si>
  <si>
    <t>{{S9_개선예정비율_11}}</t>
  </si>
  <si>
    <t>{{S9_채널_12}}</t>
  </si>
  <si>
    <t>{{S9_그룹명_12}}</t>
  </si>
  <si>
    <t>{{S9_배분_12}}</t>
  </si>
  <si>
    <t>{{S9_검토_12}}</t>
  </si>
  <si>
    <t>{{S9_검토율_12}}</t>
  </si>
  <si>
    <t>{{S9_현행유지_12}}</t>
  </si>
  <si>
    <t>{{S9_현행유지비율_12}}</t>
  </si>
  <si>
    <t>{{S9_개선불가_12}}</t>
  </si>
  <si>
    <t>{{S9_개선불가비율_12}}</t>
  </si>
  <si>
    <t>{{S9_개선예정_12}}</t>
  </si>
  <si>
    <t>{{S9_개선예정비율_12}}</t>
  </si>
  <si>
    <t>{{S9_채널_13}}</t>
  </si>
  <si>
    <t>{{S9_그룹명_13}}</t>
  </si>
  <si>
    <t>{{S9_배분_13}}</t>
  </si>
  <si>
    <t>{{S9_검토_13}}</t>
  </si>
  <si>
    <t>{{S9_검토율_13}}</t>
  </si>
  <si>
    <t>{{S9_현행유지_13}}</t>
  </si>
  <si>
    <t>{{S9_현행유지비율_13}}</t>
  </si>
  <si>
    <t>{{S9_개선불가_13}}</t>
  </si>
  <si>
    <t>{{S9_개선불가비율_13}}</t>
  </si>
  <si>
    <t>{{S9_개선예정_13}}</t>
  </si>
  <si>
    <t>{{S9_개선예정비율_13}}</t>
  </si>
  <si>
    <t>{{S9_채널_14}}</t>
  </si>
  <si>
    <t>{{S9_그룹명_14}}</t>
  </si>
  <si>
    <t>{{S9_배분_14}}</t>
  </si>
  <si>
    <t>{{S9_검토_14}}</t>
  </si>
  <si>
    <t>{{S9_검토율_14}}</t>
  </si>
  <si>
    <t>{{S9_현행유지_14}}</t>
  </si>
  <si>
    <t>{{S9_현행유지비율_14}}</t>
  </si>
  <si>
    <t>{{S9_개선불가_14}}</t>
  </si>
  <si>
    <t>{{S9_개선불가비율_14}}</t>
  </si>
  <si>
    <t>{{S9_개선예정_14}}</t>
  </si>
  <si>
    <t>{{S9_개선예정비율_14}}</t>
  </si>
  <si>
    <t>{{S9_채널_15}}</t>
  </si>
  <si>
    <t>{{S9_그룹명_15}}</t>
  </si>
  <si>
    <t>{{S9_배분_15}}</t>
  </si>
  <si>
    <t>{{S9_검토_15}}</t>
  </si>
  <si>
    <t>{{S9_검토율_15}}</t>
  </si>
  <si>
    <t>{{S9_현행유지_15}}</t>
  </si>
  <si>
    <t>{{S9_현행유지비율_15}}</t>
  </si>
  <si>
    <t>{{S9_개선불가_15}}</t>
  </si>
  <si>
    <t>{{S9_개선불가비율_15}}</t>
  </si>
  <si>
    <t>{{S9_개선예정_15}}</t>
  </si>
  <si>
    <t>{{S9_개선예정비율_15}}</t>
  </si>
  <si>
    <t>고객경험단계</t>
    <phoneticPr fontId="1" type="noConversion"/>
  </si>
  <si>
    <t>부서명</t>
    <phoneticPr fontId="1" type="noConversion"/>
  </si>
  <si>
    <t>{{S10_채널_1}}</t>
  </si>
  <si>
    <t>{{S10_배분_1}}</t>
  </si>
  <si>
    <t>{{S10_검토_1}}</t>
  </si>
  <si>
    <t>{{S10_검토율_1}}</t>
  </si>
  <si>
    <t>{{S10_현행유지_1}}</t>
  </si>
  <si>
    <t>{{S10_현행유지비율_1}}</t>
  </si>
  <si>
    <t>{{S10_개선불가_1}}</t>
  </si>
  <si>
    <t>{{S10_개선불가비율_1}}</t>
  </si>
  <si>
    <t>{{S10_개선예정_1}}</t>
  </si>
  <si>
    <t>{{S10_개선예정비율_1}}</t>
  </si>
  <si>
    <t>{{S10_고객경험단계_1}}</t>
    <phoneticPr fontId="1" type="noConversion"/>
  </si>
  <si>
    <t>{{S10_부서명_1}}</t>
    <phoneticPr fontId="1" type="noConversion"/>
  </si>
  <si>
    <t>{{S10_채널_2}}</t>
  </si>
  <si>
    <t>{{S10_고객경험단계_2}}</t>
  </si>
  <si>
    <t>{{S10_부서명_2}}</t>
  </si>
  <si>
    <t>{{S10_배분_2}}</t>
  </si>
  <si>
    <t>{{S10_검토_2}}</t>
  </si>
  <si>
    <t>{{S10_검토율_2}}</t>
  </si>
  <si>
    <t>{{S10_현행유지_2}}</t>
  </si>
  <si>
    <t>{{S10_현행유지비율_2}}</t>
  </si>
  <si>
    <t>{{S10_개선불가_2}}</t>
  </si>
  <si>
    <t>{{S10_개선불가비율_2}}</t>
  </si>
  <si>
    <t>{{S10_개선예정_2}}</t>
  </si>
  <si>
    <t>{{S10_개선예정비율_2}}</t>
  </si>
  <si>
    <t>{{S10_채널_3}}</t>
  </si>
  <si>
    <t>{{S10_고객경험단계_3}}</t>
  </si>
  <si>
    <t>{{S10_부서명_3}}</t>
  </si>
  <si>
    <t>{{S10_배분_3}}</t>
  </si>
  <si>
    <t>{{S10_검토_3}}</t>
  </si>
  <si>
    <t>{{S10_검토율_3}}</t>
  </si>
  <si>
    <t>{{S10_현행유지_3}}</t>
  </si>
  <si>
    <t>{{S10_현행유지비율_3}}</t>
  </si>
  <si>
    <t>{{S10_개선불가_3}}</t>
  </si>
  <si>
    <t>{{S10_개선불가비율_3}}</t>
  </si>
  <si>
    <t>{{S10_개선예정_3}}</t>
  </si>
  <si>
    <t>{{S10_개선예정비율_3}}</t>
  </si>
  <si>
    <t>{{S10_채널_4}}</t>
  </si>
  <si>
    <t>{{S10_고객경험단계_4}}</t>
  </si>
  <si>
    <t>{{S10_부서명_4}}</t>
  </si>
  <si>
    <t>{{S10_배분_4}}</t>
  </si>
  <si>
    <t>{{S10_검토_4}}</t>
  </si>
  <si>
    <t>{{S10_검토율_4}}</t>
  </si>
  <si>
    <t>{{S10_현행유지_4}}</t>
  </si>
  <si>
    <t>{{S10_현행유지비율_4}}</t>
  </si>
  <si>
    <t>{{S10_개선불가_4}}</t>
  </si>
  <si>
    <t>{{S10_개선불가비율_4}}</t>
  </si>
  <si>
    <t>{{S10_개선예정_4}}</t>
  </si>
  <si>
    <t>{{S10_개선예정비율_4}}</t>
  </si>
  <si>
    <t>{{S10_채널_5}}</t>
  </si>
  <si>
    <t>{{S10_고객경험단계_5}}</t>
  </si>
  <si>
    <t>{{S10_부서명_5}}</t>
  </si>
  <si>
    <t>{{S10_배분_5}}</t>
  </si>
  <si>
    <t>{{S10_검토_5}}</t>
  </si>
  <si>
    <t>{{S10_검토율_5}}</t>
  </si>
  <si>
    <t>{{S10_현행유지_5}}</t>
  </si>
  <si>
    <t>{{S10_현행유지비율_5}}</t>
  </si>
  <si>
    <t>{{S10_개선불가_5}}</t>
  </si>
  <si>
    <t>{{S10_개선불가비율_5}}</t>
  </si>
  <si>
    <t>{{S10_개선예정_5}}</t>
  </si>
  <si>
    <t>{{S10_개선예정비율_5}}</t>
  </si>
  <si>
    <t>{{S10_채널_6}}</t>
  </si>
  <si>
    <t>{{S10_고객경험단계_6}}</t>
  </si>
  <si>
    <t>{{S10_부서명_6}}</t>
  </si>
  <si>
    <t>{{S10_배분_6}}</t>
  </si>
  <si>
    <t>{{S10_검토_6}}</t>
  </si>
  <si>
    <t>{{S10_검토율_6}}</t>
  </si>
  <si>
    <t>{{S10_현행유지_6}}</t>
  </si>
  <si>
    <t>{{S10_현행유지비율_6}}</t>
  </si>
  <si>
    <t>{{S10_개선불가_6}}</t>
  </si>
  <si>
    <t>{{S10_개선불가비율_6}}</t>
  </si>
  <si>
    <t>{{S10_개선예정_6}}</t>
  </si>
  <si>
    <t>{{S10_개선예정비율_6}}</t>
  </si>
  <si>
    <t>{{S10_채널_7}}</t>
  </si>
  <si>
    <t>{{S10_고객경험단계_7}}</t>
  </si>
  <si>
    <t>{{S10_부서명_7}}</t>
  </si>
  <si>
    <t>{{S10_배분_7}}</t>
  </si>
  <si>
    <t>{{S10_검토_7}}</t>
  </si>
  <si>
    <t>{{S10_검토율_7}}</t>
  </si>
  <si>
    <t>{{S10_현행유지_7}}</t>
  </si>
  <si>
    <t>{{S10_현행유지비율_7}}</t>
  </si>
  <si>
    <t>{{S10_개선불가_7}}</t>
  </si>
  <si>
    <t>{{S10_개선불가비율_7}}</t>
  </si>
  <si>
    <t>{{S10_개선예정_7}}</t>
  </si>
  <si>
    <t>{{S10_개선예정비율_7}}</t>
  </si>
  <si>
    <t>{{S10_채널_8}}</t>
  </si>
  <si>
    <t>{{S10_고객경험단계_8}}</t>
  </si>
  <si>
    <t>{{S10_부서명_8}}</t>
  </si>
  <si>
    <t>{{S10_배분_8}}</t>
  </si>
  <si>
    <t>{{S10_검토_8}}</t>
  </si>
  <si>
    <t>{{S10_검토율_8}}</t>
  </si>
  <si>
    <t>{{S10_현행유지_8}}</t>
  </si>
  <si>
    <t>{{S10_현행유지비율_8}}</t>
  </si>
  <si>
    <t>{{S10_개선불가_8}}</t>
  </si>
  <si>
    <t>{{S10_개선불가비율_8}}</t>
  </si>
  <si>
    <t>{{S10_개선예정_8}}</t>
  </si>
  <si>
    <t>{{S10_개선예정비율_8}}</t>
  </si>
  <si>
    <t>{{S10_채널_9}}</t>
  </si>
  <si>
    <t>{{S10_고객경험단계_9}}</t>
  </si>
  <si>
    <t>{{S10_부서명_9}}</t>
  </si>
  <si>
    <t>{{S10_배분_9}}</t>
  </si>
  <si>
    <t>{{S10_검토_9}}</t>
  </si>
  <si>
    <t>{{S10_검토율_9}}</t>
  </si>
  <si>
    <t>{{S10_현행유지_9}}</t>
  </si>
  <si>
    <t>{{S10_현행유지비율_9}}</t>
  </si>
  <si>
    <t>{{S10_개선불가_9}}</t>
  </si>
  <si>
    <t>{{S10_개선불가비율_9}}</t>
  </si>
  <si>
    <t>{{S10_개선예정_9}}</t>
  </si>
  <si>
    <t>{{S10_개선예정비율_9}}</t>
  </si>
  <si>
    <t>{{S10_채널_10}}</t>
  </si>
  <si>
    <t>{{S10_고객경험단계_10}}</t>
  </si>
  <si>
    <t>{{S10_부서명_10}}</t>
  </si>
  <si>
    <t>{{S10_배분_10}}</t>
  </si>
  <si>
    <t>{{S10_검토_10}}</t>
  </si>
  <si>
    <t>{{S10_검토율_10}}</t>
  </si>
  <si>
    <t>{{S10_현행유지_10}}</t>
  </si>
  <si>
    <t>{{S10_현행유지비율_10}}</t>
  </si>
  <si>
    <t>{{S10_개선불가_10}}</t>
  </si>
  <si>
    <t>{{S10_개선불가비율_10}}</t>
  </si>
  <si>
    <t>{{S10_개선예정_10}}</t>
  </si>
  <si>
    <t>{{S10_개선예정비율_10}}</t>
  </si>
  <si>
    <t>{{S10_채널_11}}</t>
  </si>
  <si>
    <t>{{S10_고객경험단계_11}}</t>
  </si>
  <si>
    <t>{{S10_부서명_11}}</t>
  </si>
  <si>
    <t>{{S10_배분_11}}</t>
  </si>
  <si>
    <t>{{S10_검토_11}}</t>
  </si>
  <si>
    <t>{{S10_검토율_11}}</t>
  </si>
  <si>
    <t>{{S10_현행유지_11}}</t>
  </si>
  <si>
    <t>{{S10_현행유지비율_11}}</t>
  </si>
  <si>
    <t>{{S10_개선불가_11}}</t>
  </si>
  <si>
    <t>{{S10_개선불가비율_11}}</t>
  </si>
  <si>
    <t>{{S10_개선예정_11}}</t>
  </si>
  <si>
    <t>{{S10_개선예정비율_11}}</t>
  </si>
  <si>
    <t>{{S10_채널_12}}</t>
  </si>
  <si>
    <t>{{S10_고객경험단계_12}}</t>
  </si>
  <si>
    <t>{{S10_부서명_12}}</t>
  </si>
  <si>
    <t>{{S10_배분_12}}</t>
  </si>
  <si>
    <t>{{S10_검토_12}}</t>
  </si>
  <si>
    <t>{{S10_검토율_12}}</t>
  </si>
  <si>
    <t>{{S10_현행유지_12}}</t>
  </si>
  <si>
    <t>{{S10_현행유지비율_12}}</t>
  </si>
  <si>
    <t>{{S10_개선불가_12}}</t>
  </si>
  <si>
    <t>{{S10_개선불가비율_12}}</t>
  </si>
  <si>
    <t>{{S10_개선예정_12}}</t>
  </si>
  <si>
    <t>{{S10_개선예정비율_12}}</t>
  </si>
  <si>
    <t>{{S10_채널_13}}</t>
  </si>
  <si>
    <t>{{S10_고객경험단계_13}}</t>
  </si>
  <si>
    <t>{{S10_부서명_13}}</t>
  </si>
  <si>
    <t>{{S10_배분_13}}</t>
  </si>
  <si>
    <t>{{S10_검토_13}}</t>
  </si>
  <si>
    <t>{{S10_검토율_13}}</t>
  </si>
  <si>
    <t>{{S10_현행유지_13}}</t>
  </si>
  <si>
    <t>{{S10_현행유지비율_13}}</t>
  </si>
  <si>
    <t>{{S10_개선불가_13}}</t>
  </si>
  <si>
    <t>{{S10_개선불가비율_13}}</t>
  </si>
  <si>
    <t>{{S10_개선예정_13}}</t>
  </si>
  <si>
    <t>{{S10_개선예정비율_13}}</t>
  </si>
  <si>
    <t>{{S10_채널_14}}</t>
  </si>
  <si>
    <t>{{S10_고객경험단계_14}}</t>
  </si>
  <si>
    <t>{{S10_부서명_14}}</t>
  </si>
  <si>
    <t>{{S10_배분_14}}</t>
  </si>
  <si>
    <t>{{S10_검토_14}}</t>
  </si>
  <si>
    <t>{{S10_검토율_14}}</t>
  </si>
  <si>
    <t>{{S10_현행유지_14}}</t>
  </si>
  <si>
    <t>{{S10_현행유지비율_14}}</t>
  </si>
  <si>
    <t>{{S10_개선불가_14}}</t>
  </si>
  <si>
    <t>{{S10_개선불가비율_14}}</t>
  </si>
  <si>
    <t>{{S10_개선예정_14}}</t>
  </si>
  <si>
    <t>{{S10_개선예정비율_14}}</t>
  </si>
  <si>
    <t>{{S10_채널_15}}</t>
  </si>
  <si>
    <t>{{S10_고객경험단계_15}}</t>
  </si>
  <si>
    <t>{{S10_부서명_15}}</t>
  </si>
  <si>
    <t>{{S10_배분_15}}</t>
  </si>
  <si>
    <t>{{S10_검토_15}}</t>
  </si>
  <si>
    <t>{{S10_검토율_15}}</t>
  </si>
  <si>
    <t>{{S10_현행유지_15}}</t>
  </si>
  <si>
    <t>{{S10_현행유지비율_15}}</t>
  </si>
  <si>
    <t>{{S10_개선불가_15}}</t>
  </si>
  <si>
    <t>{{S10_개선불가비율_15}}</t>
  </si>
  <si>
    <t>{{S10_개선예정_15}}</t>
  </si>
  <si>
    <t>{{S10_개선예정비율_15}}</t>
  </si>
  <si>
    <t>{{S10_채널_16}}</t>
  </si>
  <si>
    <t>{{S10_고객경험단계_16}}</t>
  </si>
  <si>
    <t>{{S10_부서명_16}}</t>
  </si>
  <si>
    <t>{{S10_배분_16}}</t>
  </si>
  <si>
    <t>{{S10_검토_16}}</t>
  </si>
  <si>
    <t>{{S10_검토율_16}}</t>
  </si>
  <si>
    <t>{{S10_현행유지_16}}</t>
  </si>
  <si>
    <t>{{S10_현행유지비율_16}}</t>
  </si>
  <si>
    <t>{{S10_개선불가_16}}</t>
  </si>
  <si>
    <t>{{S10_개선불가비율_16}}</t>
  </si>
  <si>
    <t>{{S10_개선예정_16}}</t>
  </si>
  <si>
    <t>{{S10_개선예정비율_16}}</t>
  </si>
  <si>
    <t>{{S10_채널_17}}</t>
  </si>
  <si>
    <t>{{S10_고객경험단계_17}}</t>
  </si>
  <si>
    <t>{{S10_부서명_17}}</t>
  </si>
  <si>
    <t>{{S10_배분_17}}</t>
  </si>
  <si>
    <t>{{S10_검토_17}}</t>
  </si>
  <si>
    <t>{{S10_검토율_17}}</t>
  </si>
  <si>
    <t>{{S10_현행유지_17}}</t>
  </si>
  <si>
    <t>{{S10_현행유지비율_17}}</t>
  </si>
  <si>
    <t>{{S10_개선불가_17}}</t>
  </si>
  <si>
    <t>{{S10_개선불가비율_17}}</t>
  </si>
  <si>
    <t>{{S10_개선예정_17}}</t>
  </si>
  <si>
    <t>{{S10_개선예정비율_17}}</t>
  </si>
  <si>
    <t>{{S10_채널_18}}</t>
  </si>
  <si>
    <t>{{S10_고객경험단계_18}}</t>
  </si>
  <si>
    <t>{{S10_부서명_18}}</t>
  </si>
  <si>
    <t>{{S10_배분_18}}</t>
  </si>
  <si>
    <t>{{S10_검토_18}}</t>
  </si>
  <si>
    <t>{{S10_검토율_18}}</t>
  </si>
  <si>
    <t>{{S10_현행유지_18}}</t>
  </si>
  <si>
    <t>{{S10_현행유지비율_18}}</t>
  </si>
  <si>
    <t>{{S10_개선불가_18}}</t>
  </si>
  <si>
    <t>{{S10_개선불가비율_18}}</t>
  </si>
  <si>
    <t>{{S10_개선예정_18}}</t>
  </si>
  <si>
    <t>{{S10_개선예정비율_18}}</t>
  </si>
  <si>
    <t>{{S10_채널_19}}</t>
  </si>
  <si>
    <t>{{S10_고객경험단계_19}}</t>
  </si>
  <si>
    <t>{{S10_부서명_19}}</t>
  </si>
  <si>
    <t>{{S10_배분_19}}</t>
  </si>
  <si>
    <t>{{S10_검토_19}}</t>
  </si>
  <si>
    <t>{{S10_검토율_19}}</t>
  </si>
  <si>
    <t>{{S10_현행유지_19}}</t>
  </si>
  <si>
    <t>{{S10_현행유지비율_19}}</t>
  </si>
  <si>
    <t>{{S10_개선불가_19}}</t>
  </si>
  <si>
    <t>{{S10_개선불가비율_19}}</t>
  </si>
  <si>
    <t>{{S10_개선예정_19}}</t>
  </si>
  <si>
    <t>{{S10_개선예정비율_19}}</t>
  </si>
  <si>
    <t>{{S10_채널_20}}</t>
  </si>
  <si>
    <t>{{S10_고객경험단계_20}}</t>
  </si>
  <si>
    <t>{{S10_부서명_20}}</t>
  </si>
  <si>
    <t>{{S10_배분_20}}</t>
  </si>
  <si>
    <t>{{S10_검토_20}}</t>
  </si>
  <si>
    <t>{{S10_검토율_20}}</t>
  </si>
  <si>
    <t>{{S10_현행유지_20}}</t>
  </si>
  <si>
    <t>{{S10_현행유지비율_20}}</t>
  </si>
  <si>
    <t>{{S10_개선불가_20}}</t>
  </si>
  <si>
    <t>{{S10_개선불가비율_20}}</t>
  </si>
  <si>
    <t>{{S10_개선예정_20}}</t>
  </si>
  <si>
    <t>{{S10_개선예정비율_20}}</t>
  </si>
  <si>
    <t>{{S10_채널_21}}</t>
  </si>
  <si>
    <t>{{S10_고객경험단계_21}}</t>
  </si>
  <si>
    <t>{{S10_부서명_21}}</t>
  </si>
  <si>
    <t>{{S10_배분_21}}</t>
  </si>
  <si>
    <t>{{S10_검토_21}}</t>
  </si>
  <si>
    <t>{{S10_검토율_21}}</t>
  </si>
  <si>
    <t>{{S10_현행유지_21}}</t>
  </si>
  <si>
    <t>{{S10_현행유지비율_21}}</t>
  </si>
  <si>
    <t>{{S10_개선불가_21}}</t>
  </si>
  <si>
    <t>{{S10_개선불가비율_21}}</t>
  </si>
  <si>
    <t>{{S10_개선예정_21}}</t>
  </si>
  <si>
    <t>{{S10_개선예정비율_21}}</t>
  </si>
  <si>
    <t>{{S10_채널_22}}</t>
  </si>
  <si>
    <t>{{S10_고객경험단계_22}}</t>
  </si>
  <si>
    <t>{{S10_부서명_22}}</t>
  </si>
  <si>
    <t>{{S10_배분_22}}</t>
  </si>
  <si>
    <t>{{S10_검토_22}}</t>
  </si>
  <si>
    <t>{{S10_검토율_22}}</t>
  </si>
  <si>
    <t>{{S10_현행유지_22}}</t>
  </si>
  <si>
    <t>{{S10_현행유지비율_22}}</t>
  </si>
  <si>
    <t>{{S10_개선불가_22}}</t>
  </si>
  <si>
    <t>{{S10_개선불가비율_22}}</t>
  </si>
  <si>
    <t>{{S10_개선예정_22}}</t>
  </si>
  <si>
    <t>{{S10_개선예정비율_22}}</t>
  </si>
  <si>
    <t>{{S10_채널_23}}</t>
  </si>
  <si>
    <t>{{S10_고객경험단계_23}}</t>
  </si>
  <si>
    <t>{{S10_부서명_23}}</t>
  </si>
  <si>
    <t>{{S10_배분_23}}</t>
  </si>
  <si>
    <t>{{S10_검토_23}}</t>
  </si>
  <si>
    <t>{{S10_검토율_23}}</t>
  </si>
  <si>
    <t>{{S10_현행유지_23}}</t>
  </si>
  <si>
    <t>{{S10_현행유지비율_23}}</t>
  </si>
  <si>
    <t>{{S10_개선불가_23}}</t>
  </si>
  <si>
    <t>{{S10_개선불가비율_23}}</t>
  </si>
  <si>
    <t>{{S10_개선예정_23}}</t>
  </si>
  <si>
    <t>{{S10_개선예정비율_23}}</t>
  </si>
  <si>
    <t>{{S10_채널_24}}</t>
  </si>
  <si>
    <t>{{S10_고객경험단계_24}}</t>
  </si>
  <si>
    <t>{{S10_부서명_24}}</t>
  </si>
  <si>
    <t>{{S10_배분_24}}</t>
  </si>
  <si>
    <t>{{S10_검토_24}}</t>
  </si>
  <si>
    <t>{{S10_검토율_24}}</t>
  </si>
  <si>
    <t>{{S10_현행유지_24}}</t>
  </si>
  <si>
    <t>{{S10_현행유지비율_24}}</t>
  </si>
  <si>
    <t>{{S10_개선불가_24}}</t>
  </si>
  <si>
    <t>{{S10_개선불가비율_24}}</t>
  </si>
  <si>
    <t>{{S10_개선예정_24}}</t>
  </si>
  <si>
    <t>{{S10_개선예정비율_24}}</t>
  </si>
  <si>
    <t>{{S10_채널_25}}</t>
  </si>
  <si>
    <t>{{S10_고객경험단계_25}}</t>
  </si>
  <si>
    <t>{{S10_부서명_25}}</t>
  </si>
  <si>
    <t>{{S10_배분_25}}</t>
  </si>
  <si>
    <t>{{S10_검토_25}}</t>
  </si>
  <si>
    <t>{{S10_검토율_25}}</t>
  </si>
  <si>
    <t>{{S10_현행유지_25}}</t>
  </si>
  <si>
    <t>{{S10_현행유지비율_25}}</t>
  </si>
  <si>
    <t>{{S10_개선불가_25}}</t>
  </si>
  <si>
    <t>{{S10_개선불가비율_25}}</t>
  </si>
  <si>
    <t>{{S10_개선예정_25}}</t>
  </si>
  <si>
    <t>{{S10_개선예정비율_25}}</t>
  </si>
  <si>
    <t>{{S10_채널_26}}</t>
  </si>
  <si>
    <t>{{S10_고객경험단계_26}}</t>
  </si>
  <si>
    <t>{{S10_부서명_26}}</t>
  </si>
  <si>
    <t>{{S10_배분_26}}</t>
  </si>
  <si>
    <t>{{S10_검토_26}}</t>
  </si>
  <si>
    <t>{{S10_검토율_26}}</t>
  </si>
  <si>
    <t>{{S10_현행유지_26}}</t>
  </si>
  <si>
    <t>{{S10_현행유지비율_26}}</t>
  </si>
  <si>
    <t>{{S10_개선불가_26}}</t>
  </si>
  <si>
    <t>{{S10_개선불가비율_26}}</t>
  </si>
  <si>
    <t>{{S10_개선예정_26}}</t>
  </si>
  <si>
    <t>{{S10_개선예정비율_26}}</t>
  </si>
  <si>
    <t>{{S10_채널_27}}</t>
  </si>
  <si>
    <t>{{S10_고객경험단계_27}}</t>
  </si>
  <si>
    <t>{{S10_부서명_27}}</t>
  </si>
  <si>
    <t>{{S10_배분_27}}</t>
  </si>
  <si>
    <t>{{S10_검토_27}}</t>
  </si>
  <si>
    <t>{{S10_검토율_27}}</t>
  </si>
  <si>
    <t>{{S10_현행유지_27}}</t>
  </si>
  <si>
    <t>{{S10_현행유지비율_27}}</t>
  </si>
  <si>
    <t>{{S10_개선불가_27}}</t>
  </si>
  <si>
    <t>{{S10_개선불가비율_27}}</t>
  </si>
  <si>
    <t>{{S10_개선예정_27}}</t>
  </si>
  <si>
    <t>{{S10_개선예정비율_27}}</t>
  </si>
  <si>
    <t>{{S10_채널_28}}</t>
  </si>
  <si>
    <t>{{S10_고객경험단계_28}}</t>
  </si>
  <si>
    <t>{{S10_부서명_28}}</t>
  </si>
  <si>
    <t>{{S10_배분_28}}</t>
  </si>
  <si>
    <t>{{S10_검토_28}}</t>
  </si>
  <si>
    <t>{{S10_검토율_28}}</t>
  </si>
  <si>
    <t>{{S10_현행유지_28}}</t>
  </si>
  <si>
    <t>{{S10_현행유지비율_28}}</t>
  </si>
  <si>
    <t>{{S10_개선불가_28}}</t>
  </si>
  <si>
    <t>{{S10_개선불가비율_28}}</t>
  </si>
  <si>
    <t>{{S10_개선예정_28}}</t>
  </si>
  <si>
    <t>{{S10_개선예정비율_28}}</t>
  </si>
  <si>
    <t>{{S10_채널_29}}</t>
  </si>
  <si>
    <t>{{S10_고객경험단계_29}}</t>
  </si>
  <si>
    <t>{{S10_부서명_29}}</t>
  </si>
  <si>
    <t>{{S10_배분_29}}</t>
  </si>
  <si>
    <t>{{S10_검토_29}}</t>
  </si>
  <si>
    <t>{{S10_검토율_29}}</t>
  </si>
  <si>
    <t>{{S10_현행유지_29}}</t>
  </si>
  <si>
    <t>{{S10_현행유지비율_29}}</t>
  </si>
  <si>
    <t>{{S10_개선불가_29}}</t>
  </si>
  <si>
    <t>{{S10_개선불가비율_29}}</t>
  </si>
  <si>
    <t>{{S10_개선예정_29}}</t>
  </si>
  <si>
    <t>{{S10_개선예정비율_29}}</t>
  </si>
  <si>
    <t>{{S10_채널_30}}</t>
  </si>
  <si>
    <t>{{S10_고객경험단계_30}}</t>
  </si>
  <si>
    <t>{{S10_부서명_30}}</t>
  </si>
  <si>
    <t>{{S10_배분_30}}</t>
  </si>
  <si>
    <t>{{S10_검토_30}}</t>
  </si>
  <si>
    <t>{{S10_검토율_30}}</t>
  </si>
  <si>
    <t>{{S10_현행유지_30}}</t>
  </si>
  <si>
    <t>{{S10_현행유지비율_30}}</t>
  </si>
  <si>
    <t>{{S10_개선불가_30}}</t>
  </si>
  <si>
    <t>{{S10_개선불가비율_30}}</t>
  </si>
  <si>
    <t>{{S10_개선예정_30}}</t>
  </si>
  <si>
    <t>{{S10_개선예정비율_30}}</t>
  </si>
  <si>
    <t>{{S10_채널_31}}</t>
  </si>
  <si>
    <t>{{S10_고객경험단계_31}}</t>
  </si>
  <si>
    <t>{{S10_부서명_31}}</t>
  </si>
  <si>
    <t>{{S10_배분_31}}</t>
  </si>
  <si>
    <t>{{S10_검토_31}}</t>
  </si>
  <si>
    <t>{{S10_검토율_31}}</t>
  </si>
  <si>
    <t>{{S10_현행유지_31}}</t>
  </si>
  <si>
    <t>{{S10_현행유지비율_31}}</t>
  </si>
  <si>
    <t>{{S10_개선불가_31}}</t>
  </si>
  <si>
    <t>{{S10_개선불가비율_31}}</t>
  </si>
  <si>
    <t>{{S10_개선예정_31}}</t>
  </si>
  <si>
    <t>{{S10_개선예정비율_31}}</t>
  </si>
  <si>
    <t>{{S10_채널_32}}</t>
  </si>
  <si>
    <t>{{S10_고객경험단계_32}}</t>
  </si>
  <si>
    <t>{{S10_부서명_32}}</t>
  </si>
  <si>
    <t>{{S10_배분_32}}</t>
  </si>
  <si>
    <t>{{S10_검토_32}}</t>
  </si>
  <si>
    <t>{{S10_검토율_32}}</t>
  </si>
  <si>
    <t>{{S10_현행유지_32}}</t>
  </si>
  <si>
    <t>{{S10_현행유지비율_32}}</t>
  </si>
  <si>
    <t>{{S10_개선불가_32}}</t>
  </si>
  <si>
    <t>{{S10_개선불가비율_32}}</t>
  </si>
  <si>
    <t>{{S10_개선예정_32}}</t>
  </si>
  <si>
    <t>{{S10_개선예정비율_32}}</t>
  </si>
  <si>
    <t>{{S10_채널_33}}</t>
  </si>
  <si>
    <t>{{S10_고객경험단계_33}}</t>
  </si>
  <si>
    <t>{{S10_부서명_33}}</t>
  </si>
  <si>
    <t>{{S10_배분_33}}</t>
  </si>
  <si>
    <t>{{S10_검토_33}}</t>
  </si>
  <si>
    <t>{{S10_검토율_33}}</t>
  </si>
  <si>
    <t>{{S10_현행유지_33}}</t>
  </si>
  <si>
    <t>{{S10_현행유지비율_33}}</t>
  </si>
  <si>
    <t>{{S10_개선불가_33}}</t>
  </si>
  <si>
    <t>{{S10_개선불가비율_33}}</t>
  </si>
  <si>
    <t>{{S10_개선예정_33}}</t>
  </si>
  <si>
    <t>{{S10_개선예정비율_33}}</t>
  </si>
  <si>
    <t>{{S10_채널_34}}</t>
  </si>
  <si>
    <t>{{S10_고객경험단계_34}}</t>
  </si>
  <si>
    <t>{{S10_부서명_34}}</t>
  </si>
  <si>
    <t>{{S10_배분_34}}</t>
  </si>
  <si>
    <t>{{S10_검토_34}}</t>
  </si>
  <si>
    <t>{{S10_검토율_34}}</t>
  </si>
  <si>
    <t>{{S10_현행유지_34}}</t>
  </si>
  <si>
    <t>{{S10_현행유지비율_34}}</t>
  </si>
  <si>
    <t>{{S10_개선불가_34}}</t>
  </si>
  <si>
    <t>{{S10_개선불가비율_34}}</t>
  </si>
  <si>
    <t>{{S10_개선예정_34}}</t>
  </si>
  <si>
    <t>{{S10_개선예정비율_34}}</t>
  </si>
  <si>
    <t>{{S10_채널_35}}</t>
  </si>
  <si>
    <t>{{S10_고객경험단계_35}}</t>
  </si>
  <si>
    <t>{{S10_부서명_35}}</t>
  </si>
  <si>
    <t>{{S10_배분_35}}</t>
  </si>
  <si>
    <t>{{S10_검토_35}}</t>
  </si>
  <si>
    <t>{{S10_검토율_35}}</t>
  </si>
  <si>
    <t>{{S10_현행유지_35}}</t>
  </si>
  <si>
    <t>{{S10_현행유지비율_35}}</t>
  </si>
  <si>
    <t>{{S10_개선불가_35}}</t>
  </si>
  <si>
    <t>{{S10_개선불가비율_35}}</t>
  </si>
  <si>
    <t>{{S10_개선예정_35}}</t>
  </si>
  <si>
    <t>{{S10_개선예정비율_35}}</t>
  </si>
  <si>
    <t>{{S10_채널_36}}</t>
  </si>
  <si>
    <t>{{S10_고객경험단계_36}}</t>
  </si>
  <si>
    <t>{{S10_부서명_36}}</t>
  </si>
  <si>
    <t>{{S10_배분_36}}</t>
  </si>
  <si>
    <t>{{S10_검토_36}}</t>
  </si>
  <si>
    <t>{{S10_검토율_36}}</t>
  </si>
  <si>
    <t>{{S10_현행유지_36}}</t>
  </si>
  <si>
    <t>{{S10_현행유지비율_36}}</t>
  </si>
  <si>
    <t>{{S10_개선불가_36}}</t>
  </si>
  <si>
    <t>{{S10_개선불가비율_36}}</t>
  </si>
  <si>
    <t>{{S10_개선예정_36}}</t>
  </si>
  <si>
    <t>{{S10_개선예정비율_36}}</t>
  </si>
  <si>
    <t>{{S10_채널_37}}</t>
  </si>
  <si>
    <t>{{S10_고객경험단계_37}}</t>
  </si>
  <si>
    <t>{{S10_부서명_37}}</t>
  </si>
  <si>
    <t>{{S10_배분_37}}</t>
  </si>
  <si>
    <t>{{S10_검토_37}}</t>
  </si>
  <si>
    <t>{{S10_검토율_37}}</t>
  </si>
  <si>
    <t>{{S10_현행유지_37}}</t>
  </si>
  <si>
    <t>{{S10_현행유지비율_37}}</t>
  </si>
  <si>
    <t>{{S10_개선불가_37}}</t>
  </si>
  <si>
    <t>{{S10_개선불가비율_37}}</t>
  </si>
  <si>
    <t>{{S10_개선예정_37}}</t>
  </si>
  <si>
    <t>{{S10_개선예정비율_37}}</t>
  </si>
  <si>
    <t>{{S10__채널_1}}</t>
    <phoneticPr fontId="1" type="noConversion"/>
  </si>
  <si>
    <t>{{S10__고객경험단계_1}}</t>
    <phoneticPr fontId="1" type="noConversion"/>
  </si>
  <si>
    <t>VL키</t>
    <phoneticPr fontId="1" type="noConversion"/>
  </si>
  <si>
    <t>{{S10__채널_2}}</t>
  </si>
  <si>
    <t>{{S10__고객경험단계_2}}</t>
  </si>
  <si>
    <t>{{S10__채널_3}}</t>
  </si>
  <si>
    <t>{{S10__고객경험단계_3}}</t>
  </si>
  <si>
    <t>{{S10__채널_4}}</t>
  </si>
  <si>
    <t>{{S10__고객경험단계_4}}</t>
  </si>
  <si>
    <t>{{S10__채널_5}}</t>
  </si>
  <si>
    <t>{{S10__고객경험단계_5}}</t>
  </si>
  <si>
    <t>{{S10__채널_6}}</t>
  </si>
  <si>
    <t>{{S10__고객경험단계_6}}</t>
  </si>
  <si>
    <t>{{S10__채널_7}}</t>
  </si>
  <si>
    <t>{{S10__고객경험단계_7}}</t>
  </si>
  <si>
    <t>{{S10__채널_8}}</t>
  </si>
  <si>
    <t>{{S10__고객경험단계_8}}</t>
  </si>
  <si>
    <t>{{S10__채널_9}}</t>
  </si>
  <si>
    <t>{{S10__고객경험단계_9}}</t>
  </si>
  <si>
    <t>{{S10__채널_10}}</t>
  </si>
  <si>
    <t>{{S10__고객경험단계_10}}</t>
  </si>
  <si>
    <t>{{S10__채널_11}}</t>
  </si>
  <si>
    <t>{{S10__고객경험단계_11}}</t>
  </si>
  <si>
    <t>{{S10__채널_12}}</t>
  </si>
  <si>
    <t>{{S10__고객경험단계_12}}</t>
  </si>
  <si>
    <t>{{S10__채널_13}}</t>
  </si>
  <si>
    <t>{{S10__고객경험단계_13}}</t>
  </si>
  <si>
    <t>{{S10__채널_14}}</t>
  </si>
  <si>
    <t>{{S10__고객경험단계_14}}</t>
  </si>
  <si>
    <t>{{S10__채널_15}}</t>
  </si>
  <si>
    <t>{{S10__고객경험단계_15}}</t>
  </si>
  <si>
    <t>{{S10__채널_16}}</t>
  </si>
  <si>
    <t>{{S10__고객경험단계_16}}</t>
  </si>
  <si>
    <t>{{S10__채널_17}}</t>
  </si>
  <si>
    <t>{{S10__고객경험단계_17}}</t>
  </si>
  <si>
    <t>{{S10__채널_18}}</t>
  </si>
  <si>
    <t>{{S10__고객경험단계_18}}</t>
  </si>
  <si>
    <t>{{S10__채널_19}}</t>
  </si>
  <si>
    <t>{{S10__고객경험단계_19}}</t>
  </si>
  <si>
    <t>{{S10__채널_20}}</t>
  </si>
  <si>
    <t>{{S10__고객경험단계_20}}</t>
  </si>
  <si>
    <t>{{S10__채널_21}}</t>
  </si>
  <si>
    <t>{{S10__고객경험단계_21}}</t>
  </si>
  <si>
    <t>{{S10__채널_22}}</t>
  </si>
  <si>
    <t>{{S10__고객경험단계_22}}</t>
  </si>
  <si>
    <t>{{S10__채널_23}}</t>
  </si>
  <si>
    <t>{{S10__고객경험단계_23}}</t>
  </si>
  <si>
    <t>{{S10__채널_24}}</t>
  </si>
  <si>
    <t>{{S10__고객경험단계_24}}</t>
  </si>
  <si>
    <t>{{S10__채널_25}}</t>
  </si>
  <si>
    <t>{{S10__고객경험단계_25}}</t>
  </si>
  <si>
    <t>{{S10__채널_26}}</t>
  </si>
  <si>
    <t>{{S10__고객경험단계_26}}</t>
  </si>
  <si>
    <t>{{S10__채널_27}}</t>
  </si>
  <si>
    <t>{{S10__고객경험단계_27}}</t>
  </si>
  <si>
    <t>{{S10__채널_28}}</t>
  </si>
  <si>
    <t>{{S10__고객경험단계_28}}</t>
  </si>
  <si>
    <t>{{S10__채널_29}}</t>
  </si>
  <si>
    <t>{{S10__고객경험단계_29}}</t>
  </si>
  <si>
    <t>{{S10__채널_30}}</t>
  </si>
  <si>
    <t>{{S10__고객경험단계_30}}</t>
  </si>
  <si>
    <t>{{S10__채널_31}}</t>
  </si>
  <si>
    <t>{{S10__고객경험단계_31}}</t>
  </si>
  <si>
    <t>{{S10__채널_32}}</t>
  </si>
  <si>
    <t>{{S10__고객경험단계_32}}</t>
  </si>
  <si>
    <t>{{S10__채널_33}}</t>
  </si>
  <si>
    <t>{{S10__고객경험단계_33}}</t>
  </si>
  <si>
    <t>{{S10__채널_34}}</t>
  </si>
  <si>
    <t>{{S10__고객경험단계_34}}</t>
  </si>
  <si>
    <t>{{S10__채널_35}}</t>
  </si>
  <si>
    <t>{{S10__고객경험단계_35}}</t>
  </si>
  <si>
    <t>{{S10__채널_36}}</t>
  </si>
  <si>
    <t>{{S10__고객경험단계_36}}</t>
  </si>
  <si>
    <t>{{S10__채널_37}}</t>
  </si>
  <si>
    <t>{{S10__고객경험단계_37}}</t>
  </si>
  <si>
    <t>{{S10__채널_38}}</t>
  </si>
  <si>
    <t>{{S10__고객경험단계_38}}</t>
  </si>
  <si>
    <t>{{S10__채널_39}}</t>
  </si>
  <si>
    <t>{{S10__고객경험단계_39}}</t>
  </si>
  <si>
    <t>{{S10__채널_40}}</t>
  </si>
  <si>
    <t>{{S10__고객경험단계_40}}</t>
  </si>
  <si>
    <t>{{S6_누적NPS_2}}</t>
  </si>
  <si>
    <t>{{S6_누적NPS_3}}</t>
  </si>
  <si>
    <t>{{S6_누적NPS_4}}</t>
  </si>
  <si>
    <t>{{S6_누적NPS_5}}</t>
  </si>
  <si>
    <t>{{S6_누적NPS_6}}</t>
  </si>
  <si>
    <t>{{S6_누적NPS_7}}</t>
  </si>
  <si>
    <t>{{S6_누적NPS_8}}</t>
  </si>
  <si>
    <t>{{S6_누적NPS_9}}</t>
  </si>
  <si>
    <t>{{S6_누적NPS_10}}</t>
  </si>
  <si>
    <t>{{S6_누적NPS_11}}</t>
  </si>
  <si>
    <t>{{S6_누적NPS_12}}</t>
  </si>
  <si>
    <t>{{S6_누적NPS_13}}</t>
  </si>
  <si>
    <t>합계</t>
  </si>
  <si>
    <t>KB 스타뱅킹</t>
  </si>
  <si>
    <t>KB 스타뱅킹</t>
    <phoneticPr fontId="1" type="noConversion"/>
  </si>
  <si>
    <t>{{S10_채널_38}}</t>
  </si>
  <si>
    <t>{{S10_고객경험단계_38}}</t>
  </si>
  <si>
    <t>{{S10_부서명_38}}</t>
  </si>
  <si>
    <t>{{S10_배분_38}}</t>
  </si>
  <si>
    <t>{{S10_검토_38}}</t>
  </si>
  <si>
    <t>{{S10_검토율_38}}</t>
  </si>
  <si>
    <t>{{S10_현행유지_38}}</t>
  </si>
  <si>
    <t>{{S10_현행유지비율_38}}</t>
  </si>
  <si>
    <t>{{S10_개선불가_38}}</t>
  </si>
  <si>
    <t>{{S10_개선불가비율_38}}</t>
  </si>
  <si>
    <t>{{S10_개선예정_38}}</t>
  </si>
  <si>
    <t>{{S10_개선예정비율_38}}</t>
  </si>
  <si>
    <t>{{S10_채널_39}}</t>
  </si>
  <si>
    <t>{{S10_고객경험단계_39}}</t>
  </si>
  <si>
    <t>{{S10_부서명_39}}</t>
  </si>
  <si>
    <t>{{S10_배분_39}}</t>
  </si>
  <si>
    <t>{{S10_검토_39}}</t>
  </si>
  <si>
    <t>{{S10_검토율_39}}</t>
  </si>
  <si>
    <t>{{S10_현행유지_39}}</t>
  </si>
  <si>
    <t>{{S10_현행유지비율_39}}</t>
  </si>
  <si>
    <t>{{S10_개선불가_39}}</t>
  </si>
  <si>
    <t>{{S10_개선불가비율_39}}</t>
  </si>
  <si>
    <t>{{S10_개선예정_39}}</t>
  </si>
  <si>
    <t>{{S10_개선예정비율_39}}</t>
  </si>
  <si>
    <t>{{S10_채널_40}}</t>
  </si>
  <si>
    <t>{{S10_고객경험단계_40}}</t>
  </si>
  <si>
    <t>{{S10_부서명_40}}</t>
  </si>
  <si>
    <t>{{S10_배분_40}}</t>
  </si>
  <si>
    <t>{{S10_검토_40}}</t>
  </si>
  <si>
    <t>{{S10_검토율_40}}</t>
  </si>
  <si>
    <t>{{S10_현행유지_40}}</t>
  </si>
  <si>
    <t>{{S10_현행유지비율_40}}</t>
  </si>
  <si>
    <t>{{S10_개선불가_40}}</t>
  </si>
  <si>
    <t>{{S10_개선불가비율_40}}</t>
  </si>
  <si>
    <t>{{S10_개선예정_40}}</t>
  </si>
  <si>
    <t>{{S10_개선예정비율_40}}</t>
  </si>
  <si>
    <t>{{S10_채널_41}}</t>
  </si>
  <si>
    <t>{{S10_고객경험단계_41}}</t>
  </si>
  <si>
    <t>{{S10_부서명_41}}</t>
  </si>
  <si>
    <t>{{S10_배분_41}}</t>
  </si>
  <si>
    <t>{{S10_검토_41}}</t>
  </si>
  <si>
    <t>{{S10_검토율_41}}</t>
  </si>
  <si>
    <t>{{S10_현행유지_41}}</t>
  </si>
  <si>
    <t>{{S10_현행유지비율_41}}</t>
  </si>
  <si>
    <t>{{S10_개선불가_41}}</t>
  </si>
  <si>
    <t>{{S10_개선불가비율_41}}</t>
  </si>
  <si>
    <t>{{S10_개선예정_41}}</t>
  </si>
  <si>
    <t>{{S10_개선예정비율_41}}</t>
  </si>
  <si>
    <t>{{S10_채널_42}}</t>
  </si>
  <si>
    <t>{{S10_고객경험단계_42}}</t>
  </si>
  <si>
    <t>{{S10_부서명_42}}</t>
  </si>
  <si>
    <t>{{S10_배분_42}}</t>
  </si>
  <si>
    <t>{{S10_검토_42}}</t>
  </si>
  <si>
    <t>{{S10_검토율_42}}</t>
  </si>
  <si>
    <t>{{S10_현행유지_42}}</t>
  </si>
  <si>
    <t>{{S10_현행유지비율_42}}</t>
  </si>
  <si>
    <t>{{S10_개선불가_42}}</t>
  </si>
  <si>
    <t>{{S10_개선불가비율_42}}</t>
  </si>
  <si>
    <t>{{S10_개선예정_42}}</t>
  </si>
  <si>
    <t>{{S10_개선예정비율_42}}</t>
  </si>
  <si>
    <t>{{S10_채널_43}}</t>
  </si>
  <si>
    <t>{{S10_고객경험단계_43}}</t>
  </si>
  <si>
    <t>{{S10_부서명_43}}</t>
  </si>
  <si>
    <t>{{S10_배분_43}}</t>
  </si>
  <si>
    <t>{{S10_검토_43}}</t>
  </si>
  <si>
    <t>{{S10_검토율_43}}</t>
  </si>
  <si>
    <t>{{S10_현행유지_43}}</t>
  </si>
  <si>
    <t>{{S10_현행유지비율_43}}</t>
  </si>
  <si>
    <t>{{S10_개선불가_43}}</t>
  </si>
  <si>
    <t>{{S10_개선불가비율_43}}</t>
  </si>
  <si>
    <t>{{S10_개선예정_43}}</t>
  </si>
  <si>
    <t>{{S10_개선예정비율_43}}</t>
  </si>
  <si>
    <t>{{S10_채널_44}}</t>
  </si>
  <si>
    <t>{{S10_고객경험단계_44}}</t>
  </si>
  <si>
    <t>{{S10_부서명_44}}</t>
  </si>
  <si>
    <t>{{S10_배분_44}}</t>
  </si>
  <si>
    <t>{{S10_검토_44}}</t>
  </si>
  <si>
    <t>{{S10_검토율_44}}</t>
  </si>
  <si>
    <t>{{S10_현행유지_44}}</t>
  </si>
  <si>
    <t>{{S10_현행유지비율_44}}</t>
  </si>
  <si>
    <t>{{S10_개선불가_44}}</t>
  </si>
  <si>
    <t>{{S10_개선불가비율_44}}</t>
  </si>
  <si>
    <t>{{S10_개선예정_44}}</t>
  </si>
  <si>
    <t>{{S10_개선예정비율_44}}</t>
  </si>
  <si>
    <t>{{S10_채널_45}}</t>
  </si>
  <si>
    <t>{{S10_고객경험단계_45}}</t>
  </si>
  <si>
    <t>{{S10_부서명_45}}</t>
  </si>
  <si>
    <t>{{S10_배분_45}}</t>
  </si>
  <si>
    <t>{{S10_검토_45}}</t>
  </si>
  <si>
    <t>{{S10_검토율_45}}</t>
  </si>
  <si>
    <t>{{S10_현행유지_45}}</t>
  </si>
  <si>
    <t>{{S10_현행유지비율_45}}</t>
  </si>
  <si>
    <t>{{S10_개선불가_45}}</t>
  </si>
  <si>
    <t>{{S10_개선불가비율_45}}</t>
  </si>
  <si>
    <t>{{S10_개선예정_45}}</t>
  </si>
  <si>
    <t>{{S10_개선예정비율_45}}</t>
  </si>
  <si>
    <t>{{S10_채널_46}}</t>
  </si>
  <si>
    <t>{{S10_고객경험단계_46}}</t>
  </si>
  <si>
    <t>{{S10_부서명_46}}</t>
  </si>
  <si>
    <t>{{S10_배분_46}}</t>
  </si>
  <si>
    <t>{{S10_검토_46}}</t>
  </si>
  <si>
    <t>{{S10_검토율_46}}</t>
  </si>
  <si>
    <t>{{S10_현행유지_46}}</t>
  </si>
  <si>
    <t>{{S10_현행유지비율_46}}</t>
  </si>
  <si>
    <t>{{S10_개선불가_46}}</t>
  </si>
  <si>
    <t>{{S10_개선불가비율_46}}</t>
  </si>
  <si>
    <t>{{S10_개선예정_46}}</t>
  </si>
  <si>
    <t>{{S10_개선예정비율_46}}</t>
  </si>
  <si>
    <t>{{S10_채널_47}}</t>
  </si>
  <si>
    <t>{{S10_고객경험단계_47}}</t>
  </si>
  <si>
    <t>{{S10_부서명_47}}</t>
  </si>
  <si>
    <t>{{S10_배분_47}}</t>
  </si>
  <si>
    <t>{{S10_검토_47}}</t>
  </si>
  <si>
    <t>{{S10_검토율_47}}</t>
  </si>
  <si>
    <t>{{S10_현행유지_47}}</t>
  </si>
  <si>
    <t>{{S10_현행유지비율_47}}</t>
  </si>
  <si>
    <t>{{S10_개선불가_47}}</t>
  </si>
  <si>
    <t>{{S10_개선불가비율_47}}</t>
  </si>
  <si>
    <t>{{S10_개선예정_47}}</t>
  </si>
  <si>
    <t>{{S10_개선예정비율_47}}</t>
  </si>
  <si>
    <t>{{S10_채널_48}}</t>
  </si>
  <si>
    <t>{{S10_고객경험단계_48}}</t>
  </si>
  <si>
    <t>{{S10_부서명_48}}</t>
  </si>
  <si>
    <t>{{S10_배분_48}}</t>
  </si>
  <si>
    <t>{{S10_검토_48}}</t>
  </si>
  <si>
    <t>{{S10_검토율_48}}</t>
  </si>
  <si>
    <t>{{S10_현행유지_48}}</t>
  </si>
  <si>
    <t>{{S10_현행유지비율_48}}</t>
  </si>
  <si>
    <t>{{S10_개선불가_48}}</t>
  </si>
  <si>
    <t>{{S10_개선불가비율_48}}</t>
  </si>
  <si>
    <t>{{S10_개선예정_48}}</t>
  </si>
  <si>
    <t>{{S10_개선예정비율_48}}</t>
  </si>
  <si>
    <t>{{S10_채널_49}}</t>
  </si>
  <si>
    <t>{{S10_고객경험단계_49}}</t>
  </si>
  <si>
    <t>{{S10_부서명_49}}</t>
  </si>
  <si>
    <t>{{S10_배분_49}}</t>
  </si>
  <si>
    <t>{{S10_검토_49}}</t>
  </si>
  <si>
    <t>{{S10_검토율_49}}</t>
  </si>
  <si>
    <t>{{S10_현행유지_49}}</t>
  </si>
  <si>
    <t>{{S10_현행유지비율_49}}</t>
  </si>
  <si>
    <t>{{S10_개선불가_49}}</t>
  </si>
  <si>
    <t>{{S10_개선불가비율_49}}</t>
  </si>
  <si>
    <t>{{S10_개선예정_49}}</t>
  </si>
  <si>
    <t>{{S10_개선예정비율_49}}</t>
  </si>
  <si>
    <t>{{S10_채널_50}}</t>
  </si>
  <si>
    <t>{{S10_고객경험단계_50}}</t>
  </si>
  <si>
    <t>{{S10_부서명_50}}</t>
  </si>
  <si>
    <t>{{S10_배분_50}}</t>
  </si>
  <si>
    <t>{{S10_검토_50}}</t>
  </si>
  <si>
    <t>{{S10_검토율_50}}</t>
  </si>
  <si>
    <t>{{S10_현행유지_50}}</t>
  </si>
  <si>
    <t>{{S10_현행유지비율_50}}</t>
  </si>
  <si>
    <t>{{S10_개선불가_50}}</t>
  </si>
  <si>
    <t>{{S10_개선불가비율_50}}</t>
  </si>
  <si>
    <t>{{S10_개선예정_50}}</t>
  </si>
  <si>
    <t>{{S10_개선예정비율_50}}</t>
  </si>
  <si>
    <t>{{S10_채널_51}}</t>
  </si>
  <si>
    <t>{{S10_고객경험단계_51}}</t>
  </si>
  <si>
    <t>{{S10_부서명_51}}</t>
  </si>
  <si>
    <t>{{S10_배분_51}}</t>
  </si>
  <si>
    <t>{{S10_검토_51}}</t>
  </si>
  <si>
    <t>{{S10_검토율_51}}</t>
  </si>
  <si>
    <t>{{S10_현행유지_51}}</t>
  </si>
  <si>
    <t>{{S10_현행유지비율_51}}</t>
  </si>
  <si>
    <t>{{S10_개선불가_51}}</t>
  </si>
  <si>
    <t>{{S10_개선불가비율_51}}</t>
  </si>
  <si>
    <t>{{S10_개선예정_51}}</t>
  </si>
  <si>
    <t>{{S10_개선예정비율_51}}</t>
  </si>
  <si>
    <t>{{S10_채널_52}}</t>
  </si>
  <si>
    <t>{{S10_고객경험단계_52}}</t>
  </si>
  <si>
    <t>{{S10_부서명_52}}</t>
  </si>
  <si>
    <t>{{S10_배분_52}}</t>
  </si>
  <si>
    <t>{{S10_검토_52}}</t>
  </si>
  <si>
    <t>{{S10_검토율_52}}</t>
  </si>
  <si>
    <t>{{S10_현행유지_52}}</t>
  </si>
  <si>
    <t>{{S10_현행유지비율_52}}</t>
  </si>
  <si>
    <t>{{S10_개선불가_52}}</t>
  </si>
  <si>
    <t>{{S10_개선불가비율_52}}</t>
  </si>
  <si>
    <t>{{S10_개선예정_52}}</t>
  </si>
  <si>
    <t>{{S10_개선예정비율_52}}</t>
  </si>
  <si>
    <t>{{S10_채널_53}}</t>
  </si>
  <si>
    <t>{{S10_고객경험단계_53}}</t>
  </si>
  <si>
    <t>{{S10_부서명_53}}</t>
  </si>
  <si>
    <t>{{S10_배분_53}}</t>
  </si>
  <si>
    <t>{{S10_검토_53}}</t>
  </si>
  <si>
    <t>{{S10_검토율_53}}</t>
  </si>
  <si>
    <t>{{S10_현행유지_53}}</t>
  </si>
  <si>
    <t>{{S10_현행유지비율_53}}</t>
  </si>
  <si>
    <t>{{S10_개선불가_53}}</t>
  </si>
  <si>
    <t>{{S10_개선불가비율_53}}</t>
  </si>
  <si>
    <t>{{S10_개선예정_53}}</t>
  </si>
  <si>
    <t>{{S10_개선예정비율_53}}</t>
  </si>
  <si>
    <t>{{S10_채널_54}}</t>
  </si>
  <si>
    <t>{{S10_고객경험단계_54}}</t>
  </si>
  <si>
    <t>{{S10_부서명_54}}</t>
  </si>
  <si>
    <t>{{S10_배분_54}}</t>
  </si>
  <si>
    <t>{{S10_검토_54}}</t>
  </si>
  <si>
    <t>{{S10_검토율_54}}</t>
  </si>
  <si>
    <t>{{S10_현행유지_54}}</t>
  </si>
  <si>
    <t>{{S10_현행유지비율_54}}</t>
  </si>
  <si>
    <t>{{S10_개선불가_54}}</t>
  </si>
  <si>
    <t>{{S10_개선불가비율_54}}</t>
  </si>
  <si>
    <t>{{S10_개선예정_54}}</t>
  </si>
  <si>
    <t>{{S10_개선예정비율_54}}</t>
  </si>
  <si>
    <t>{{S10_채널_55}}</t>
  </si>
  <si>
    <t>{{S10_고객경험단계_55}}</t>
  </si>
  <si>
    <t>{{S10_부서명_55}}</t>
  </si>
  <si>
    <t>{{S10_배분_55}}</t>
  </si>
  <si>
    <t>{{S10_검토_55}}</t>
  </si>
  <si>
    <t>{{S10_검토율_55}}</t>
  </si>
  <si>
    <t>{{S10_현행유지_55}}</t>
  </si>
  <si>
    <t>{{S10_현행유지비율_55}}</t>
  </si>
  <si>
    <t>{{S10_개선불가_55}}</t>
  </si>
  <si>
    <t>{{S10_개선불가비율_55}}</t>
  </si>
  <si>
    <t>{{S10_개선예정_55}}</t>
  </si>
  <si>
    <t>{{S10_개선예정비율_55}}</t>
  </si>
  <si>
    <t>{{S10_채널_56}}</t>
  </si>
  <si>
    <t>{{S10_고객경험단계_56}}</t>
  </si>
  <si>
    <t>{{S10_부서명_56}}</t>
  </si>
  <si>
    <t>{{S10_배분_56}}</t>
  </si>
  <si>
    <t>{{S10_검토_56}}</t>
  </si>
  <si>
    <t>{{S10_검토율_56}}</t>
  </si>
  <si>
    <t>{{S10_현행유지_56}}</t>
  </si>
  <si>
    <t>{{S10_현행유지비율_56}}</t>
  </si>
  <si>
    <t>{{S10_개선불가_56}}</t>
  </si>
  <si>
    <t>{{S10_개선불가비율_56}}</t>
  </si>
  <si>
    <t>{{S10_개선예정_56}}</t>
  </si>
  <si>
    <t>{{S10_개선예정비율_56}}</t>
  </si>
  <si>
    <t>{{S10_채널_57}}</t>
  </si>
  <si>
    <t>{{S10_고객경험단계_57}}</t>
  </si>
  <si>
    <t>{{S10_부서명_57}}</t>
  </si>
  <si>
    <t>{{S10_배분_57}}</t>
  </si>
  <si>
    <t>{{S10_검토_57}}</t>
  </si>
  <si>
    <t>{{S10_검토율_57}}</t>
  </si>
  <si>
    <t>{{S10_현행유지_57}}</t>
  </si>
  <si>
    <t>{{S10_현행유지비율_57}}</t>
  </si>
  <si>
    <t>{{S10_개선불가_57}}</t>
  </si>
  <si>
    <t>{{S10_개선불가비율_57}}</t>
  </si>
  <si>
    <t>{{S10_개선예정_57}}</t>
  </si>
  <si>
    <t>{{S10_개선예정비율_57}}</t>
  </si>
  <si>
    <t>{{S10_채널_58}}</t>
  </si>
  <si>
    <t>{{S10_고객경험단계_58}}</t>
  </si>
  <si>
    <t>{{S10_부서명_58}}</t>
  </si>
  <si>
    <t>{{S10_배분_58}}</t>
  </si>
  <si>
    <t>{{S10_검토_58}}</t>
  </si>
  <si>
    <t>{{S10_검토율_58}}</t>
  </si>
  <si>
    <t>{{S10_현행유지_58}}</t>
  </si>
  <si>
    <t>{{S10_현행유지비율_58}}</t>
  </si>
  <si>
    <t>{{S10_개선불가_58}}</t>
  </si>
  <si>
    <t>{{S10_개선불가비율_58}}</t>
  </si>
  <si>
    <t>{{S10_개선예정_58}}</t>
  </si>
  <si>
    <t>{{S10_개선예정비율_58}}</t>
  </si>
  <si>
    <t>{{S10_채널_59}}</t>
  </si>
  <si>
    <t>{{S10_고객경험단계_59}}</t>
  </si>
  <si>
    <t>{{S10_부서명_59}}</t>
  </si>
  <si>
    <t>{{S10_배분_59}}</t>
  </si>
  <si>
    <t>{{S10_검토_59}}</t>
  </si>
  <si>
    <t>{{S10_검토율_59}}</t>
  </si>
  <si>
    <t>{{S10_현행유지_59}}</t>
  </si>
  <si>
    <t>{{S10_현행유지비율_59}}</t>
  </si>
  <si>
    <t>{{S10_개선불가_59}}</t>
  </si>
  <si>
    <t>{{S10_개선불가비율_59}}</t>
  </si>
  <si>
    <t>{{S10_개선예정_59}}</t>
  </si>
  <si>
    <t>{{S10_개선예정비율_59}}</t>
  </si>
  <si>
    <t>{{S10_채널_60}}</t>
  </si>
  <si>
    <t>{{S10_고객경험단계_60}}</t>
  </si>
  <si>
    <t>{{S10_부서명_60}}</t>
  </si>
  <si>
    <t>{{S10_배분_60}}</t>
  </si>
  <si>
    <t>{{S10_검토_60}}</t>
  </si>
  <si>
    <t>{{S10_검토율_60}}</t>
  </si>
  <si>
    <t>{{S10_현행유지_60}}</t>
  </si>
  <si>
    <t>{{S10_현행유지비율_60}}</t>
  </si>
  <si>
    <t>{{S10_개선불가_60}}</t>
  </si>
  <si>
    <t>{{S10_개선불가비율_60}}</t>
  </si>
  <si>
    <t>{{S10_개선예정_60}}</t>
  </si>
  <si>
    <t>{{S10_개선예정비율_60}}</t>
  </si>
  <si>
    <t>직원상담</t>
    <phoneticPr fontId="1" type="noConversion"/>
  </si>
  <si>
    <t xml:space="preserve">  【고객감정지수(NSS)】 {{S1_script2}}</t>
    <phoneticPr fontId="2" type="noConversion"/>
  </si>
  <si>
    <t xml:space="preserve">  【고객불만지수(CCI)】 {{S1_script3}}</t>
    <phoneticPr fontId="2" type="noConversion"/>
  </si>
  <si>
    <t>- {{S1_script4}}</t>
    <phoneticPr fontId="2" type="noConversion"/>
  </si>
  <si>
    <t>{{S1_1월NPS_1}}</t>
  </si>
  <si>
    <t>{{S1_2월NPS_1}}</t>
  </si>
  <si>
    <t>{{S1_3월NPS_1}}</t>
  </si>
  <si>
    <t>{{S1_4월NPS_1}}</t>
  </si>
  <si>
    <t>{{S1_5월NPS_1}}</t>
  </si>
  <si>
    <t>{{S1_6월NPS_1}}</t>
  </si>
  <si>
    <t>{{S1_7월NPS_1}}</t>
  </si>
  <si>
    <t>{{S1_8월NPS_1}}</t>
  </si>
  <si>
    <t>{{S1_9월NPS_1}}</t>
  </si>
  <si>
    <t>{{S1_10월NPS_1}}</t>
  </si>
  <si>
    <t>{{S1_11월NPS_1}}</t>
  </si>
  <si>
    <t>{{S1_12월NPS_1}}</t>
  </si>
  <si>
    <t>{{S1_누적NPS_1}}</t>
  </si>
  <si>
    <t>{{S1_누적NPS_1}}</t>
    <phoneticPr fontId="2" type="noConversion"/>
  </si>
  <si>
    <t>{{S1_1월대비NPS차이_1}}</t>
    <phoneticPr fontId="2" type="noConversion"/>
  </si>
  <si>
    <t>{{S1_1월NPS_2}}</t>
  </si>
  <si>
    <t>{{S1_1월NPS_3}}</t>
  </si>
  <si>
    <t>{{S1_1월NPS_4}}</t>
  </si>
  <si>
    <t>{{S1_1월NPS_5}}</t>
  </si>
  <si>
    <t>{{S1_2월NPS_2}}</t>
  </si>
  <si>
    <t>{{S1_2월NPS_3}}</t>
  </si>
  <si>
    <t>{{S1_2월NPS_4}}</t>
  </si>
  <si>
    <t>{{S1_3월NPS_2}}</t>
  </si>
  <si>
    <t>{{S1_4월NPS_2}}</t>
  </si>
  <si>
    <t>{{S1_5월NPS_2}}</t>
  </si>
  <si>
    <t>{{S1_6월NPS_2}}</t>
  </si>
  <si>
    <t>{{S1_7월NPS_2}}</t>
  </si>
  <si>
    <t>{{S1_8월NPS_2}}</t>
  </si>
  <si>
    <t>{{S1_9월NPS_2}}</t>
  </si>
  <si>
    <t>{{S1_10월NPS_2}}</t>
  </si>
  <si>
    <t>{{S1_11월NPS_2}}</t>
  </si>
  <si>
    <t>{{S1_12월NPS_2}}</t>
  </si>
  <si>
    <t>{{S1_3월NPS_3}}</t>
  </si>
  <si>
    <t>{{S1_4월NPS_3}}</t>
  </si>
  <si>
    <t>{{S1_5월NPS_3}}</t>
  </si>
  <si>
    <t>{{S1_6월NPS_3}}</t>
  </si>
  <si>
    <t>{{S1_7월NPS_3}}</t>
  </si>
  <si>
    <t>{{S1_8월NPS_3}}</t>
  </si>
  <si>
    <t>{{S1_9월NPS_3}}</t>
  </si>
  <si>
    <t>{{S1_10월NPS_3}}</t>
  </si>
  <si>
    <t>{{S1_11월NPS_3}}</t>
  </si>
  <si>
    <t>{{S1_12월NPS_3}}</t>
  </si>
  <si>
    <t>{{S1_3월NPS_4}}</t>
  </si>
  <si>
    <t>{{S1_4월NPS_4}}</t>
  </si>
  <si>
    <t>{{S1_5월NPS_4}}</t>
  </si>
  <si>
    <t>{{S1_6월NPS_4}}</t>
  </si>
  <si>
    <t>{{S1_7월NPS_4}}</t>
  </si>
  <si>
    <t>{{S1_8월NPS_4}}</t>
  </si>
  <si>
    <t>{{S1_9월NPS_4}}</t>
  </si>
  <si>
    <t>{{S1_10월NPS_4}}</t>
  </si>
  <si>
    <t>{{S1_11월NPS_4}}</t>
  </si>
  <si>
    <t>{{S1_12월NPS_4}}</t>
  </si>
  <si>
    <t>{{S1_2월NPS_5}}</t>
  </si>
  <si>
    <t>{{S1_3월NPS_5}}</t>
  </si>
  <si>
    <t>{{S1_4월NPS_5}}</t>
  </si>
  <si>
    <t>{{S1_5월NPS_5}}</t>
  </si>
  <si>
    <t>{{S1_6월NPS_5}}</t>
  </si>
  <si>
    <t>{{S1_7월NPS_5}}</t>
  </si>
  <si>
    <t>{{S1_8월NPS_5}}</t>
  </si>
  <si>
    <t>{{S1_9월NPS_5}}</t>
  </si>
  <si>
    <t>{{S1_10월NPS_5}}</t>
  </si>
  <si>
    <t>{{S1_11월NPS_5}}</t>
  </si>
  <si>
    <t>{{S1_12월NPS_5}}</t>
  </si>
  <si>
    <t>{{S1_누적NPS_2}}</t>
  </si>
  <si>
    <t>{{S1_1월대비NPS차이_2}}</t>
  </si>
  <si>
    <t>{{S1_누적NPS_3}}</t>
  </si>
  <si>
    <t>{{S1_1월대비NPS차이_3}}</t>
  </si>
  <si>
    <t>{{S1_누적NPS_4}}</t>
  </si>
  <si>
    <t>{{S1_1월대비NPS차이_4}}</t>
  </si>
  <si>
    <t>{{S1_누적NPS_5}}</t>
  </si>
  <si>
    <t>{{S1_1월대비NPS차이_5}}</t>
  </si>
  <si>
    <t>{{S1_누적NPS_3}}</t>
    <phoneticPr fontId="2" type="noConversion"/>
  </si>
  <si>
    <t>{{S1_누적NPS_4}}</t>
    <phoneticPr fontId="2" type="noConversion"/>
  </si>
  <si>
    <t>{{S1_누적NPS_5}}</t>
    <phoneticPr fontId="2" type="noConversion"/>
  </si>
  <si>
    <t>{{S1_1월NSS_1}}</t>
  </si>
  <si>
    <t>{{S1_2월NSS_1}}</t>
  </si>
  <si>
    <t>{{S1_3월NSS_1}}</t>
  </si>
  <si>
    <t>{{S1_4월NSS_1}}</t>
  </si>
  <si>
    <t>{{S1_5월NSS_1}}</t>
  </si>
  <si>
    <t>{{S1_6월NSS_1}}</t>
  </si>
  <si>
    <t>{{S1_7월NSS_1}}</t>
  </si>
  <si>
    <t>{{S1_8월NSS_1}}</t>
  </si>
  <si>
    <t>{{S1_9월NSS_1}}</t>
  </si>
  <si>
    <t>{{S1_10월NSS_1}}</t>
  </si>
  <si>
    <t>{{S1_11월NSS_1}}</t>
  </si>
  <si>
    <t>{{S1_12월NSS_1}}</t>
  </si>
  <si>
    <t>{{S1_누적NSS_1}}</t>
  </si>
  <si>
    <t>{{S1_1월대비NSS차이_1}}</t>
  </si>
  <si>
    <t>{{S1_1월NSS_2}}</t>
  </si>
  <si>
    <t>{{S1_2월NSS_2}}</t>
  </si>
  <si>
    <t>{{S1_3월NSS_2}}</t>
  </si>
  <si>
    <t>{{S1_4월NSS_2}}</t>
  </si>
  <si>
    <t>{{S1_5월NSS_2}}</t>
  </si>
  <si>
    <t>{{S1_6월NSS_2}}</t>
  </si>
  <si>
    <t>{{S1_7월NSS_2}}</t>
  </si>
  <si>
    <t>{{S1_8월NSS_2}}</t>
  </si>
  <si>
    <t>{{S1_9월NSS_2}}</t>
  </si>
  <si>
    <t>{{S1_10월NSS_2}}</t>
  </si>
  <si>
    <t>{{S1_11월NSS_2}}</t>
  </si>
  <si>
    <t>{{S1_12월NSS_2}}</t>
  </si>
  <si>
    <t>{{S1_누적NSS_2}}</t>
  </si>
  <si>
    <t>{{S1_1월대비NSS차이_2}}</t>
  </si>
  <si>
    <t>{{S1_1월NSS_3}}</t>
  </si>
  <si>
    <t>{{S1_2월NSS_3}}</t>
  </si>
  <si>
    <t>{{S1_3월NSS_3}}</t>
  </si>
  <si>
    <t>{{S1_4월NSS_3}}</t>
  </si>
  <si>
    <t>{{S1_5월NSS_3}}</t>
  </si>
  <si>
    <t>{{S1_6월NSS_3}}</t>
  </si>
  <si>
    <t>{{S1_7월NSS_3}}</t>
  </si>
  <si>
    <t>{{S1_8월NSS_3}}</t>
  </si>
  <si>
    <t>{{S1_9월NSS_3}}</t>
  </si>
  <si>
    <t>{{S1_10월NSS_3}}</t>
  </si>
  <si>
    <t>{{S1_11월NSS_3}}</t>
  </si>
  <si>
    <t>{{S1_12월NSS_3}}</t>
  </si>
  <si>
    <t>{{S1_누적NSS_3}}</t>
  </si>
  <si>
    <t>{{S1_1월대비NSS차이_3}}</t>
  </si>
  <si>
    <t>{{S1_1월NSS_4}}</t>
  </si>
  <si>
    <t>{{S1_2월NSS_4}}</t>
  </si>
  <si>
    <t>{{S1_3월NSS_4}}</t>
  </si>
  <si>
    <t>{{S1_4월NSS_4}}</t>
  </si>
  <si>
    <t>{{S1_5월NSS_4}}</t>
  </si>
  <si>
    <t>{{S1_6월NSS_4}}</t>
  </si>
  <si>
    <t>{{S1_7월NSS_4}}</t>
  </si>
  <si>
    <t>{{S1_8월NSS_4}}</t>
  </si>
  <si>
    <t>{{S1_9월NSS_4}}</t>
  </si>
  <si>
    <t>{{S1_10월NSS_4}}</t>
  </si>
  <si>
    <t>{{S1_11월NSS_4}}</t>
  </si>
  <si>
    <t>{{S1_12월NSS_4}}</t>
  </si>
  <si>
    <t>{{S1_누적NSS_4}}</t>
  </si>
  <si>
    <t>{{S1_1월대비NSS차이_4}}</t>
  </si>
  <si>
    <t>{{S1_1월NSS_5}}</t>
  </si>
  <si>
    <t>{{S1_2월NSS_5}}</t>
  </si>
  <si>
    <t>{{S1_3월NSS_5}}</t>
  </si>
  <si>
    <t>{{S1_4월NSS_5}}</t>
  </si>
  <si>
    <t>{{S1_5월NSS_5}}</t>
  </si>
  <si>
    <t>{{S1_6월NSS_5}}</t>
  </si>
  <si>
    <t>{{S1_7월NSS_5}}</t>
  </si>
  <si>
    <t>{{S1_8월NSS_5}}</t>
  </si>
  <si>
    <t>{{S1_9월NSS_5}}</t>
  </si>
  <si>
    <t>{{S1_10월NSS_5}}</t>
  </si>
  <si>
    <t>{{S1_11월NSS_5}}</t>
  </si>
  <si>
    <t>{{S1_12월NSS_5}}</t>
  </si>
  <si>
    <t>{{S1_누적NSS_5}}</t>
  </si>
  <si>
    <t>{{S1_1월대비NSS차이_5}}</t>
  </si>
  <si>
    <t>{{S1_1월CCI_1}}</t>
  </si>
  <si>
    <t>{{S1_2월CCI_1}}</t>
  </si>
  <si>
    <t>{{S1_3월CCI_1}}</t>
  </si>
  <si>
    <t>{{S1_4월CCI_1}}</t>
  </si>
  <si>
    <t>{{S1_5월CCI_1}}</t>
  </si>
  <si>
    <t>{{S1_6월CCI_1}}</t>
  </si>
  <si>
    <t>{{S1_7월CCI_1}}</t>
  </si>
  <si>
    <t>{{S1_8월CCI_1}}</t>
  </si>
  <si>
    <t>{{S1_9월CCI_1}}</t>
  </si>
  <si>
    <t>{{S1_10월CCI_1}}</t>
  </si>
  <si>
    <t>{{S1_11월CCI_1}}</t>
  </si>
  <si>
    <t>{{S1_12월CCI_1}}</t>
  </si>
  <si>
    <t>{{S1_누적CCI_1}}</t>
  </si>
  <si>
    <t>{{S1_1월대비CCI차이_1}}</t>
  </si>
  <si>
    <t>{{S1_1월CCI_2}}</t>
  </si>
  <si>
    <t>{{S1_2월CCI_2}}</t>
  </si>
  <si>
    <t>{{S1_3월CCI_2}}</t>
  </si>
  <si>
    <t>{{S1_4월CCI_2}}</t>
  </si>
  <si>
    <t>{{S1_5월CCI_2}}</t>
  </si>
  <si>
    <t>{{S1_6월CCI_2}}</t>
  </si>
  <si>
    <t>{{S1_7월CCI_2}}</t>
  </si>
  <si>
    <t>{{S1_8월CCI_2}}</t>
  </si>
  <si>
    <t>{{S1_9월CCI_2}}</t>
  </si>
  <si>
    <t>{{S1_10월CCI_2}}</t>
  </si>
  <si>
    <t>{{S1_11월CCI_2}}</t>
  </si>
  <si>
    <t>{{S1_12월CCI_2}}</t>
  </si>
  <si>
    <t>{{S1_누적CCI_2}}</t>
  </si>
  <si>
    <t>{{S1_1월대비CCI차이_2}}</t>
  </si>
  <si>
    <t>{{S1_1월CCI_3}}</t>
  </si>
  <si>
    <t>{{S1_2월CCI_3}}</t>
  </si>
  <si>
    <t>{{S1_3월CCI_3}}</t>
  </si>
  <si>
    <t>{{S1_4월CCI_3}}</t>
  </si>
  <si>
    <t>{{S1_5월CCI_3}}</t>
  </si>
  <si>
    <t>{{S1_6월CCI_3}}</t>
  </si>
  <si>
    <t>{{S1_7월CCI_3}}</t>
  </si>
  <si>
    <t>{{S1_8월CCI_3}}</t>
  </si>
  <si>
    <t>{{S1_9월CCI_3}}</t>
  </si>
  <si>
    <t>{{S1_10월CCI_3}}</t>
  </si>
  <si>
    <t>{{S1_11월CCI_3}}</t>
  </si>
  <si>
    <t>{{S1_12월CCI_3}}</t>
  </si>
  <si>
    <t>{{S1_누적CCI_3}}</t>
  </si>
  <si>
    <t>{{S1_1월대비CCI차이_3}}</t>
  </si>
  <si>
    <t>{{S1_1월CCI_4}}</t>
  </si>
  <si>
    <t>{{S1_2월CCI_4}}</t>
  </si>
  <si>
    <t>{{S1_3월CCI_4}}</t>
  </si>
  <si>
    <t>{{S1_4월CCI_4}}</t>
  </si>
  <si>
    <t>{{S1_5월CCI_4}}</t>
  </si>
  <si>
    <t>{{S1_6월CCI_4}}</t>
  </si>
  <si>
    <t>{{S1_7월CCI_4}}</t>
  </si>
  <si>
    <t>{{S1_8월CCI_4}}</t>
  </si>
  <si>
    <t>{{S1_9월CCI_4}}</t>
  </si>
  <si>
    <t>{{S1_10월CCI_4}}</t>
  </si>
  <si>
    <t>{{S1_11월CCI_4}}</t>
  </si>
  <si>
    <t>{{S1_12월CCI_4}}</t>
  </si>
  <si>
    <t>{{S1_누적CCI_4}}</t>
  </si>
  <si>
    <t>{{S1_1월대비CCI차이_4}}</t>
  </si>
  <si>
    <t>{{S1_1월CCI_5}}</t>
  </si>
  <si>
    <t>{{S1_2월CCI_5}}</t>
  </si>
  <si>
    <t>{{S1_3월CCI_5}}</t>
  </si>
  <si>
    <t>{{S1_4월CCI_5}}</t>
  </si>
  <si>
    <t>{{S1_5월CCI_5}}</t>
  </si>
  <si>
    <t>{{S1_6월CCI_5}}</t>
  </si>
  <si>
    <t>{{S1_7월CCI_5}}</t>
  </si>
  <si>
    <t>{{S1_8월CCI_5}}</t>
  </si>
  <si>
    <t>{{S1_9월CCI_5}}</t>
  </si>
  <si>
    <t>{{S1_10월CCI_5}}</t>
  </si>
  <si>
    <t>{{S1_11월CCI_5}}</t>
  </si>
  <si>
    <t>{{S1_12월CCI_5}}</t>
  </si>
  <si>
    <t>{{S1_누적CCI_5}}</t>
  </si>
  <si>
    <t>{{S1_1월대비CCI차이_5}}</t>
  </si>
  <si>
    <t>{{S1_1월대비NPS차이_1}}</t>
    <phoneticPr fontId="2" type="noConversion"/>
  </si>
  <si>
    <t>{{S1_1월대비NPS차이_2}}</t>
    <phoneticPr fontId="2" type="noConversion"/>
  </si>
  <si>
    <t>{{S1_1월대비NPS차이_3}}</t>
    <phoneticPr fontId="2" type="noConversion"/>
  </si>
  <si>
    <t>{{S1_1월대비NPS차이_4}}</t>
    <phoneticPr fontId="2" type="noConversion"/>
  </si>
  <si>
    <t>{{S1_1월대비NPS차이_5}}</t>
    <phoneticPr fontId="2" type="noConversion"/>
  </si>
  <si>
    <t>누적</t>
    <phoneticPr fontId="2" type="noConversion"/>
  </si>
  <si>
    <t>{{S3_누적NPS영향도_1}}</t>
  </si>
  <si>
    <t>{{S3_누적NPS영향도_2}}</t>
  </si>
  <si>
    <t>{{S3_누적NPS영향도_3}}</t>
  </si>
  <si>
    <t>{{S3_누적NPS영향도_4}}</t>
  </si>
  <si>
    <t>{{S3_누적NPS영향도_5}}</t>
  </si>
  <si>
    <t>{{S3_누적NPS영향도_6}}</t>
  </si>
  <si>
    <t>{{S3_누적NPS영향도_7}}</t>
  </si>
  <si>
    <t>{{S3_누적NPS영향도_8}}</t>
  </si>
  <si>
    <t>{{S3_1월대비NPS영향도차이_1}}</t>
  </si>
  <si>
    <t>{{S3_1월대비NPS영향도차이_2}}</t>
  </si>
  <si>
    <t>{{S3_1월대비NPS영향도차이_3}}</t>
  </si>
  <si>
    <t>{{S3_1월대비NPS영향도차이_4}}</t>
  </si>
  <si>
    <t>{{S3_1월대비NPS영향도차이_5}}</t>
  </si>
  <si>
    <t>{{S3_1월대비NPS영향도차이_6}}</t>
  </si>
  <si>
    <t>{{S3_1월대비NPS영향도차이_7}}</t>
  </si>
  <si>
    <t>{{S3_1월대비NPS영향도차이_8}}</t>
  </si>
  <si>
    <t>{{S3_1월NPS영향도_1}}</t>
  </si>
  <si>
    <t>{{S3_2월NPS영향도_1}}</t>
  </si>
  <si>
    <t>{{S3_3월NPS영향도_1}}</t>
  </si>
  <si>
    <t>{{S3_4월NPS영향도_1}}</t>
  </si>
  <si>
    <t>{{S3_5월NPS영향도_1}}</t>
  </si>
  <si>
    <t>{{S3_6월NPS영향도_1}}</t>
  </si>
  <si>
    <t>{{S3_7월NPS영향도_1}}</t>
  </si>
  <si>
    <t>{{S3_8월NPS영향도_1}}</t>
  </si>
  <si>
    <t>{{S3_9월NPS영향도_1}}</t>
  </si>
  <si>
    <t>{{S3_10월NPS영향도_1}}</t>
  </si>
  <si>
    <t>{{S3_11월NPS영향도_1}}</t>
  </si>
  <si>
    <t>{{S3_12월NPS영향도_1}}</t>
  </si>
  <si>
    <t>{{S3_1월NPS영향도_2}}</t>
  </si>
  <si>
    <t>{{S3_2월NPS영향도_2}}</t>
  </si>
  <si>
    <t>{{S3_3월NPS영향도_2}}</t>
  </si>
  <si>
    <t>{{S3_4월NPS영향도_2}}</t>
  </si>
  <si>
    <t>{{S3_5월NPS영향도_2}}</t>
  </si>
  <si>
    <t>{{S3_6월NPS영향도_2}}</t>
  </si>
  <si>
    <t>{{S3_7월NPS영향도_2}}</t>
  </si>
  <si>
    <t>{{S3_8월NPS영향도_2}}</t>
  </si>
  <si>
    <t>{{S3_9월NPS영향도_2}}</t>
  </si>
  <si>
    <t>{{S3_10월NPS영향도_2}}</t>
  </si>
  <si>
    <t>{{S3_11월NPS영향도_2}}</t>
  </si>
  <si>
    <t>{{S3_12월NPS영향도_2}}</t>
  </si>
  <si>
    <t>{{S3_1월NPS영향도_3}}</t>
  </si>
  <si>
    <t>{{S3_2월NPS영향도_3}}</t>
  </si>
  <si>
    <t>{{S3_3월NPS영향도_3}}</t>
  </si>
  <si>
    <t>{{S3_4월NPS영향도_3}}</t>
  </si>
  <si>
    <t>{{S3_5월NPS영향도_3}}</t>
  </si>
  <si>
    <t>{{S3_6월NPS영향도_3}}</t>
  </si>
  <si>
    <t>{{S3_7월NPS영향도_3}}</t>
  </si>
  <si>
    <t>{{S3_8월NPS영향도_3}}</t>
  </si>
  <si>
    <t>{{S3_9월NPS영향도_3}}</t>
  </si>
  <si>
    <t>{{S3_10월NPS영향도_3}}</t>
  </si>
  <si>
    <t>{{S3_11월NPS영향도_3}}</t>
  </si>
  <si>
    <t>{{S3_12월NPS영향도_3}}</t>
  </si>
  <si>
    <t>{{S3_1월NPS영향도_4}}</t>
  </si>
  <si>
    <t>{{S3_2월NPS영향도_4}}</t>
  </si>
  <si>
    <t>{{S3_3월NPS영향도_4}}</t>
  </si>
  <si>
    <t>{{S3_4월NPS영향도_4}}</t>
  </si>
  <si>
    <t>{{S3_5월NPS영향도_4}}</t>
  </si>
  <si>
    <t>{{S3_6월NPS영향도_4}}</t>
  </si>
  <si>
    <t>{{S3_7월NPS영향도_4}}</t>
  </si>
  <si>
    <t>{{S3_8월NPS영향도_4}}</t>
  </si>
  <si>
    <t>{{S3_9월NPS영향도_4}}</t>
  </si>
  <si>
    <t>{{S3_10월NPS영향도_4}}</t>
  </si>
  <si>
    <t>{{S3_11월NPS영향도_4}}</t>
  </si>
  <si>
    <t>{{S3_12월NPS영향도_4}}</t>
  </si>
  <si>
    <t>{{S3_1월NPS영향도_5}}</t>
  </si>
  <si>
    <t>{{S3_2월NPS영향도_5}}</t>
  </si>
  <si>
    <t>{{S3_3월NPS영향도_5}}</t>
  </si>
  <si>
    <t>{{S3_4월NPS영향도_5}}</t>
  </si>
  <si>
    <t>{{S3_5월NPS영향도_5}}</t>
  </si>
  <si>
    <t>{{S3_6월NPS영향도_5}}</t>
  </si>
  <si>
    <t>{{S3_7월NPS영향도_5}}</t>
  </si>
  <si>
    <t>{{S3_8월NPS영향도_5}}</t>
  </si>
  <si>
    <t>{{S3_9월NPS영향도_5}}</t>
  </si>
  <si>
    <t>{{S3_10월NPS영향도_5}}</t>
  </si>
  <si>
    <t>{{S3_11월NPS영향도_5}}</t>
  </si>
  <si>
    <t>{{S3_12월NPS영향도_5}}</t>
  </si>
  <si>
    <t>{{S3_1월NPS영향도_6}}</t>
  </si>
  <si>
    <t>{{S3_2월NPS영향도_6}}</t>
  </si>
  <si>
    <t>{{S3_3월NPS영향도_6}}</t>
  </si>
  <si>
    <t>{{S3_4월NPS영향도_6}}</t>
  </si>
  <si>
    <t>{{S3_5월NPS영향도_6}}</t>
  </si>
  <si>
    <t>{{S3_6월NPS영향도_6}}</t>
  </si>
  <si>
    <t>{{S3_7월NPS영향도_6}}</t>
  </si>
  <si>
    <t>{{S3_8월NPS영향도_6}}</t>
  </si>
  <si>
    <t>{{S3_9월NPS영향도_6}}</t>
  </si>
  <si>
    <t>{{S3_10월NPS영향도_6}}</t>
  </si>
  <si>
    <t>{{S3_11월NPS영향도_6}}</t>
  </si>
  <si>
    <t>{{S3_12월NPS영향도_6}}</t>
  </si>
  <si>
    <t>{{S3_1월NPS영향도_7}}</t>
  </si>
  <si>
    <t>{{S3_2월NPS영향도_7}}</t>
  </si>
  <si>
    <t>{{S3_3월NPS영향도_7}}</t>
  </si>
  <si>
    <t>{{S3_4월NPS영향도_7}}</t>
  </si>
  <si>
    <t>{{S3_5월NPS영향도_7}}</t>
  </si>
  <si>
    <t>{{S3_6월NPS영향도_7}}</t>
  </si>
  <si>
    <t>{{S3_7월NPS영향도_7}}</t>
  </si>
  <si>
    <t>{{S3_8월NPS영향도_7}}</t>
  </si>
  <si>
    <t>{{S3_9월NPS영향도_7}}</t>
  </si>
  <si>
    <t>{{S3_10월NPS영향도_7}}</t>
  </si>
  <si>
    <t>{{S3_11월NPS영향도_7}}</t>
  </si>
  <si>
    <t>{{S3_12월NPS영향도_7}}</t>
  </si>
  <si>
    <t>{{S3_1월NPS영향도_8}}</t>
  </si>
  <si>
    <t>{{S3_2월NPS영향도_8}}</t>
  </si>
  <si>
    <t>{{S3_3월NPS영향도_8}}</t>
  </si>
  <si>
    <t>{{S3_4월NPS영향도_8}}</t>
  </si>
  <si>
    <t>{{S3_5월NPS영향도_8}}</t>
  </si>
  <si>
    <t>{{S3_6월NPS영향도_8}}</t>
  </si>
  <si>
    <t>{{S3_7월NPS영향도_8}}</t>
  </si>
  <si>
    <t>{{S3_8월NPS영향도_8}}</t>
  </si>
  <si>
    <t>{{S3_9월NPS영향도_8}}</t>
  </si>
  <si>
    <t>{{S3_10월NPS영향도_8}}</t>
  </si>
  <si>
    <t>{{S3_11월NPS영향도_8}}</t>
  </si>
  <si>
    <t>{{S3_12월NPS영향도_8}}</t>
  </si>
  <si>
    <t>{{S3_1월비추천비율_1}}</t>
  </si>
  <si>
    <t>{{S3_2월비추천비율_1}}</t>
  </si>
  <si>
    <t>{{S3_3월비추천비율_1}}</t>
  </si>
  <si>
    <t>{{S3_4월비추천비율_1}}</t>
  </si>
  <si>
    <t>{{S3_5월비추천비율_1}}</t>
  </si>
  <si>
    <t>{{S3_6월비추천비율_1}}</t>
  </si>
  <si>
    <t>{{S3_7월비추천비율_1}}</t>
  </si>
  <si>
    <t>{{S3_8월비추천비율_1}}</t>
  </si>
  <si>
    <t>{{S3_9월비추천비율_1}}</t>
  </si>
  <si>
    <t>{{S3_10월비추천비율_1}}</t>
  </si>
  <si>
    <t>{{S3_11월비추천비율_1}}</t>
  </si>
  <si>
    <t>{{S3_12월비추천비율_1}}</t>
  </si>
  <si>
    <t>{{S3_누적비추천비율_1}}</t>
  </si>
  <si>
    <t>{{S3_1월대비비추천비율차이_1}}</t>
  </si>
  <si>
    <t>{{S3_1월비추천비율_2}}</t>
  </si>
  <si>
    <t>{{S3_2월비추천비율_2}}</t>
  </si>
  <si>
    <t>{{S3_3월비추천비율_2}}</t>
  </si>
  <si>
    <t>{{S3_4월비추천비율_2}}</t>
  </si>
  <si>
    <t>{{S3_5월비추천비율_2}}</t>
  </si>
  <si>
    <t>{{S3_6월비추천비율_2}}</t>
  </si>
  <si>
    <t>{{S3_7월비추천비율_2}}</t>
  </si>
  <si>
    <t>{{S3_8월비추천비율_2}}</t>
  </si>
  <si>
    <t>{{S3_9월비추천비율_2}}</t>
  </si>
  <si>
    <t>{{S3_10월비추천비율_2}}</t>
  </si>
  <si>
    <t>{{S3_11월비추천비율_2}}</t>
  </si>
  <si>
    <t>{{S3_12월비추천비율_2}}</t>
  </si>
  <si>
    <t>{{S3_누적비추천비율_2}}</t>
  </si>
  <si>
    <t>{{S3_1월대비비추천비율차이_2}}</t>
  </si>
  <si>
    <t>{{S3_1월비추천비율_3}}</t>
  </si>
  <si>
    <t>{{S3_2월비추천비율_3}}</t>
  </si>
  <si>
    <t>{{S3_3월비추천비율_3}}</t>
  </si>
  <si>
    <t>{{S3_4월비추천비율_3}}</t>
  </si>
  <si>
    <t>{{S3_5월비추천비율_3}}</t>
  </si>
  <si>
    <t>{{S3_6월비추천비율_3}}</t>
  </si>
  <si>
    <t>{{S3_7월비추천비율_3}}</t>
  </si>
  <si>
    <t>{{S3_8월비추천비율_3}}</t>
  </si>
  <si>
    <t>{{S3_9월비추천비율_3}}</t>
  </si>
  <si>
    <t>{{S3_10월비추천비율_3}}</t>
  </si>
  <si>
    <t>{{S3_11월비추천비율_3}}</t>
  </si>
  <si>
    <t>{{S3_12월비추천비율_3}}</t>
  </si>
  <si>
    <t>{{S3_누적비추천비율_3}}</t>
  </si>
  <si>
    <t>{{S3_1월대비비추천비율차이_3}}</t>
  </si>
  <si>
    <t>{{S3_1월비추천비율_4}}</t>
  </si>
  <si>
    <t>{{S3_2월비추천비율_4}}</t>
  </si>
  <si>
    <t>{{S3_3월비추천비율_4}}</t>
  </si>
  <si>
    <t>{{S3_4월비추천비율_4}}</t>
  </si>
  <si>
    <t>{{S3_5월비추천비율_4}}</t>
  </si>
  <si>
    <t>{{S3_6월비추천비율_4}}</t>
  </si>
  <si>
    <t>{{S3_7월비추천비율_4}}</t>
  </si>
  <si>
    <t>{{S3_8월비추천비율_4}}</t>
  </si>
  <si>
    <t>{{S3_9월비추천비율_4}}</t>
  </si>
  <si>
    <t>{{S3_10월비추천비율_4}}</t>
  </si>
  <si>
    <t>{{S3_11월비추천비율_4}}</t>
  </si>
  <si>
    <t>{{S3_12월비추천비율_4}}</t>
  </si>
  <si>
    <t>{{S3_누적비추천비율_4}}</t>
  </si>
  <si>
    <t>{{S3_1월대비비추천비율차이_4}}</t>
  </si>
  <si>
    <t>{{S3_1월비추천비율_5}}</t>
  </si>
  <si>
    <t>{{S3_2월비추천비율_5}}</t>
  </si>
  <si>
    <t>{{S3_3월비추천비율_5}}</t>
  </si>
  <si>
    <t>{{S3_4월비추천비율_5}}</t>
  </si>
  <si>
    <t>{{S3_5월비추천비율_5}}</t>
  </si>
  <si>
    <t>{{S3_6월비추천비율_5}}</t>
  </si>
  <si>
    <t>{{S3_7월비추천비율_5}}</t>
  </si>
  <si>
    <t>{{S3_8월비추천비율_5}}</t>
  </si>
  <si>
    <t>{{S3_9월비추천비율_5}}</t>
  </si>
  <si>
    <t>{{S3_10월비추천비율_5}}</t>
  </si>
  <si>
    <t>{{S3_11월비추천비율_5}}</t>
  </si>
  <si>
    <t>{{S3_12월비추천비율_5}}</t>
  </si>
  <si>
    <t>{{S3_누적비추천비율_5}}</t>
  </si>
  <si>
    <t>{{S3_1월대비비추천비율차이_5}}</t>
  </si>
  <si>
    <t>{{S3_1월비추천비율_6}}</t>
  </si>
  <si>
    <t>{{S3_2월비추천비율_6}}</t>
  </si>
  <si>
    <t>{{S3_3월비추천비율_6}}</t>
  </si>
  <si>
    <t>{{S3_4월비추천비율_6}}</t>
  </si>
  <si>
    <t>{{S3_5월비추천비율_6}}</t>
  </si>
  <si>
    <t>{{S3_6월비추천비율_6}}</t>
  </si>
  <si>
    <t>{{S3_7월비추천비율_6}}</t>
  </si>
  <si>
    <t>{{S3_8월비추천비율_6}}</t>
  </si>
  <si>
    <t>{{S3_9월비추천비율_6}}</t>
  </si>
  <si>
    <t>{{S3_10월비추천비율_6}}</t>
  </si>
  <si>
    <t>{{S3_11월비추천비율_6}}</t>
  </si>
  <si>
    <t>{{S3_12월비추천비율_6}}</t>
  </si>
  <si>
    <t>{{S3_누적비추천비율_6}}</t>
  </si>
  <si>
    <t>{{S3_1월대비비추천비율차이_6}}</t>
  </si>
  <si>
    <t>{{S3_1월비추천비율_7}}</t>
  </si>
  <si>
    <t>{{S3_2월비추천비율_7}}</t>
  </si>
  <si>
    <t>{{S3_3월비추천비율_7}}</t>
  </si>
  <si>
    <t>{{S3_4월비추천비율_7}}</t>
  </si>
  <si>
    <t>{{S3_5월비추천비율_7}}</t>
  </si>
  <si>
    <t>{{S3_6월비추천비율_7}}</t>
  </si>
  <si>
    <t>{{S3_7월비추천비율_7}}</t>
  </si>
  <si>
    <t>{{S3_8월비추천비율_7}}</t>
  </si>
  <si>
    <t>{{S3_9월비추천비율_7}}</t>
  </si>
  <si>
    <t>{{S3_10월비추천비율_7}}</t>
  </si>
  <si>
    <t>{{S3_11월비추천비율_7}}</t>
  </si>
  <si>
    <t>{{S3_12월비추천비율_7}}</t>
  </si>
  <si>
    <t>{{S3_누적비추천비율_7}}</t>
  </si>
  <si>
    <t>{{S3_1월대비비추천비율차이_7}}</t>
  </si>
  <si>
    <t>{{S3_1월비추천비율_8}}</t>
  </si>
  <si>
    <t>{{S3_2월비추천비율_8}}</t>
  </si>
  <si>
    <t>{{S3_3월비추천비율_8}}</t>
  </si>
  <si>
    <t>{{S3_4월비추천비율_8}}</t>
  </si>
  <si>
    <t>{{S3_5월비추천비율_8}}</t>
  </si>
  <si>
    <t>{{S3_6월비추천비율_8}}</t>
  </si>
  <si>
    <t>{{S3_7월비추천비율_8}}</t>
  </si>
  <si>
    <t>{{S3_8월비추천비율_8}}</t>
  </si>
  <si>
    <t>{{S3_9월비추천비율_8}}</t>
  </si>
  <si>
    <t>{{S3_10월비추천비율_8}}</t>
  </si>
  <si>
    <t>{{S3_11월비추천비율_8}}</t>
  </si>
  <si>
    <t>{{S3_12월비추천비율_8}}</t>
  </si>
  <si>
    <t>{{S3_누적비추천비율_8}}</t>
  </si>
  <si>
    <t>{{S3_1월대비비추천비율차이_8}}</t>
  </si>
  <si>
    <t>1월고객경험단계NPS</t>
  </si>
  <si>
    <t>{{S10_1월고객경험단계NPS_1}}</t>
  </si>
  <si>
    <t>{{S10_1월고객경험단계NPS_2}}</t>
  </si>
  <si>
    <t>{{S10_1월고객경험단계NPS_3}}</t>
  </si>
  <si>
    <t>{{S10_1월고객경험단계NPS_4}}</t>
  </si>
  <si>
    <t>{{S10_1월고객경험단계NPS_5}}</t>
  </si>
  <si>
    <t>{{S10_1월고객경험단계NPS_6}}</t>
  </si>
  <si>
    <t>{{S10_1월고객경험단계NPS_7}}</t>
  </si>
  <si>
    <t>{{S10_1월고객경험단계NPS_8}}</t>
  </si>
  <si>
    <t>{{S10_1월고객경험단계NPS_9}}</t>
  </si>
  <si>
    <t>{{S10_1월고객경험단계NPS_10}}</t>
  </si>
  <si>
    <t>{{S10_1월고객경험단계NPS_11}}</t>
  </si>
  <si>
    <t>{{S10_1월고객경험단계NPS_12}}</t>
  </si>
  <si>
    <t>{{S10_1월고객경험단계NPS_13}}</t>
  </si>
  <si>
    <t>{{S10_1월고객경험단계NPS_14}}</t>
  </si>
  <si>
    <t>{{S10_1월고객경험단계NPS_15}}</t>
  </si>
  <si>
    <t>{{S10_1월고객경험단계NPS_16}}</t>
  </si>
  <si>
    <t>{{S10_1월고객경험단계NPS_17}}</t>
  </si>
  <si>
    <t>{{S10_1월고객경험단계NPS_18}}</t>
  </si>
  <si>
    <t>{{S10_1월고객경험단계NPS_19}}</t>
  </si>
  <si>
    <t>{{S10_1월고객경험단계NPS_20}}</t>
  </si>
  <si>
    <t>{{S10_1월고객경험단계NPS_21}}</t>
  </si>
  <si>
    <t>{{S10_1월고객경험단계NPS_22}}</t>
  </si>
  <si>
    <t>{{S10_1월고객경험단계NPS_23}}</t>
  </si>
  <si>
    <t>{{S10_1월고객경험단계NPS_24}}</t>
  </si>
  <si>
    <t>{{S10_1월고객경험단계NPS_25}}</t>
  </si>
  <si>
    <t>{{S10_1월고객경험단계NPS_26}}</t>
  </si>
  <si>
    <t>{{S10_1월고객경험단계NPS_27}}</t>
  </si>
  <si>
    <t>{{S10_1월고객경험단계NPS_28}}</t>
  </si>
  <si>
    <t>{{S10_1월고객경험단계NPS_29}}</t>
  </si>
  <si>
    <t>{{S10_1월고객경험단계NPS_30}}</t>
  </si>
  <si>
    <t>{{S10_1월고객경험단계NPS_31}}</t>
  </si>
  <si>
    <t>{{S10_1월고객경험단계NPS_32}}</t>
  </si>
  <si>
    <t>{{S10_1월고객경험단계NPS_33}}</t>
  </si>
  <si>
    <t>{{S10_1월고객경험단계NPS_34}}</t>
  </si>
  <si>
    <t>{{S10_1월고객경험단계NPS_35}}</t>
  </si>
  <si>
    <t>{{S10_1월고객경험단계NPS_36}}</t>
  </si>
  <si>
    <t>{{S10_1월고객경험단계NPS_37}}</t>
  </si>
  <si>
    <t>{{S10_1월고객경험단계NPS_38}}</t>
  </si>
  <si>
    <t>{{S10_1월고객경험단계NPS_39}}</t>
  </si>
  <si>
    <t>{{S10_1월고객경험단계NPS_40}}</t>
  </si>
  <si>
    <t>누적고객경험단계NPS</t>
  </si>
  <si>
    <t>{{S10_누적고객경험단계NPS_1}}</t>
  </si>
  <si>
    <t>{{S10_누적고객경험단계NPS_2}}</t>
  </si>
  <si>
    <t>{{S10_누적고객경험단계NPS_3}}</t>
  </si>
  <si>
    <t>{{S10_누적고객경험단계NPS_4}}</t>
  </si>
  <si>
    <t>{{S10_누적고객경험단계NPS_5}}</t>
  </si>
  <si>
    <t>{{S10_누적고객경험단계NPS_6}}</t>
  </si>
  <si>
    <t>{{S10_누적고객경험단계NPS_7}}</t>
  </si>
  <si>
    <t>{{S10_누적고객경험단계NPS_8}}</t>
  </si>
  <si>
    <t>{{S10_누적고객경험단계NPS_9}}</t>
  </si>
  <si>
    <t>{{S10_누적고객경험단계NPS_10}}</t>
  </si>
  <si>
    <t>{{S10_누적고객경험단계NPS_11}}</t>
  </si>
  <si>
    <t>{{S10_누적고객경험단계NPS_12}}</t>
  </si>
  <si>
    <t>{{S10_누적고객경험단계NPS_13}}</t>
  </si>
  <si>
    <t>{{S10_누적고객경험단계NPS_14}}</t>
  </si>
  <si>
    <t>{{S10_누적고객경험단계NPS_15}}</t>
  </si>
  <si>
    <t>{{S10_누적고객경험단계NPS_16}}</t>
  </si>
  <si>
    <t>{{S10_누적고객경험단계NPS_17}}</t>
  </si>
  <si>
    <t>{{S10_누적고객경험단계NPS_18}}</t>
  </si>
  <si>
    <t>{{S10_누적고객경험단계NPS_19}}</t>
  </si>
  <si>
    <t>{{S10_누적고객경험단계NPS_20}}</t>
  </si>
  <si>
    <t>{{S10_누적고객경험단계NPS_21}}</t>
  </si>
  <si>
    <t>{{S10_누적고객경험단계NPS_22}}</t>
  </si>
  <si>
    <t>{{S10_누적고객경험단계NPS_23}}</t>
  </si>
  <si>
    <t>{{S10_누적고객경험단계NPS_24}}</t>
  </si>
  <si>
    <t>{{S10_누적고객경험단계NPS_25}}</t>
  </si>
  <si>
    <t>{{S10_누적고객경험단계NPS_26}}</t>
  </si>
  <si>
    <t>{{S10_누적고객경험단계NPS_27}}</t>
  </si>
  <si>
    <t>{{S10_누적고객경험단계NPS_28}}</t>
  </si>
  <si>
    <t>{{S10_누적고객경험단계NPS_29}}</t>
  </si>
  <si>
    <t>{{S10_누적고객경험단계NPS_30}}</t>
  </si>
  <si>
    <t>{{S10_누적고객경험단계NPS_31}}</t>
  </si>
  <si>
    <t>{{S10_누적고객경험단계NPS_32}}</t>
  </si>
  <si>
    <t>{{S10_누적고객경험단계NPS_33}}</t>
  </si>
  <si>
    <t>{{S10_누적고객경험단계NPS_34}}</t>
  </si>
  <si>
    <t>{{S10_누적고객경험단계NPS_35}}</t>
  </si>
  <si>
    <t>{{S10_누적고객경험단계NPS_36}}</t>
  </si>
  <si>
    <t>{{S10_누적고객경험단계NPS_37}}</t>
  </si>
  <si>
    <t>{{S10_누적고객경험단계NPS_38}}</t>
  </si>
  <si>
    <t>{{S10_누적고객경험단계NPS_39}}</t>
  </si>
  <si>
    <t>{{S10_누적고객경험단계NPS_40}}</t>
  </si>
  <si>
    <t>1월대비고객경험단계NPS차이</t>
  </si>
  <si>
    <t>{{S10_1월대비고객경험단계NPS차이_1}}</t>
  </si>
  <si>
    <t>{{S10_1월대비고객경험단계NPS차이_2}}</t>
  </si>
  <si>
    <t>{{S10_1월대비고객경험단계NPS차이_3}}</t>
  </si>
  <si>
    <t>{{S10_1월대비고객경험단계NPS차이_4}}</t>
  </si>
  <si>
    <t>{{S10_1월대비고객경험단계NPS차이_5}}</t>
  </si>
  <si>
    <t>{{S10_1월대비고객경험단계NPS차이_6}}</t>
  </si>
  <si>
    <t>{{S10_1월대비고객경험단계NPS차이_7}}</t>
  </si>
  <si>
    <t>{{S10_1월대비고객경험단계NPS차이_8}}</t>
  </si>
  <si>
    <t>{{S10_1월대비고객경험단계NPS차이_9}}</t>
  </si>
  <si>
    <t>{{S10_1월대비고객경험단계NPS차이_10}}</t>
  </si>
  <si>
    <t>{{S10_1월대비고객경험단계NPS차이_11}}</t>
  </si>
  <si>
    <t>{{S10_1월대비고객경험단계NPS차이_12}}</t>
  </si>
  <si>
    <t>{{S10_1월대비고객경험단계NPS차이_13}}</t>
  </si>
  <si>
    <t>{{S10_1월대비고객경험단계NPS차이_14}}</t>
  </si>
  <si>
    <t>{{S10_1월대비고객경험단계NPS차이_15}}</t>
  </si>
  <si>
    <t>{{S10_1월대비고객경험단계NPS차이_16}}</t>
  </si>
  <si>
    <t>{{S10_1월대비고객경험단계NPS차이_17}}</t>
  </si>
  <si>
    <t>{{S10_1월대비고객경험단계NPS차이_18}}</t>
  </si>
  <si>
    <t>{{S10_1월대비고객경험단계NPS차이_19}}</t>
  </si>
  <si>
    <t>{{S10_1월대비고객경험단계NPS차이_20}}</t>
  </si>
  <si>
    <t>{{S10_1월대비고객경험단계NPS차이_21}}</t>
  </si>
  <si>
    <t>{{S10_1월대비고객경험단계NPS차이_22}}</t>
  </si>
  <si>
    <t>{{S10_1월대비고객경험단계NPS차이_23}}</t>
  </si>
  <si>
    <t>{{S10_1월대비고객경험단계NPS차이_24}}</t>
  </si>
  <si>
    <t>{{S10_1월대비고객경험단계NPS차이_25}}</t>
  </si>
  <si>
    <t>{{S10_1월대비고객경험단계NPS차이_26}}</t>
  </si>
  <si>
    <t>{{S10_1월대비고객경험단계NPS차이_27}}</t>
  </si>
  <si>
    <t>{{S10_1월대비고객경험단계NPS차이_28}}</t>
  </si>
  <si>
    <t>{{S10_1월대비고객경험단계NPS차이_29}}</t>
  </si>
  <si>
    <t>{{S10_1월대비고객경험단계NPS차이_30}}</t>
  </si>
  <si>
    <t>{{S10_1월대비고객경험단계NPS차이_31}}</t>
  </si>
  <si>
    <t>{{S10_1월대비고객경험단계NPS차이_32}}</t>
  </si>
  <si>
    <t>{{S10_1월대비고객경험단계NPS차이_33}}</t>
  </si>
  <si>
    <t>{{S10_1월대비고객경험단계NPS차이_34}}</t>
  </si>
  <si>
    <t>{{S10_1월대비고객경험단계NPS차이_35}}</t>
  </si>
  <si>
    <t>{{S10_1월대비고객경험단계NPS차이_36}}</t>
  </si>
  <si>
    <t>{{S10_1월대비고객경험단계NPS차이_37}}</t>
  </si>
  <si>
    <t>{{S10_1월대비고객경험단계NPS차이_38}}</t>
  </si>
  <si>
    <t>{{S10_1월대비고객경험단계NPS차이_39}}</t>
  </si>
  <si>
    <t>{{S10_1월대비고객경험단계NPS차이_40}}</t>
  </si>
  <si>
    <t>【NSS】 {{S7_script1}}</t>
    <phoneticPr fontId="1" type="noConversion"/>
  </si>
  <si>
    <t>【채널별 NSS】 {{S7_script3}}</t>
    <phoneticPr fontId="1" type="noConversion"/>
  </si>
  <si>
    <t>【채널별 CCI】 {{S8_script3}}</t>
    <phoneticPr fontId="1" type="noConversion"/>
  </si>
  <si>
    <t>【CCI】 {{S8_script1}}</t>
    <phoneticPr fontId="1" type="noConversion"/>
  </si>
  <si>
    <t>【NPS】 {{S6_script1}}</t>
    <phoneticPr fontId="1" type="noConversion"/>
  </si>
  <si>
    <t>- {{S6_script2}}</t>
    <phoneticPr fontId="1" type="noConversion"/>
  </si>
  <si>
    <t>【NPS 영향도】 {{S6_script3}}</t>
    <phoneticPr fontId="1" type="noConversion"/>
  </si>
  <si>
    <t>【NPS】 {{S5_script1}}</t>
    <phoneticPr fontId="1" type="noConversion"/>
  </si>
  <si>
    <t>- {{S5_script2}}</t>
    <phoneticPr fontId="1" type="noConversion"/>
  </si>
  <si>
    <t>【NPS 영향도】 {{S5_script3}}</t>
    <phoneticPr fontId="1" type="noConversion"/>
  </si>
  <si>
    <t>【NPS】 {{S4_script1}}</t>
    <phoneticPr fontId="1" type="noConversion"/>
  </si>
  <si>
    <t>- {{S4_script2}}</t>
    <phoneticPr fontId="1" type="noConversion"/>
  </si>
  <si>
    <t>【NPS 영향도】 {{S4_script3}}</t>
    <phoneticPr fontId="1" type="noConversion"/>
  </si>
  <si>
    <t>【NPS 영향도】 {{S3_script3}}</t>
    <phoneticPr fontId="1" type="noConversion"/>
  </si>
  <si>
    <t>【NPS】 {{S3_script1}}</t>
    <phoneticPr fontId="1" type="noConversion"/>
  </si>
  <si>
    <t>- {{S3_script2}}</t>
    <phoneticPr fontId="1" type="noConversion"/>
  </si>
  <si>
    <t>【NPS】 {{S2_script1}}</t>
    <phoneticPr fontId="2" type="noConversion"/>
  </si>
  <si>
    <t>- {{S2_script2}}</t>
    <phoneticPr fontId="2" type="noConversion"/>
  </si>
  <si>
    <t>【채널별 NPS】 {{S2_script3}}</t>
    <phoneticPr fontId="2" type="noConversion"/>
  </si>
  <si>
    <t>{{S4_1월NPS영향도_1}}</t>
  </si>
  <si>
    <t>{{S4_2월NPS영향도_1}}</t>
  </si>
  <si>
    <t>{{S4_3월NPS영향도_1}}</t>
  </si>
  <si>
    <t>{{S4_4월NPS영향도_1}}</t>
  </si>
  <si>
    <t>{{S4_5월NPS영향도_1}}</t>
  </si>
  <si>
    <t>{{S4_6월NPS영향도_1}}</t>
  </si>
  <si>
    <t>{{S4_7월NPS영향도_1}}</t>
  </si>
  <si>
    <t>{{S4_8월NPS영향도_1}}</t>
  </si>
  <si>
    <t>{{S4_9월NPS영향도_1}}</t>
  </si>
  <si>
    <t>{{S4_10월NPS영향도_1}}</t>
  </si>
  <si>
    <t>{{S4_11월NPS영향도_1}}</t>
  </si>
  <si>
    <t>{{S4_12월NPS영향도_1}}</t>
  </si>
  <si>
    <t>{{S4_누적NPS영향도_1}}</t>
  </si>
  <si>
    <t>{{S4_1월대비NPS영향도차이_1}}</t>
  </si>
  <si>
    <t>{{S4_1월NPS영향도_2}}</t>
  </si>
  <si>
    <t>{{S4_2월NPS영향도_2}}</t>
  </si>
  <si>
    <t>{{S4_3월NPS영향도_2}}</t>
  </si>
  <si>
    <t>{{S4_4월NPS영향도_2}}</t>
  </si>
  <si>
    <t>{{S4_5월NPS영향도_2}}</t>
  </si>
  <si>
    <t>{{S4_6월NPS영향도_2}}</t>
  </si>
  <si>
    <t>{{S4_7월NPS영향도_2}}</t>
  </si>
  <si>
    <t>{{S4_8월NPS영향도_2}}</t>
  </si>
  <si>
    <t>{{S4_9월NPS영향도_2}}</t>
  </si>
  <si>
    <t>{{S4_10월NPS영향도_2}}</t>
  </si>
  <si>
    <t>{{S4_11월NPS영향도_2}}</t>
  </si>
  <si>
    <t>{{S4_12월NPS영향도_2}}</t>
  </si>
  <si>
    <t>{{S4_누적NPS영향도_2}}</t>
  </si>
  <si>
    <t>{{S4_1월대비NPS영향도차이_2}}</t>
  </si>
  <si>
    <t>{{S4_1월NPS영향도_3}}</t>
  </si>
  <si>
    <t>{{S4_2월NPS영향도_3}}</t>
  </si>
  <si>
    <t>{{S4_3월NPS영향도_3}}</t>
  </si>
  <si>
    <t>{{S4_4월NPS영향도_3}}</t>
  </si>
  <si>
    <t>{{S4_5월NPS영향도_3}}</t>
  </si>
  <si>
    <t>{{S4_6월NPS영향도_3}}</t>
  </si>
  <si>
    <t>{{S4_7월NPS영향도_3}}</t>
  </si>
  <si>
    <t>{{S4_8월NPS영향도_3}}</t>
  </si>
  <si>
    <t>{{S4_9월NPS영향도_3}}</t>
  </si>
  <si>
    <t>{{S4_10월NPS영향도_3}}</t>
  </si>
  <si>
    <t>{{S4_11월NPS영향도_3}}</t>
  </si>
  <si>
    <t>{{S4_12월NPS영향도_3}}</t>
  </si>
  <si>
    <t>{{S4_누적NPS영향도_3}}</t>
  </si>
  <si>
    <t>{{S4_1월대비NPS영향도차이_3}}</t>
  </si>
  <si>
    <t>{{S4_1월NPS영향도_4}}</t>
  </si>
  <si>
    <t>{{S4_2월NPS영향도_4}}</t>
  </si>
  <si>
    <t>{{S4_3월NPS영향도_4}}</t>
  </si>
  <si>
    <t>{{S4_4월NPS영향도_4}}</t>
  </si>
  <si>
    <t>{{S4_5월NPS영향도_4}}</t>
  </si>
  <si>
    <t>{{S4_6월NPS영향도_4}}</t>
  </si>
  <si>
    <t>{{S4_7월NPS영향도_4}}</t>
  </si>
  <si>
    <t>{{S4_8월NPS영향도_4}}</t>
  </si>
  <si>
    <t>{{S4_9월NPS영향도_4}}</t>
  </si>
  <si>
    <t>{{S4_10월NPS영향도_4}}</t>
  </si>
  <si>
    <t>{{S4_11월NPS영향도_4}}</t>
  </si>
  <si>
    <t>{{S4_12월NPS영향도_4}}</t>
  </si>
  <si>
    <t>{{S4_누적NPS영향도_4}}</t>
  </si>
  <si>
    <t>{{S4_1월대비NPS영향도차이_4}}</t>
  </si>
  <si>
    <t>{{S4_1월NPS영향도_5}}</t>
  </si>
  <si>
    <t>{{S4_2월NPS영향도_5}}</t>
  </si>
  <si>
    <t>{{S4_3월NPS영향도_5}}</t>
  </si>
  <si>
    <t>{{S4_4월NPS영향도_5}}</t>
  </si>
  <si>
    <t>{{S4_5월NPS영향도_5}}</t>
  </si>
  <si>
    <t>{{S4_6월NPS영향도_5}}</t>
  </si>
  <si>
    <t>{{S4_7월NPS영향도_5}}</t>
  </si>
  <si>
    <t>{{S4_8월NPS영향도_5}}</t>
  </si>
  <si>
    <t>{{S4_9월NPS영향도_5}}</t>
  </si>
  <si>
    <t>{{S4_10월NPS영향도_5}}</t>
  </si>
  <si>
    <t>{{S4_11월NPS영향도_5}}</t>
  </si>
  <si>
    <t>{{S4_12월NPS영향도_5}}</t>
  </si>
  <si>
    <t>{{S4_누적NPS영향도_5}}</t>
  </si>
  <si>
    <t>{{S4_1월대비NPS영향도차이_5}}</t>
  </si>
  <si>
    <t>{{S4_1월비추천비율_1}}</t>
  </si>
  <si>
    <t>{{S4_2월비추천비율_1}}</t>
  </si>
  <si>
    <t>{{S4_3월비추천비율_1}}</t>
  </si>
  <si>
    <t>{{S4_4월비추천비율_1}}</t>
  </si>
  <si>
    <t>{{S4_5월비추천비율_1}}</t>
  </si>
  <si>
    <t>{{S4_6월비추천비율_1}}</t>
  </si>
  <si>
    <t>{{S4_7월비추천비율_1}}</t>
  </si>
  <si>
    <t>{{S4_8월비추천비율_1}}</t>
  </si>
  <si>
    <t>{{S4_9월비추천비율_1}}</t>
  </si>
  <si>
    <t>{{S4_10월비추천비율_1}}</t>
  </si>
  <si>
    <t>{{S4_11월비추천비율_1}}</t>
  </si>
  <si>
    <t>{{S4_12월비추천비율_1}}</t>
  </si>
  <si>
    <t>{{S4_누적비추천비율_1}}</t>
  </si>
  <si>
    <t>{{S4_1월대비비추천비율차이_1}}</t>
  </si>
  <si>
    <t>{{S4_1월비추천비율_2}}</t>
  </si>
  <si>
    <t>{{S4_2월비추천비율_2}}</t>
  </si>
  <si>
    <t>{{S4_3월비추천비율_2}}</t>
  </si>
  <si>
    <t>{{S4_4월비추천비율_2}}</t>
  </si>
  <si>
    <t>{{S4_5월비추천비율_2}}</t>
  </si>
  <si>
    <t>{{S4_6월비추천비율_2}}</t>
  </si>
  <si>
    <t>{{S4_7월비추천비율_2}}</t>
  </si>
  <si>
    <t>{{S4_8월비추천비율_2}}</t>
  </si>
  <si>
    <t>{{S4_9월비추천비율_2}}</t>
  </si>
  <si>
    <t>{{S4_10월비추천비율_2}}</t>
  </si>
  <si>
    <t>{{S4_11월비추천비율_2}}</t>
  </si>
  <si>
    <t>{{S4_12월비추천비율_2}}</t>
  </si>
  <si>
    <t>{{S4_누적비추천비율_2}}</t>
  </si>
  <si>
    <t>{{S4_1월대비비추천비율차이_2}}</t>
  </si>
  <si>
    <t>{{S4_1월비추천비율_3}}</t>
  </si>
  <si>
    <t>{{S4_2월비추천비율_3}}</t>
  </si>
  <si>
    <t>{{S4_3월비추천비율_3}}</t>
  </si>
  <si>
    <t>{{S4_4월비추천비율_3}}</t>
  </si>
  <si>
    <t>{{S4_5월비추천비율_3}}</t>
  </si>
  <si>
    <t>{{S4_6월비추천비율_3}}</t>
  </si>
  <si>
    <t>{{S4_7월비추천비율_3}}</t>
  </si>
  <si>
    <t>{{S4_8월비추천비율_3}}</t>
  </si>
  <si>
    <t>{{S4_9월비추천비율_3}}</t>
  </si>
  <si>
    <t>{{S4_10월비추천비율_3}}</t>
  </si>
  <si>
    <t>{{S4_11월비추천비율_3}}</t>
  </si>
  <si>
    <t>{{S4_12월비추천비율_3}}</t>
  </si>
  <si>
    <t>{{S4_누적비추천비율_3}}</t>
  </si>
  <si>
    <t>{{S4_1월대비비추천비율차이_3}}</t>
  </si>
  <si>
    <t>{{S4_1월비추천비율_4}}</t>
  </si>
  <si>
    <t>{{S4_2월비추천비율_4}}</t>
  </si>
  <si>
    <t>{{S4_3월비추천비율_4}}</t>
  </si>
  <si>
    <t>{{S4_4월비추천비율_4}}</t>
  </si>
  <si>
    <t>{{S4_5월비추천비율_4}}</t>
  </si>
  <si>
    <t>{{S4_6월비추천비율_4}}</t>
  </si>
  <si>
    <t>{{S4_7월비추천비율_4}}</t>
  </si>
  <si>
    <t>{{S4_8월비추천비율_4}}</t>
  </si>
  <si>
    <t>{{S4_9월비추천비율_4}}</t>
  </si>
  <si>
    <t>{{S4_10월비추천비율_4}}</t>
  </si>
  <si>
    <t>{{S4_11월비추천비율_4}}</t>
  </si>
  <si>
    <t>{{S4_12월비추천비율_4}}</t>
  </si>
  <si>
    <t>{{S4_누적비추천비율_4}}</t>
  </si>
  <si>
    <t>{{S4_1월대비비추천비율차이_4}}</t>
  </si>
  <si>
    <t>{{S4_1월비추천비율_5}}</t>
  </si>
  <si>
    <t>{{S4_2월비추천비율_5}}</t>
  </si>
  <si>
    <t>{{S4_3월비추천비율_5}}</t>
  </si>
  <si>
    <t>{{S4_4월비추천비율_5}}</t>
  </si>
  <si>
    <t>{{S4_5월비추천비율_5}}</t>
  </si>
  <si>
    <t>{{S4_6월비추천비율_5}}</t>
  </si>
  <si>
    <t>{{S4_7월비추천비율_5}}</t>
  </si>
  <si>
    <t>{{S4_8월비추천비율_5}}</t>
  </si>
  <si>
    <t>{{S4_9월비추천비율_5}}</t>
  </si>
  <si>
    <t>{{S4_10월비추천비율_5}}</t>
  </si>
  <si>
    <t>{{S4_11월비추천비율_5}}</t>
  </si>
  <si>
    <t>{{S4_12월비추천비율_5}}</t>
  </si>
  <si>
    <t>{{S4_누적비추천비율_5}}</t>
  </si>
  <si>
    <t>{{S4_1월대비비추천비율차이_5}}</t>
  </si>
  <si>
    <t>{{S5_1월NPS영향도_1}}</t>
  </si>
  <si>
    <t>{{S5_2월NPS영향도_1}}</t>
  </si>
  <si>
    <t>{{S5_3월NPS영향도_1}}</t>
  </si>
  <si>
    <t>{{S5_4월NPS영향도_1}}</t>
  </si>
  <si>
    <t>{{S5_5월NPS영향도_1}}</t>
  </si>
  <si>
    <t>{{S5_6월NPS영향도_1}}</t>
  </si>
  <si>
    <t>{{S5_7월NPS영향도_1}}</t>
  </si>
  <si>
    <t>{{S5_8월NPS영향도_1}}</t>
  </si>
  <si>
    <t>{{S5_9월NPS영향도_1}}</t>
  </si>
  <si>
    <t>{{S5_10월NPS영향도_1}}</t>
  </si>
  <si>
    <t>{{S5_11월NPS영향도_1}}</t>
  </si>
  <si>
    <t>{{S5_12월NPS영향도_1}}</t>
  </si>
  <si>
    <t>{{S5_누적NPS영향도_1}}</t>
  </si>
  <si>
    <t>{{S5_1월대비NPS영향도차이_1}}</t>
  </si>
  <si>
    <t>{{S5_1월NPS영향도_2}}</t>
  </si>
  <si>
    <t>{{S5_2월NPS영향도_2}}</t>
  </si>
  <si>
    <t>{{S5_3월NPS영향도_2}}</t>
  </si>
  <si>
    <t>{{S5_4월NPS영향도_2}}</t>
  </si>
  <si>
    <t>{{S5_5월NPS영향도_2}}</t>
  </si>
  <si>
    <t>{{S5_6월NPS영향도_2}}</t>
  </si>
  <si>
    <t>{{S5_7월NPS영향도_2}}</t>
  </si>
  <si>
    <t>{{S5_8월NPS영향도_2}}</t>
  </si>
  <si>
    <t>{{S5_9월NPS영향도_2}}</t>
  </si>
  <si>
    <t>{{S5_10월NPS영향도_2}}</t>
  </si>
  <si>
    <t>{{S5_11월NPS영향도_2}}</t>
  </si>
  <si>
    <t>{{S5_12월NPS영향도_2}}</t>
  </si>
  <si>
    <t>{{S5_누적NPS영향도_2}}</t>
  </si>
  <si>
    <t>{{S5_1월대비NPS영향도차이_2}}</t>
  </si>
  <si>
    <t>{{S5_1월NPS영향도_3}}</t>
  </si>
  <si>
    <t>{{S5_2월NPS영향도_3}}</t>
  </si>
  <si>
    <t>{{S5_3월NPS영향도_3}}</t>
  </si>
  <si>
    <t>{{S5_4월NPS영향도_3}}</t>
  </si>
  <si>
    <t>{{S5_5월NPS영향도_3}}</t>
  </si>
  <si>
    <t>{{S5_6월NPS영향도_3}}</t>
  </si>
  <si>
    <t>{{S5_7월NPS영향도_3}}</t>
  </si>
  <si>
    <t>{{S5_8월NPS영향도_3}}</t>
  </si>
  <si>
    <t>{{S5_9월NPS영향도_3}}</t>
  </si>
  <si>
    <t>{{S5_10월NPS영향도_3}}</t>
  </si>
  <si>
    <t>{{S5_11월NPS영향도_3}}</t>
  </si>
  <si>
    <t>{{S5_12월NPS영향도_3}}</t>
  </si>
  <si>
    <t>{{S5_누적NPS영향도_3}}</t>
  </si>
  <si>
    <t>{{S5_1월대비NPS영향도차이_3}}</t>
  </si>
  <si>
    <t>{{S5_1월NPS영향도_4}}</t>
  </si>
  <si>
    <t>{{S5_2월NPS영향도_4}}</t>
  </si>
  <si>
    <t>{{S5_3월NPS영향도_4}}</t>
  </si>
  <si>
    <t>{{S5_4월NPS영향도_4}}</t>
  </si>
  <si>
    <t>{{S5_5월NPS영향도_4}}</t>
  </si>
  <si>
    <t>{{S5_6월NPS영향도_4}}</t>
  </si>
  <si>
    <t>{{S5_7월NPS영향도_4}}</t>
  </si>
  <si>
    <t>{{S5_8월NPS영향도_4}}</t>
  </si>
  <si>
    <t>{{S5_9월NPS영향도_4}}</t>
  </si>
  <si>
    <t>{{S5_10월NPS영향도_4}}</t>
  </si>
  <si>
    <t>{{S5_11월NPS영향도_4}}</t>
  </si>
  <si>
    <t>{{S5_12월NPS영향도_4}}</t>
  </si>
  <si>
    <t>{{S5_누적NPS영향도_4}}</t>
  </si>
  <si>
    <t>{{S5_1월대비NPS영향도차이_4}}</t>
  </si>
  <si>
    <t>{{S5_1월NPS영향도_5}}</t>
  </si>
  <si>
    <t>{{S5_2월NPS영향도_5}}</t>
  </si>
  <si>
    <t>{{S5_3월NPS영향도_5}}</t>
  </si>
  <si>
    <t>{{S5_4월NPS영향도_5}}</t>
  </si>
  <si>
    <t>{{S5_5월NPS영향도_5}}</t>
  </si>
  <si>
    <t>{{S5_6월NPS영향도_5}}</t>
  </si>
  <si>
    <t>{{S5_7월NPS영향도_5}}</t>
  </si>
  <si>
    <t>{{S5_8월NPS영향도_5}}</t>
  </si>
  <si>
    <t>{{S5_9월NPS영향도_5}}</t>
  </si>
  <si>
    <t>{{S5_10월NPS영향도_5}}</t>
  </si>
  <si>
    <t>{{S5_11월NPS영향도_5}}</t>
  </si>
  <si>
    <t>{{S5_12월NPS영향도_5}}</t>
  </si>
  <si>
    <t>{{S5_누적NPS영향도_5}}</t>
  </si>
  <si>
    <t>{{S5_1월대비NPS영향도차이_5}}</t>
  </si>
  <si>
    <t>{{S5_1월NPS영향도_6}}</t>
  </si>
  <si>
    <t>{{S5_2월NPS영향도_6}}</t>
  </si>
  <si>
    <t>{{S5_3월NPS영향도_6}}</t>
  </si>
  <si>
    <t>{{S5_4월NPS영향도_6}}</t>
  </si>
  <si>
    <t>{{S5_5월NPS영향도_6}}</t>
  </si>
  <si>
    <t>{{S5_6월NPS영향도_6}}</t>
  </si>
  <si>
    <t>{{S5_7월NPS영향도_6}}</t>
  </si>
  <si>
    <t>{{S5_8월NPS영향도_6}}</t>
  </si>
  <si>
    <t>{{S5_9월NPS영향도_6}}</t>
  </si>
  <si>
    <t>{{S5_10월NPS영향도_6}}</t>
  </si>
  <si>
    <t>{{S5_11월NPS영향도_6}}</t>
  </si>
  <si>
    <t>{{S5_12월NPS영향도_6}}</t>
  </si>
  <si>
    <t>{{S5_누적NPS영향도_6}}</t>
  </si>
  <si>
    <t>{{S5_1월대비NPS영향도차이_6}}</t>
  </si>
  <si>
    <t>{{S5_1월비추천비율_1}}</t>
  </si>
  <si>
    <t>{{S5_2월비추천비율_1}}</t>
  </si>
  <si>
    <t>{{S5_3월비추천비율_1}}</t>
  </si>
  <si>
    <t>{{S5_4월비추천비율_1}}</t>
  </si>
  <si>
    <t>{{S5_5월비추천비율_1}}</t>
  </si>
  <si>
    <t>{{S5_6월비추천비율_1}}</t>
  </si>
  <si>
    <t>{{S5_7월비추천비율_1}}</t>
  </si>
  <si>
    <t>{{S5_8월비추천비율_1}}</t>
  </si>
  <si>
    <t>{{S5_9월비추천비율_1}}</t>
  </si>
  <si>
    <t>{{S5_10월비추천비율_1}}</t>
  </si>
  <si>
    <t>{{S5_11월비추천비율_1}}</t>
  </si>
  <si>
    <t>{{S5_12월비추천비율_1}}</t>
  </si>
  <si>
    <t>{{S5_누적비추천비율_1}}</t>
  </si>
  <si>
    <t>{{S5_1월대비비추천비율차이_1}}</t>
  </si>
  <si>
    <t>{{S5_1월비추천비율_2}}</t>
  </si>
  <si>
    <t>{{S5_2월비추천비율_2}}</t>
  </si>
  <si>
    <t>{{S5_3월비추천비율_2}}</t>
  </si>
  <si>
    <t>{{S5_4월비추천비율_2}}</t>
  </si>
  <si>
    <t>{{S5_5월비추천비율_2}}</t>
  </si>
  <si>
    <t>{{S5_6월비추천비율_2}}</t>
  </si>
  <si>
    <t>{{S5_7월비추천비율_2}}</t>
  </si>
  <si>
    <t>{{S5_8월비추천비율_2}}</t>
  </si>
  <si>
    <t>{{S5_9월비추천비율_2}}</t>
  </si>
  <si>
    <t>{{S5_10월비추천비율_2}}</t>
  </si>
  <si>
    <t>{{S5_11월비추천비율_2}}</t>
  </si>
  <si>
    <t>{{S5_12월비추천비율_2}}</t>
  </si>
  <si>
    <t>{{S5_누적비추천비율_2}}</t>
  </si>
  <si>
    <t>{{S5_1월대비비추천비율차이_2}}</t>
  </si>
  <si>
    <t>{{S5_1월비추천비율_3}}</t>
  </si>
  <si>
    <t>{{S5_2월비추천비율_3}}</t>
  </si>
  <si>
    <t>{{S5_3월비추천비율_3}}</t>
  </si>
  <si>
    <t>{{S5_4월비추천비율_3}}</t>
  </si>
  <si>
    <t>{{S5_5월비추천비율_3}}</t>
  </si>
  <si>
    <t>{{S5_6월비추천비율_3}}</t>
  </si>
  <si>
    <t>{{S5_7월비추천비율_3}}</t>
  </si>
  <si>
    <t>{{S5_8월비추천비율_3}}</t>
  </si>
  <si>
    <t>{{S5_9월비추천비율_3}}</t>
  </si>
  <si>
    <t>{{S5_10월비추천비율_3}}</t>
  </si>
  <si>
    <t>{{S5_11월비추천비율_3}}</t>
  </si>
  <si>
    <t>{{S5_12월비추천비율_3}}</t>
  </si>
  <si>
    <t>{{S5_누적비추천비율_3}}</t>
  </si>
  <si>
    <t>{{S5_1월대비비추천비율차이_3}}</t>
  </si>
  <si>
    <t>{{S5_1월비추천비율_4}}</t>
  </si>
  <si>
    <t>{{S5_2월비추천비율_4}}</t>
  </si>
  <si>
    <t>{{S5_3월비추천비율_4}}</t>
  </si>
  <si>
    <t>{{S5_4월비추천비율_4}}</t>
  </si>
  <si>
    <t>{{S5_5월비추천비율_4}}</t>
  </si>
  <si>
    <t>{{S5_6월비추천비율_4}}</t>
  </si>
  <si>
    <t>{{S5_7월비추천비율_4}}</t>
  </si>
  <si>
    <t>{{S5_8월비추천비율_4}}</t>
  </si>
  <si>
    <t>{{S5_9월비추천비율_4}}</t>
  </si>
  <si>
    <t>{{S5_10월비추천비율_4}}</t>
  </si>
  <si>
    <t>{{S5_11월비추천비율_4}}</t>
  </si>
  <si>
    <t>{{S5_12월비추천비율_4}}</t>
  </si>
  <si>
    <t>{{S5_누적비추천비율_4}}</t>
  </si>
  <si>
    <t>{{S5_1월대비비추천비율차이_4}}</t>
  </si>
  <si>
    <t>{{S5_1월비추천비율_5}}</t>
  </si>
  <si>
    <t>{{S5_2월비추천비율_5}}</t>
  </si>
  <si>
    <t>{{S5_3월비추천비율_5}}</t>
  </si>
  <si>
    <t>{{S5_4월비추천비율_5}}</t>
  </si>
  <si>
    <t>{{S5_5월비추천비율_5}}</t>
  </si>
  <si>
    <t>{{S5_6월비추천비율_5}}</t>
  </si>
  <si>
    <t>{{S5_7월비추천비율_5}}</t>
  </si>
  <si>
    <t>{{S5_8월비추천비율_5}}</t>
  </si>
  <si>
    <t>{{S5_9월비추천비율_5}}</t>
  </si>
  <si>
    <t>{{S5_10월비추천비율_5}}</t>
  </si>
  <si>
    <t>{{S5_11월비추천비율_5}}</t>
  </si>
  <si>
    <t>{{S5_12월비추천비율_5}}</t>
  </si>
  <si>
    <t>{{S5_누적비추천비율_5}}</t>
  </si>
  <si>
    <t>{{S5_1월대비비추천비율차이_5}}</t>
  </si>
  <si>
    <t>{{S5_1월비추천비율_6}}</t>
  </si>
  <si>
    <t>{{S5_2월비추천비율_6}}</t>
  </si>
  <si>
    <t>{{S5_3월비추천비율_6}}</t>
  </si>
  <si>
    <t>{{S5_4월비추천비율_6}}</t>
  </si>
  <si>
    <t>{{S5_5월비추천비율_6}}</t>
  </si>
  <si>
    <t>{{S5_6월비추천비율_6}}</t>
  </si>
  <si>
    <t>{{S5_7월비추천비율_6}}</t>
  </si>
  <si>
    <t>{{S5_8월비추천비율_6}}</t>
  </si>
  <si>
    <t>{{S5_9월비추천비율_6}}</t>
  </si>
  <si>
    <t>{{S5_10월비추천비율_6}}</t>
  </si>
  <si>
    <t>{{S5_11월비추천비율_6}}</t>
  </si>
  <si>
    <t>{{S5_12월비추천비율_6}}</t>
  </si>
  <si>
    <t>{{S5_누적비추천비율_6}}</t>
  </si>
  <si>
    <t>{{S5_1월대비비추천비율차이_6}}</t>
  </si>
  <si>
    <t>{{S6_1월NPS영향도_1}}</t>
  </si>
  <si>
    <t>{{S6_2월NPS영향도_1}}</t>
  </si>
  <si>
    <t>{{S6_3월NPS영향도_1}}</t>
  </si>
  <si>
    <t>{{S6_4월NPS영향도_1}}</t>
  </si>
  <si>
    <t>{{S6_5월NPS영향도_1}}</t>
  </si>
  <si>
    <t>{{S6_6월NPS영향도_1}}</t>
  </si>
  <si>
    <t>{{S6_7월NPS영향도_1}}</t>
  </si>
  <si>
    <t>{{S6_8월NPS영향도_1}}</t>
  </si>
  <si>
    <t>{{S6_9월NPS영향도_1}}</t>
  </si>
  <si>
    <t>{{S6_10월NPS영향도_1}}</t>
  </si>
  <si>
    <t>{{S6_11월NPS영향도_1}}</t>
  </si>
  <si>
    <t>{{S6_12월NPS영향도_1}}</t>
  </si>
  <si>
    <t>{{S6_누적NPS영향도_1}}</t>
  </si>
  <si>
    <t>{{S6_1월대비NPS영향도차이_1}}</t>
  </si>
  <si>
    <t>{{S6_1월NPS영향도_2}}</t>
  </si>
  <si>
    <t>{{S6_2월NPS영향도_2}}</t>
  </si>
  <si>
    <t>{{S6_3월NPS영향도_2}}</t>
  </si>
  <si>
    <t>{{S6_4월NPS영향도_2}}</t>
  </si>
  <si>
    <t>{{S6_5월NPS영향도_2}}</t>
  </si>
  <si>
    <t>{{S6_6월NPS영향도_2}}</t>
  </si>
  <si>
    <t>{{S6_7월NPS영향도_2}}</t>
  </si>
  <si>
    <t>{{S6_8월NPS영향도_2}}</t>
  </si>
  <si>
    <t>{{S6_9월NPS영향도_2}}</t>
  </si>
  <si>
    <t>{{S6_10월NPS영향도_2}}</t>
  </si>
  <si>
    <t>{{S6_11월NPS영향도_2}}</t>
  </si>
  <si>
    <t>{{S6_12월NPS영향도_2}}</t>
  </si>
  <si>
    <t>{{S6_누적NPS영향도_2}}</t>
  </si>
  <si>
    <t>{{S6_1월대비NPS영향도차이_2}}</t>
  </si>
  <si>
    <t>{{S6_1월NPS영향도_3}}</t>
  </si>
  <si>
    <t>{{S6_2월NPS영향도_3}}</t>
  </si>
  <si>
    <t>{{S6_3월NPS영향도_3}}</t>
  </si>
  <si>
    <t>{{S6_4월NPS영향도_3}}</t>
  </si>
  <si>
    <t>{{S6_5월NPS영향도_3}}</t>
  </si>
  <si>
    <t>{{S6_6월NPS영향도_3}}</t>
  </si>
  <si>
    <t>{{S6_7월NPS영향도_3}}</t>
  </si>
  <si>
    <t>{{S6_8월NPS영향도_3}}</t>
  </si>
  <si>
    <t>{{S6_9월NPS영향도_3}}</t>
  </si>
  <si>
    <t>{{S6_10월NPS영향도_3}}</t>
  </si>
  <si>
    <t>{{S6_11월NPS영향도_3}}</t>
  </si>
  <si>
    <t>{{S6_12월NPS영향도_3}}</t>
  </si>
  <si>
    <t>{{S6_누적NPS영향도_3}}</t>
  </si>
  <si>
    <t>{{S6_1월대비NPS영향도차이_3}}</t>
  </si>
  <si>
    <t>{{S6_1월NPS영향도_4}}</t>
  </si>
  <si>
    <t>{{S6_2월NPS영향도_4}}</t>
  </si>
  <si>
    <t>{{S6_3월NPS영향도_4}}</t>
  </si>
  <si>
    <t>{{S6_4월NPS영향도_4}}</t>
  </si>
  <si>
    <t>{{S6_5월NPS영향도_4}}</t>
  </si>
  <si>
    <t>{{S6_6월NPS영향도_4}}</t>
  </si>
  <si>
    <t>{{S6_7월NPS영향도_4}}</t>
  </si>
  <si>
    <t>{{S6_8월NPS영향도_4}}</t>
  </si>
  <si>
    <t>{{S6_9월NPS영향도_4}}</t>
  </si>
  <si>
    <t>{{S6_10월NPS영향도_4}}</t>
  </si>
  <si>
    <t>{{S6_11월NPS영향도_4}}</t>
  </si>
  <si>
    <t>{{S6_12월NPS영향도_4}}</t>
  </si>
  <si>
    <t>{{S6_누적NPS영향도_4}}</t>
  </si>
  <si>
    <t>{{S6_1월대비NPS영향도차이_4}}</t>
  </si>
  <si>
    <t>{{S6_1월NPS영향도_5}}</t>
  </si>
  <si>
    <t>{{S6_2월NPS영향도_5}}</t>
  </si>
  <si>
    <t>{{S6_3월NPS영향도_5}}</t>
  </si>
  <si>
    <t>{{S6_4월NPS영향도_5}}</t>
  </si>
  <si>
    <t>{{S6_5월NPS영향도_5}}</t>
  </si>
  <si>
    <t>{{S6_6월NPS영향도_5}}</t>
  </si>
  <si>
    <t>{{S6_7월NPS영향도_5}}</t>
  </si>
  <si>
    <t>{{S6_8월NPS영향도_5}}</t>
  </si>
  <si>
    <t>{{S6_9월NPS영향도_5}}</t>
  </si>
  <si>
    <t>{{S6_10월NPS영향도_5}}</t>
  </si>
  <si>
    <t>{{S6_11월NPS영향도_5}}</t>
  </si>
  <si>
    <t>{{S6_12월NPS영향도_5}}</t>
  </si>
  <si>
    <t>{{S6_누적NPS영향도_5}}</t>
  </si>
  <si>
    <t>{{S6_1월대비NPS영향도차이_5}}</t>
  </si>
  <si>
    <t>{{S6_1월NPS영향도_6}}</t>
  </si>
  <si>
    <t>{{S6_2월NPS영향도_6}}</t>
  </si>
  <si>
    <t>{{S6_3월NPS영향도_6}}</t>
  </si>
  <si>
    <t>{{S6_4월NPS영향도_6}}</t>
  </si>
  <si>
    <t>{{S6_5월NPS영향도_6}}</t>
  </si>
  <si>
    <t>{{S6_6월NPS영향도_6}}</t>
  </si>
  <si>
    <t>{{S6_7월NPS영향도_6}}</t>
  </si>
  <si>
    <t>{{S6_8월NPS영향도_6}}</t>
  </si>
  <si>
    <t>{{S6_9월NPS영향도_6}}</t>
  </si>
  <si>
    <t>{{S6_10월NPS영향도_6}}</t>
  </si>
  <si>
    <t>{{S6_11월NPS영향도_6}}</t>
  </si>
  <si>
    <t>{{S6_12월NPS영향도_6}}</t>
  </si>
  <si>
    <t>{{S6_누적NPS영향도_6}}</t>
  </si>
  <si>
    <t>{{S6_1월대비NPS영향도차이_6}}</t>
  </si>
  <si>
    <t>{{S6_1월비추천비율_1}}</t>
  </si>
  <si>
    <t>{{S6_2월비추천비율_1}}</t>
  </si>
  <si>
    <t>{{S6_3월비추천비율_1}}</t>
  </si>
  <si>
    <t>{{S6_4월비추천비율_1}}</t>
  </si>
  <si>
    <t>{{S6_5월비추천비율_1}}</t>
  </si>
  <si>
    <t>{{S6_6월비추천비율_1}}</t>
  </si>
  <si>
    <t>{{S6_7월비추천비율_1}}</t>
  </si>
  <si>
    <t>{{S6_8월비추천비율_1}}</t>
  </si>
  <si>
    <t>{{S6_9월비추천비율_1}}</t>
  </si>
  <si>
    <t>{{S6_10월비추천비율_1}}</t>
  </si>
  <si>
    <t>{{S6_11월비추천비율_1}}</t>
  </si>
  <si>
    <t>{{S6_12월비추천비율_1}}</t>
  </si>
  <si>
    <t>{{S6_누적비추천비율_1}}</t>
  </si>
  <si>
    <t>{{S6_1월대비비추천비율차이_1}}</t>
  </si>
  <si>
    <t>{{S6_1월비추천비율_2}}</t>
  </si>
  <si>
    <t>{{S6_2월비추천비율_2}}</t>
  </si>
  <si>
    <t>{{S6_3월비추천비율_2}}</t>
  </si>
  <si>
    <t>{{S6_4월비추천비율_2}}</t>
  </si>
  <si>
    <t>{{S6_5월비추천비율_2}}</t>
  </si>
  <si>
    <t>{{S6_6월비추천비율_2}}</t>
  </si>
  <si>
    <t>{{S6_7월비추천비율_2}}</t>
  </si>
  <si>
    <t>{{S6_8월비추천비율_2}}</t>
  </si>
  <si>
    <t>{{S6_9월비추천비율_2}}</t>
  </si>
  <si>
    <t>{{S6_10월비추천비율_2}}</t>
  </si>
  <si>
    <t>{{S6_11월비추천비율_2}}</t>
  </si>
  <si>
    <t>{{S6_12월비추천비율_2}}</t>
  </si>
  <si>
    <t>{{S6_누적비추천비율_2}}</t>
  </si>
  <si>
    <t>{{S6_1월대비비추천비율차이_2}}</t>
  </si>
  <si>
    <t>{{S6_1월비추천비율_3}}</t>
  </si>
  <si>
    <t>{{S6_2월비추천비율_3}}</t>
  </si>
  <si>
    <t>{{S6_3월비추천비율_3}}</t>
  </si>
  <si>
    <t>{{S6_4월비추천비율_3}}</t>
  </si>
  <si>
    <t>{{S6_5월비추천비율_3}}</t>
  </si>
  <si>
    <t>{{S6_6월비추천비율_3}}</t>
  </si>
  <si>
    <t>{{S6_7월비추천비율_3}}</t>
  </si>
  <si>
    <t>{{S6_8월비추천비율_3}}</t>
  </si>
  <si>
    <t>{{S6_9월비추천비율_3}}</t>
  </si>
  <si>
    <t>{{S6_10월비추천비율_3}}</t>
  </si>
  <si>
    <t>{{S6_11월비추천비율_3}}</t>
  </si>
  <si>
    <t>{{S6_12월비추천비율_3}}</t>
  </si>
  <si>
    <t>{{S6_누적비추천비율_3}}</t>
  </si>
  <si>
    <t>{{S6_1월대비비추천비율차이_3}}</t>
  </si>
  <si>
    <t>{{S6_1월비추천비율_4}}</t>
  </si>
  <si>
    <t>{{S6_2월비추천비율_4}}</t>
  </si>
  <si>
    <t>{{S6_3월비추천비율_4}}</t>
  </si>
  <si>
    <t>{{S6_4월비추천비율_4}}</t>
  </si>
  <si>
    <t>{{S6_5월비추천비율_4}}</t>
  </si>
  <si>
    <t>{{S6_6월비추천비율_4}}</t>
  </si>
  <si>
    <t>{{S6_7월비추천비율_4}}</t>
  </si>
  <si>
    <t>{{S6_8월비추천비율_4}}</t>
  </si>
  <si>
    <t>{{S6_9월비추천비율_4}}</t>
  </si>
  <si>
    <t>{{S6_10월비추천비율_4}}</t>
  </si>
  <si>
    <t>{{S6_11월비추천비율_4}}</t>
  </si>
  <si>
    <t>{{S6_12월비추천비율_4}}</t>
  </si>
  <si>
    <t>{{S6_누적비추천비율_4}}</t>
  </si>
  <si>
    <t>{{S6_1월대비비추천비율차이_4}}</t>
  </si>
  <si>
    <t>{{S6_1월비추천비율_5}}</t>
  </si>
  <si>
    <t>{{S6_2월비추천비율_5}}</t>
  </si>
  <si>
    <t>{{S6_3월비추천비율_5}}</t>
  </si>
  <si>
    <t>{{S6_4월비추천비율_5}}</t>
  </si>
  <si>
    <t>{{S6_5월비추천비율_5}}</t>
  </si>
  <si>
    <t>{{S6_6월비추천비율_5}}</t>
  </si>
  <si>
    <t>{{S6_7월비추천비율_5}}</t>
  </si>
  <si>
    <t>{{S6_8월비추천비율_5}}</t>
  </si>
  <si>
    <t>{{S6_9월비추천비율_5}}</t>
  </si>
  <si>
    <t>{{S6_10월비추천비율_5}}</t>
  </si>
  <si>
    <t>{{S6_11월비추천비율_5}}</t>
  </si>
  <si>
    <t>{{S6_12월비추천비율_5}}</t>
  </si>
  <si>
    <t>{{S6_누적비추천비율_5}}</t>
  </si>
  <si>
    <t>{{S6_1월대비비추천비율차이_5}}</t>
  </si>
  <si>
    <t>{{S6_1월비추천비율_6}}</t>
  </si>
  <si>
    <t>{{S6_2월비추천비율_6}}</t>
  </si>
  <si>
    <t>{{S6_3월비추천비율_6}}</t>
  </si>
  <si>
    <t>{{S6_4월비추천비율_6}}</t>
  </si>
  <si>
    <t>{{S6_5월비추천비율_6}}</t>
  </si>
  <si>
    <t>{{S6_6월비추천비율_6}}</t>
  </si>
  <si>
    <t>{{S6_7월비추천비율_6}}</t>
  </si>
  <si>
    <t>{{S6_8월비추천비율_6}}</t>
  </si>
  <si>
    <t>{{S6_9월비추천비율_6}}</t>
  </si>
  <si>
    <t>{{S6_10월비추천비율_6}}</t>
  </si>
  <si>
    <t>{{S6_11월비추천비율_6}}</t>
  </si>
  <si>
    <t>{{S6_12월비추천비율_6}}</t>
  </si>
  <si>
    <t>{{S6_누적비추천비율_6}}</t>
  </si>
  <si>
    <t>{{S6_1월대비비추천비율차이_6}}</t>
  </si>
  <si>
    <t>{{S2_추천비율_1}}</t>
  </si>
  <si>
    <t>{{S2_비추천비율_1}}</t>
  </si>
  <si>
    <t>{{S2_추천비율_2}}</t>
  </si>
  <si>
    <t>{{S2_비추천비율_2}}</t>
  </si>
  <si>
    <t>{{S2_추천비율_3}}</t>
  </si>
  <si>
    <t>{{S2_비추천비율_3}}</t>
  </si>
  <si>
    <t>{{S2_추천비율_4}}</t>
  </si>
  <si>
    <t>{{S2_비추천비율_4}}</t>
  </si>
  <si>
    <t>{{S2_추천비율_5}}</t>
  </si>
  <si>
    <t>{{S2_비추천비율_5}}</t>
  </si>
  <si>
    <t>{{S2_추천비율_6}}</t>
  </si>
  <si>
    <t>{{S2_비추천비율_6}}</t>
  </si>
  <si>
    <t>{{S2_추천비율_7}}</t>
  </si>
  <si>
    <t>{{S2_비추천비율_7}}</t>
  </si>
  <si>
    <t>{{S2_추천비율_8}}</t>
  </si>
  <si>
    <t>{{S2_비추천비율_8}}</t>
  </si>
  <si>
    <t>{{S2_추천비율_9}}</t>
  </si>
  <si>
    <t>{{S2_비추천비율_9}}</t>
  </si>
  <si>
    <t>{{S2_추천비율_10}}</t>
  </si>
  <si>
    <t>{{S2_비추천비율_10}}</t>
  </si>
  <si>
    <t>{{S2_추천비율_11}}</t>
  </si>
  <si>
    <t>{{S2_비추천비율_11}}</t>
  </si>
  <si>
    <t>{{S2_추천비율_12}}</t>
  </si>
  <si>
    <t>{{S2_비추천비율_12}}</t>
  </si>
  <si>
    <t>{{S2_추천비율_13}}</t>
  </si>
  <si>
    <t>{{S2_비추천비율_13}}</t>
  </si>
  <si>
    <t>{{S2_중립비율_1}}</t>
  </si>
  <si>
    <t>{{S2_중립비율_2}}</t>
  </si>
  <si>
    <t>{{S2_중립비율_3}}</t>
  </si>
  <si>
    <t>{{S2_중립비율_4}}</t>
  </si>
  <si>
    <t>{{S2_중립비율_5}}</t>
  </si>
  <si>
    <t>{{S2_중립비율_6}}</t>
  </si>
  <si>
    <t>{{S2_중립비율_7}}</t>
  </si>
  <si>
    <t>{{S2_중립비율_8}}</t>
  </si>
  <si>
    <t>{{S2_중립비율_9}}</t>
  </si>
  <si>
    <t>{{S2_중립비율_10}}</t>
  </si>
  <si>
    <t>{{S2_중립비율_11}}</t>
  </si>
  <si>
    <t>{{S2_중립비율_12}}</t>
  </si>
  <si>
    <t>{{S2_중립비율_13}}</t>
  </si>
  <si>
    <t>{{S1_1월대비NPS차이_2}}</t>
    <phoneticPr fontId="1" type="noConversion"/>
  </si>
  <si>
    <t>{{S1_1월대비NPS차이_3}}</t>
    <phoneticPr fontId="1" type="noConversion"/>
  </si>
  <si>
    <t>{{S1_1월대비NPS차이_4}}</t>
    <phoneticPr fontId="1" type="noConversion"/>
  </si>
  <si>
    <t>{{S1_1월대비NPS차이_5}}</t>
    <phoneticPr fontId="1" type="noConversion"/>
  </si>
  <si>
    <t>{{S3_추천비율_1}}</t>
  </si>
  <si>
    <t>{{S3_비추천비율_1}}</t>
  </si>
  <si>
    <t>{{S3_추천비율_2}}</t>
  </si>
  <si>
    <t>{{S3_비추천비율_2}}</t>
  </si>
  <si>
    <t>{{S3_추천비율_3}}</t>
  </si>
  <si>
    <t>{{S3_비추천비율_3}}</t>
  </si>
  <si>
    <t>{{S3_추천비율_4}}</t>
  </si>
  <si>
    <t>{{S3_비추천비율_4}}</t>
  </si>
  <si>
    <t>{{S3_추천비율_5}}</t>
  </si>
  <si>
    <t>{{S3_비추천비율_5}}</t>
  </si>
  <si>
    <t>{{S3_추천비율_6}}</t>
  </si>
  <si>
    <t>{{S3_비추천비율_6}}</t>
  </si>
  <si>
    <t>{{S3_추천비율_7}}</t>
  </si>
  <si>
    <t>{{S3_비추천비율_7}}</t>
  </si>
  <si>
    <t>{{S3_추천비율_8}}</t>
  </si>
  <si>
    <t>{{S3_비추천비율_8}}</t>
  </si>
  <si>
    <t>{{S3_추천비율_9}}</t>
  </si>
  <si>
    <t>{{S3_비추천비율_9}}</t>
  </si>
  <si>
    <t>{{S3_추천비율_10}}</t>
  </si>
  <si>
    <t>{{S3_비추천비율_10}}</t>
  </si>
  <si>
    <t>{{S3_추천비율_11}}</t>
  </si>
  <si>
    <t>{{S3_비추천비율_11}}</t>
  </si>
  <si>
    <t>{{S3_추천비율_12}}</t>
  </si>
  <si>
    <t>{{S3_비추천비율_12}}</t>
  </si>
  <si>
    <t>{{S3_추천비율_13}}</t>
  </si>
  <si>
    <t>{{S3_비추천비율_13}}</t>
  </si>
  <si>
    <t>{{S3_중립비율_1}}</t>
  </si>
  <si>
    <t>{{S3_중립비율_2}}</t>
  </si>
  <si>
    <t>{{S3_중립비율_3}}</t>
  </si>
  <si>
    <t>{{S3_중립비율_4}}</t>
  </si>
  <si>
    <t>{{S3_중립비율_5}}</t>
  </si>
  <si>
    <t>{{S3_중립비율_6}}</t>
  </si>
  <si>
    <t>{{S3_중립비율_7}}</t>
  </si>
  <si>
    <t>{{S3_중립비율_8}}</t>
  </si>
  <si>
    <t>{{S3_중립비율_9}}</t>
  </si>
  <si>
    <t>{{S3_중립비율_10}}</t>
  </si>
  <si>
    <t>{{S3_중립비율_11}}</t>
  </si>
  <si>
    <t>{{S3_중립비율_12}}</t>
  </si>
  <si>
    <t>{{S3_중립비율_13}}</t>
  </si>
  <si>
    <t>{{S4_추천비율_1}}</t>
  </si>
  <si>
    <t>{{S4_중립비율_1}}</t>
  </si>
  <si>
    <t>{{S4_비추천비율_1}}</t>
  </si>
  <si>
    <t>{{S4_추천비율_2}}</t>
  </si>
  <si>
    <t>{{S4_중립비율_2}}</t>
  </si>
  <si>
    <t>{{S4_비추천비율_2}}</t>
  </si>
  <si>
    <t>{{S4_추천비율_3}}</t>
  </si>
  <si>
    <t>{{S4_중립비율_3}}</t>
  </si>
  <si>
    <t>{{S4_비추천비율_3}}</t>
  </si>
  <si>
    <t>{{S4_추천비율_4}}</t>
  </si>
  <si>
    <t>{{S4_중립비율_4}}</t>
  </si>
  <si>
    <t>{{S4_비추천비율_4}}</t>
  </si>
  <si>
    <t>{{S4_추천비율_5}}</t>
  </si>
  <si>
    <t>{{S4_중립비율_5}}</t>
  </si>
  <si>
    <t>{{S4_비추천비율_5}}</t>
  </si>
  <si>
    <t>{{S4_추천비율_6}}</t>
  </si>
  <si>
    <t>{{S4_중립비율_6}}</t>
  </si>
  <si>
    <t>{{S4_비추천비율_6}}</t>
  </si>
  <si>
    <t>{{S4_추천비율_7}}</t>
  </si>
  <si>
    <t>{{S4_중립비율_7}}</t>
  </si>
  <si>
    <t>{{S4_비추천비율_7}}</t>
  </si>
  <si>
    <t>{{S4_추천비율_8}}</t>
  </si>
  <si>
    <t>{{S4_중립비율_8}}</t>
  </si>
  <si>
    <t>{{S4_비추천비율_8}}</t>
  </si>
  <si>
    <t>{{S4_추천비율_9}}</t>
  </si>
  <si>
    <t>{{S4_중립비율_9}}</t>
  </si>
  <si>
    <t>{{S4_비추천비율_9}}</t>
  </si>
  <si>
    <t>{{S4_추천비율_10}}</t>
  </si>
  <si>
    <t>{{S4_중립비율_10}}</t>
  </si>
  <si>
    <t>{{S4_비추천비율_10}}</t>
  </si>
  <si>
    <t>{{S4_추천비율_11}}</t>
  </si>
  <si>
    <t>{{S4_중립비율_11}}</t>
  </si>
  <si>
    <t>{{S4_비추천비율_11}}</t>
  </si>
  <si>
    <t>{{S4_추천비율_12}}</t>
  </si>
  <si>
    <t>{{S4_중립비율_12}}</t>
  </si>
  <si>
    <t>{{S4_비추천비율_12}}</t>
  </si>
  <si>
    <t>{{S4_추천비율_13}}</t>
  </si>
  <si>
    <t>{{S4_중립비율_13}}</t>
  </si>
  <si>
    <t>{{S4_비추천비율_13}}</t>
  </si>
  <si>
    <t>{{S6_추천비율_1}}</t>
  </si>
  <si>
    <t>{{S6_중립비율_1}}</t>
  </si>
  <si>
    <t>{{S6_비추천비율_1}}</t>
  </si>
  <si>
    <t>{{S6_추천비율_2}}</t>
  </si>
  <si>
    <t>{{S6_중립비율_2}}</t>
  </si>
  <si>
    <t>{{S6_비추천비율_2}}</t>
  </si>
  <si>
    <t>{{S6_추천비율_3}}</t>
  </si>
  <si>
    <t>{{S6_중립비율_3}}</t>
  </si>
  <si>
    <t>{{S6_비추천비율_3}}</t>
  </si>
  <si>
    <t>{{S6_추천비율_4}}</t>
  </si>
  <si>
    <t>{{S6_중립비율_4}}</t>
  </si>
  <si>
    <t>{{S6_비추천비율_4}}</t>
  </si>
  <si>
    <t>{{S6_추천비율_5}}</t>
  </si>
  <si>
    <t>{{S6_중립비율_5}}</t>
  </si>
  <si>
    <t>{{S6_비추천비율_5}}</t>
  </si>
  <si>
    <t>{{S6_추천비율_6}}</t>
  </si>
  <si>
    <t>{{S6_중립비율_6}}</t>
  </si>
  <si>
    <t>{{S6_비추천비율_6}}</t>
  </si>
  <si>
    <t>{{S6_추천비율_7}}</t>
  </si>
  <si>
    <t>{{S6_중립비율_7}}</t>
  </si>
  <si>
    <t>{{S6_비추천비율_7}}</t>
  </si>
  <si>
    <t>{{S6_추천비율_8}}</t>
  </si>
  <si>
    <t>{{S6_중립비율_8}}</t>
  </si>
  <si>
    <t>{{S6_비추천비율_8}}</t>
  </si>
  <si>
    <t>{{S6_추천비율_9}}</t>
  </si>
  <si>
    <t>{{S6_중립비율_9}}</t>
  </si>
  <si>
    <t>{{S6_비추천비율_9}}</t>
  </si>
  <si>
    <t>{{S6_추천비율_10}}</t>
  </si>
  <si>
    <t>{{S6_중립비율_10}}</t>
  </si>
  <si>
    <t>{{S6_비추천비율_10}}</t>
  </si>
  <si>
    <t>{{S6_추천비율_11}}</t>
  </si>
  <si>
    <t>{{S6_중립비율_11}}</t>
  </si>
  <si>
    <t>{{S6_비추천비율_11}}</t>
  </si>
  <si>
    <t>{{S6_추천비율_12}}</t>
  </si>
  <si>
    <t>{{S6_중립비율_12}}</t>
  </si>
  <si>
    <t>{{S6_비추천비율_12}}</t>
  </si>
  <si>
    <t>{{S6_추천비율_13}}</t>
  </si>
  <si>
    <t>{{S6_중립비율_13}}</t>
  </si>
  <si>
    <t>{{S6_비추천비율_13}}</t>
  </si>
  <si>
    <t>{{S5_추천비율_1}}</t>
  </si>
  <si>
    <t>{{S5_중립비율_1}}</t>
  </si>
  <si>
    <t>{{S5_비추천비율_1}}</t>
  </si>
  <si>
    <t>{{S5_추천비율_2}}</t>
  </si>
  <si>
    <t>{{S5_중립비율_2}}</t>
  </si>
  <si>
    <t>{{S5_비추천비율_2}}</t>
  </si>
  <si>
    <t>{{S5_추천비율_3}}</t>
  </si>
  <si>
    <t>{{S5_중립비율_3}}</t>
  </si>
  <si>
    <t>{{S5_비추천비율_3}}</t>
  </si>
  <si>
    <t>{{S5_추천비율_4}}</t>
  </si>
  <si>
    <t>{{S5_중립비율_4}}</t>
  </si>
  <si>
    <t>{{S5_비추천비율_4}}</t>
  </si>
  <si>
    <t>{{S5_추천비율_5}}</t>
  </si>
  <si>
    <t>{{S5_중립비율_5}}</t>
  </si>
  <si>
    <t>{{S5_비추천비율_5}}</t>
  </si>
  <si>
    <t>{{S5_추천비율_6}}</t>
  </si>
  <si>
    <t>{{S5_중립비율_6}}</t>
  </si>
  <si>
    <t>{{S5_비추천비율_6}}</t>
  </si>
  <si>
    <t>{{S5_추천비율_7}}</t>
  </si>
  <si>
    <t>{{S5_중립비율_7}}</t>
  </si>
  <si>
    <t>{{S5_비추천비율_7}}</t>
  </si>
  <si>
    <t>{{S5_추천비율_8}}</t>
  </si>
  <si>
    <t>{{S5_중립비율_8}}</t>
  </si>
  <si>
    <t>{{S5_비추천비율_8}}</t>
  </si>
  <si>
    <t>{{S5_추천비율_9}}</t>
  </si>
  <si>
    <t>{{S5_중립비율_9}}</t>
  </si>
  <si>
    <t>{{S5_비추천비율_9}}</t>
  </si>
  <si>
    <t>{{S5_추천비율_10}}</t>
  </si>
  <si>
    <t>{{S5_중립비율_10}}</t>
  </si>
  <si>
    <t>{{S5_비추천비율_10}}</t>
  </si>
  <si>
    <t>{{S5_추천비율_11}}</t>
  </si>
  <si>
    <t>{{S5_중립비율_11}}</t>
  </si>
  <si>
    <t>{{S5_비추천비율_11}}</t>
  </si>
  <si>
    <t>{{S5_추천비율_12}}</t>
  </si>
  <si>
    <t>{{S5_중립비율_12}}</t>
  </si>
  <si>
    <t>{{S5_비추천비율_12}}</t>
  </si>
  <si>
    <t>{{S5_추천비율_13}}</t>
  </si>
  <si>
    <t>{{S5_중립비율_13}}</t>
  </si>
  <si>
    <t>{{S5_비추천비율_13}}</t>
  </si>
  <si>
    <t>{{S7_긍정비율_1}}</t>
    <phoneticPr fontId="1" type="noConversion"/>
  </si>
  <si>
    <t>{{S7_부정비율_1}}</t>
    <phoneticPr fontId="1" type="noConversion"/>
  </si>
  <si>
    <t>{{S7_중립비율_1}}</t>
    <phoneticPr fontId="1" type="noConversion"/>
  </si>
  <si>
    <t>{{S7_긍정비율_2}}</t>
  </si>
  <si>
    <t>{{S7_부정비율_2}}</t>
  </si>
  <si>
    <t>{{S7_중립비율_2}}</t>
  </si>
  <si>
    <t>{{S7_긍정비율_3}}</t>
  </si>
  <si>
    <t>{{S7_부정비율_3}}</t>
  </si>
  <si>
    <t>{{S7_중립비율_3}}</t>
  </si>
  <si>
    <t>{{S7_긍정비율_4}}</t>
  </si>
  <si>
    <t>{{S7_부정비율_4}}</t>
  </si>
  <si>
    <t>{{S7_중립비율_4}}</t>
  </si>
  <si>
    <t>{{S7_긍정비율_5}}</t>
  </si>
  <si>
    <t>{{S7_부정비율_5}}</t>
  </si>
  <si>
    <t>{{S7_중립비율_5}}</t>
  </si>
  <si>
    <t>{{S7_긍정비율_6}}</t>
  </si>
  <si>
    <t>{{S7_부정비율_6}}</t>
  </si>
  <si>
    <t>{{S7_중립비율_6}}</t>
  </si>
  <si>
    <t>{{S7_긍정비율_7}}</t>
  </si>
  <si>
    <t>{{S7_부정비율_7}}</t>
  </si>
  <si>
    <t>{{S7_중립비율_7}}</t>
  </si>
  <si>
    <t>{{S7_긍정비율_8}}</t>
  </si>
  <si>
    <t>{{S7_부정비율_8}}</t>
  </si>
  <si>
    <t>{{S7_중립비율_8}}</t>
  </si>
  <si>
    <t>{{S7_긍정비율_9}}</t>
  </si>
  <si>
    <t>{{S7_부정비율_9}}</t>
  </si>
  <si>
    <t>{{S7_중립비율_9}}</t>
  </si>
  <si>
    <t>{{S7_긍정비율_10}}</t>
  </si>
  <si>
    <t>{{S7_부정비율_10}}</t>
  </si>
  <si>
    <t>{{S7_중립비율_10}}</t>
  </si>
  <si>
    <t>{{S7_긍정비율_11}}</t>
  </si>
  <si>
    <t>{{S7_부정비율_11}}</t>
  </si>
  <si>
    <t>{{S7_중립비율_11}}</t>
  </si>
  <si>
    <t>{{S7_긍정비율_12}}</t>
  </si>
  <si>
    <t>{{S7_부정비율_12}}</t>
  </si>
  <si>
    <t>{{S7_중립비율_12}}</t>
  </si>
  <si>
    <t>{{S7_긍정비율_13}}</t>
  </si>
  <si>
    <t>{{S7_부정비율_13}}</t>
  </si>
  <si>
    <t>{{S7_중립비율_13}}</t>
  </si>
  <si>
    <t>{{S8_칭찬비율_1}}</t>
    <phoneticPr fontId="1" type="noConversion"/>
  </si>
  <si>
    <t>{{S8_불만비율_1}}</t>
    <phoneticPr fontId="1" type="noConversion"/>
  </si>
  <si>
    <t>{{S8_개선비율_1}}</t>
    <phoneticPr fontId="1" type="noConversion"/>
  </si>
  <si>
    <t>{{S8_기타비율_1}}</t>
    <phoneticPr fontId="1" type="noConversion"/>
  </si>
  <si>
    <t>{{S8_칭찬비율_2}}</t>
  </si>
  <si>
    <t>{{S8_불만비율_2}}</t>
  </si>
  <si>
    <t>{{S8_개선비율_2}}</t>
  </si>
  <si>
    <t>{{S8_기타비율_2}}</t>
  </si>
  <si>
    <t>{{S8_칭찬비율_3}}</t>
  </si>
  <si>
    <t>{{S8_불만비율_3}}</t>
  </si>
  <si>
    <t>{{S8_개선비율_3}}</t>
  </si>
  <si>
    <t>{{S8_기타비율_3}}</t>
  </si>
  <si>
    <t>{{S8_칭찬비율_4}}</t>
  </si>
  <si>
    <t>{{S8_불만비율_4}}</t>
  </si>
  <si>
    <t>{{S8_개선비율_4}}</t>
  </si>
  <si>
    <t>{{S8_기타비율_4}}</t>
  </si>
  <si>
    <t>{{S8_칭찬비율_5}}</t>
  </si>
  <si>
    <t>{{S8_불만비율_5}}</t>
  </si>
  <si>
    <t>{{S8_개선비율_5}}</t>
  </si>
  <si>
    <t>{{S8_기타비율_5}}</t>
  </si>
  <si>
    <t>{{S8_칭찬비율_6}}</t>
  </si>
  <si>
    <t>{{S8_불만비율_6}}</t>
  </si>
  <si>
    <t>{{S8_개선비율_6}}</t>
  </si>
  <si>
    <t>{{S8_기타비율_6}}</t>
  </si>
  <si>
    <t>{{S8_칭찬비율_7}}</t>
  </si>
  <si>
    <t>{{S8_불만비율_7}}</t>
  </si>
  <si>
    <t>{{S8_개선비율_7}}</t>
  </si>
  <si>
    <t>{{S8_기타비율_7}}</t>
  </si>
  <si>
    <t>{{S8_칭찬비율_8}}</t>
  </si>
  <si>
    <t>{{S8_불만비율_8}}</t>
  </si>
  <si>
    <t>{{S8_개선비율_8}}</t>
  </si>
  <si>
    <t>{{S8_기타비율_8}}</t>
  </si>
  <si>
    <t>{{S8_칭찬비율_9}}</t>
  </si>
  <si>
    <t>{{S8_불만비율_9}}</t>
  </si>
  <si>
    <t>{{S8_개선비율_9}}</t>
  </si>
  <si>
    <t>{{S8_기타비율_9}}</t>
  </si>
  <si>
    <t>{{S8_칭찬비율_10}}</t>
  </si>
  <si>
    <t>{{S8_불만비율_10}}</t>
  </si>
  <si>
    <t>{{S8_개선비율_10}}</t>
  </si>
  <si>
    <t>{{S8_기타비율_10}}</t>
  </si>
  <si>
    <t>{{S8_칭찬비율_11}}</t>
  </si>
  <si>
    <t>{{S8_불만비율_11}}</t>
  </si>
  <si>
    <t>{{S8_개선비율_11}}</t>
  </si>
  <si>
    <t>{{S8_기타비율_11}}</t>
  </si>
  <si>
    <t>{{S8_칭찬비율_12}}</t>
  </si>
  <si>
    <t>{{S8_불만비율_12}}</t>
  </si>
  <si>
    <t>{{S8_개선비율_12}}</t>
  </si>
  <si>
    <t>{{S8_기타비율_12}}</t>
  </si>
  <si>
    <t>{{S8_칭찬비율_13}}</t>
  </si>
  <si>
    <t>{{S8_불만비율_13}}</t>
  </si>
  <si>
    <t>{{S8_개선비율_13}}</t>
  </si>
  <si>
    <t>{{S8_기타비율_13}}</t>
  </si>
  <si>
    <t>{{S1_배분_1}}</t>
  </si>
  <si>
    <t>{{S1_검토_1}}</t>
  </si>
  <si>
    <t>{{S1_현행유지_1}}</t>
  </si>
  <si>
    <t>{{S1_개선불가_1}}</t>
  </si>
  <si>
    <t>{{S1_개선예정_1}}</t>
  </si>
  <si>
    <t>{{S1_검토율_1}}</t>
  </si>
  <si>
    <t>{{S1_현행유지비율_1}}</t>
  </si>
  <si>
    <t>{{S1_개선불가비율_1}}</t>
  </si>
  <si>
    <t>{{S1_개선예정비율_1}}</t>
  </si>
  <si>
    <t>{{S1_배분_2}}</t>
  </si>
  <si>
    <t>{{S1_검토_2}}</t>
  </si>
  <si>
    <t>{{S1_현행유지_2}}</t>
  </si>
  <si>
    <t>{{S1_개선불가_2}}</t>
  </si>
  <si>
    <t>{{S1_개선예정_2}}</t>
  </si>
  <si>
    <t>{{S1_검토율_2}}</t>
  </si>
  <si>
    <t>{{S1_현행유지비율_2}}</t>
  </si>
  <si>
    <t>{{S1_개선불가비율_2}}</t>
  </si>
  <si>
    <t>{{S1_개선예정비율_2}}</t>
  </si>
  <si>
    <t>{{S1_배분_3}}</t>
  </si>
  <si>
    <t>{{S1_검토_3}}</t>
  </si>
  <si>
    <t>{{S1_현행유지_3}}</t>
  </si>
  <si>
    <t>{{S1_개선불가_3}}</t>
  </si>
  <si>
    <t>{{S1_개선예정_3}}</t>
  </si>
  <si>
    <t>{{S1_검토율_3}}</t>
  </si>
  <si>
    <t>{{S1_현행유지비율_3}}</t>
  </si>
  <si>
    <t>{{S1_개선불가비율_3}}</t>
  </si>
  <si>
    <t>{{S1_개선예정비율_3}}</t>
  </si>
  <si>
    <t>{{S1_배분_4}}</t>
  </si>
  <si>
    <t>{{S1_검토_4}}</t>
  </si>
  <si>
    <t>{{S1_현행유지_4}}</t>
  </si>
  <si>
    <t>{{S1_개선불가_4}}</t>
  </si>
  <si>
    <t>{{S1_개선예정_4}}</t>
  </si>
  <si>
    <t>{{S1_검토율_4}}</t>
  </si>
  <si>
    <t>{{S1_현행유지비율_4}}</t>
  </si>
  <si>
    <t>{{S1_개선불가비율_4}}</t>
  </si>
  <si>
    <t>{{S1_개선예정비율_4}}</t>
  </si>
  <si>
    <t>{{S1_배분_5}}</t>
  </si>
  <si>
    <t>{{S1_검토_5}}</t>
  </si>
  <si>
    <t>{{S1_현행유지_5}}</t>
  </si>
  <si>
    <t>{{S1_개선불가_5}}</t>
  </si>
  <si>
    <t>{{S1_개선예정_5}}</t>
  </si>
  <si>
    <t>{{S1_검토율_5}}</t>
  </si>
  <si>
    <t>{{S1_현행유지비율_5}}</t>
  </si>
  <si>
    <t>{{S1_개선불가비율_5}}</t>
  </si>
  <si>
    <t>{{S1_개선예정비율_5}}</t>
  </si>
  <si>
    <t>불만사항 요약</t>
  </si>
  <si>
    <t>불만 VOC 예시</t>
    <phoneticPr fontId="1" type="noConversion"/>
  </si>
  <si>
    <t>지난달 VOC와 비교</t>
    <phoneticPr fontId="1" type="noConversion"/>
  </si>
  <si>
    <t>{{S11_compare_1}}</t>
  </si>
  <si>
    <t>{{S11_complaint1_1}}</t>
  </si>
  <si>
    <t>예시) {{S11_complaint1_2}}</t>
  </si>
  <si>
    <t>예시) {{S11_complaint1_3}}</t>
  </si>
  <si>
    <t>예시) {{S11_complaint1_4}}</t>
  </si>
  <si>
    <t>예시) {{S11_complaint2_2}}</t>
  </si>
  <si>
    <t>예시) {{S11_complaint2_3}}</t>
  </si>
  <si>
    <t>예시) {{S11_complaint2_4}}</t>
  </si>
  <si>
    <t>예시) {{S11_complaint3_2}}</t>
  </si>
  <si>
    <t>예시) {{S11_complaint3_3}}</t>
  </si>
  <si>
    <t>예시) {{S11_complaint3_4}}</t>
  </si>
  <si>
    <t>{{S11_compare_2}}</t>
  </si>
  <si>
    <t>{{S11_complaint1_5}}</t>
  </si>
  <si>
    <t>예시) {{S11_complaint1_6}}</t>
  </si>
  <si>
    <t>예시) {{S11_complaint1_7}}</t>
  </si>
  <si>
    <t>예시) {{S11_complaint1_8}}</t>
  </si>
  <si>
    <t>예시) {{S11_complaint2_6}}</t>
  </si>
  <si>
    <t>예시) {{S11_complaint2_7}}</t>
  </si>
  <si>
    <t>예시) {{S11_complaint2_8}}</t>
  </si>
  <si>
    <t>예시) {{S11_complaint3_6}}</t>
  </si>
  <si>
    <t>예시) {{S11_complaint3_7}}</t>
  </si>
  <si>
    <t>예시) {{S11_complaint3_8}}</t>
  </si>
  <si>
    <t>{{S11_compare_3}}</t>
  </si>
  <si>
    <t>{{S11_complaint1_9}}</t>
  </si>
  <si>
    <t>예시) {{S11_complaint1_10}}</t>
  </si>
  <si>
    <t>예시) {{S11_complaint1_11}}</t>
  </si>
  <si>
    <t>예시) {{S11_complaint1_12}}</t>
  </si>
  <si>
    <t>예시) {{S11_complaint2_10}}</t>
  </si>
  <si>
    <t>예시) {{S11_complaint2_11}}</t>
  </si>
  <si>
    <t>예시) {{S11_complaint2_12}}</t>
  </si>
  <si>
    <t>예시) {{S11_complaint3_10}}</t>
  </si>
  <si>
    <t>예시) {{S11_complaint3_11}}</t>
  </si>
  <si>
    <t>예시) {{S11_complaint3_12}}</t>
  </si>
  <si>
    <t>{{S11_compare_4}}</t>
  </si>
  <si>
    <t>{{S11_complaint1_13}}</t>
  </si>
  <si>
    <t>예시) {{S11_complaint1_14}}</t>
  </si>
  <si>
    <t>예시) {{S11_complaint1_15}}</t>
  </si>
  <si>
    <t>예시) {{S11_complaint1_16}}</t>
  </si>
  <si>
    <t>예시) {{S11_complaint2_14}}</t>
  </si>
  <si>
    <t>예시) {{S11_complaint2_15}}</t>
  </si>
  <si>
    <t>예시) {{S11_complaint2_16}}</t>
  </si>
  <si>
    <t>예시) {{S11_complaint3_14}}</t>
  </si>
  <si>
    <t>예시) {{S11_complaint3_15}}</t>
  </si>
  <si>
    <t>예시) {{S11_complaint3_16}}</t>
  </si>
  <si>
    <t>스타뱅킹</t>
    <phoneticPr fontId="1" type="noConversion"/>
  </si>
  <si>
    <t>V. 불만 VOC 요약 및 비교</t>
    <phoneticPr fontId="2" type="noConversion"/>
  </si>
  <si>
    <t>{{S11_complaint2_1}}</t>
    <phoneticPr fontId="1" type="noConversion"/>
  </si>
  <si>
    <t>{{S11_complaint3_1}}</t>
    <phoneticPr fontId="1" type="noConversion"/>
  </si>
  <si>
    <t>{{S11_complaint2_5}}</t>
    <phoneticPr fontId="1" type="noConversion"/>
  </si>
  <si>
    <t>{{S11_complaint3_5}}</t>
    <phoneticPr fontId="1" type="noConversion"/>
  </si>
  <si>
    <t>{{S11_complaint3_9}}</t>
    <phoneticPr fontId="1" type="noConversion"/>
  </si>
  <si>
    <t>{{S11_complaint2_9}}</t>
    <phoneticPr fontId="1" type="noConversion"/>
  </si>
  <si>
    <t>{{S11_complaint2_13}}</t>
    <phoneticPr fontId="1" type="noConversion"/>
  </si>
  <si>
    <t>{{S11_complaint3_13}}</t>
    <phoneticPr fontId="1" type="noConversion"/>
  </si>
  <si>
    <t>영업기획그룹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</si>
</sst>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"/>
    <numFmt numFmtId="178" formatCode="_-* #,##0.0_-;\-* #,##0.0_-;_-* &quot;-&quot;?_-;_-@_-"/>
    <numFmt numFmtId="179" formatCode="#,##0.0;[Red]\-#,##0.0"/>
    <numFmt numFmtId="180" formatCode="#,##0.0_ ;[Red]\-#,##0.0\ 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KB금융 본문체 Light"/>
      <family val="2"/>
      <charset val="129"/>
    </font>
    <font>
      <b/>
      <sz val="11"/>
      <color rgb="FF1F497D"/>
      <name val="KB금융 본문체 Light"/>
      <family val="3"/>
      <charset val="129"/>
    </font>
    <font>
      <sz val="16"/>
      <color theme="1"/>
      <name val="KB금융 제목체 Bold"/>
      <family val="3"/>
      <charset val="129"/>
    </font>
    <font>
      <sz val="10"/>
      <color theme="0"/>
      <name val="KB금융 제목체 Bold"/>
      <family val="3"/>
      <charset val="129"/>
    </font>
    <font>
      <sz val="10"/>
      <color theme="1"/>
      <name val="KB금융 제목체 Bold"/>
      <family val="3"/>
      <charset val="129"/>
    </font>
    <font>
      <b/>
      <sz val="10"/>
      <color theme="1"/>
      <name val="KB금융 본문체 Light"/>
      <family val="3"/>
      <charset val="129"/>
    </font>
    <font>
      <sz val="10"/>
      <color theme="1"/>
      <name val="KB금융 본문체 Light"/>
      <family val="3"/>
      <charset val="129"/>
    </font>
    <font>
      <sz val="9"/>
      <color theme="1"/>
      <name val="KB금융 본문체 Light"/>
      <family val="3"/>
      <charset val="129"/>
    </font>
    <font>
      <sz val="8"/>
      <color theme="1"/>
      <name val="KB금융 본문체 Light"/>
      <family val="3"/>
      <charset val="129"/>
    </font>
    <font>
      <b/>
      <sz val="9"/>
      <color theme="1"/>
      <name val="KB금융 본문체 Light"/>
      <family val="3"/>
      <charset val="129"/>
    </font>
    <font>
      <sz val="10"/>
      <color theme="1"/>
      <name val="KB금융 제목체 Medium"/>
      <family val="3"/>
      <charset val="129"/>
    </font>
    <font>
      <sz val="11"/>
      <color theme="1"/>
      <name val="KB금융 본문체 Light"/>
      <family val="3"/>
      <charset val="129"/>
    </font>
    <font>
      <sz val="16"/>
      <color theme="1"/>
      <name val="KB금융 본문체 Light"/>
      <family val="3"/>
      <charset val="129"/>
    </font>
    <font>
      <sz val="10"/>
      <color theme="0"/>
      <name val="KB금융 본문체 Light"/>
      <family val="3"/>
      <charset val="129"/>
    </font>
    <font>
      <b/>
      <sz val="11"/>
      <color rgb="FF1F497D"/>
      <name val="KB금융 제목체 Bold"/>
      <family val="3"/>
      <charset val="129"/>
    </font>
    <font>
      <sz val="12"/>
      <color theme="0"/>
      <name val="KB금융 본문체 Light"/>
      <family val="3"/>
      <charset val="129"/>
    </font>
    <font>
      <sz val="12"/>
      <color theme="1"/>
      <name val="KB금융 본문체 Light"/>
      <family val="3"/>
      <charset val="129"/>
    </font>
    <font>
      <sz val="12"/>
      <color theme="0"/>
      <name val="KB금융 제목체 Bold"/>
      <family val="3"/>
      <charset val="129"/>
    </font>
    <font>
      <sz val="10"/>
      <color theme="1"/>
      <name val="맑은 고딕"/>
      <family val="2"/>
      <charset val="129"/>
      <scheme val="minor"/>
    </font>
    <font>
      <sz val="12"/>
      <color theme="1"/>
      <name val="KB금융 제목체 Bold"/>
      <family val="3"/>
      <charset val="129"/>
    </font>
    <font>
      <sz val="11"/>
      <color theme="1"/>
      <name val="KB금융 제목체 Medium"/>
      <family val="3"/>
      <charset val="129"/>
    </font>
    <font>
      <sz val="7"/>
      <color theme="1"/>
      <name val="KB금융 제목체 Medium"/>
      <family val="3"/>
      <charset val="129"/>
    </font>
    <font>
      <sz val="6.5"/>
      <color theme="1"/>
      <name val="KB금융 제목체 Medium"/>
      <family val="3"/>
      <charset val="129"/>
    </font>
    <font>
      <sz val="11"/>
      <color theme="0"/>
      <name val="KB금융 본문체 Light"/>
      <family val="3"/>
      <charset val="129"/>
    </font>
    <font>
      <sz val="9"/>
      <color theme="0"/>
      <name val="KB금융 본문체 Light"/>
      <family val="3"/>
      <charset val="129"/>
    </font>
    <font>
      <sz val="8"/>
      <color theme="0"/>
      <name val="KB금융 본문체 Light"/>
      <family val="3"/>
      <charset val="129"/>
    </font>
    <font>
      <sz val="8"/>
      <color theme="1"/>
      <name val="KB금융 본문체 Medium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 style="hair">
        <color theme="0" tint="-0.24994659260841701"/>
      </top>
      <bottom/>
      <diagonal/>
    </border>
    <border>
      <left/>
      <right style="hair">
        <color theme="0"/>
      </right>
      <top style="hair">
        <color theme="0" tint="-0.24994659260841701"/>
      </top>
      <bottom/>
      <diagonal/>
    </border>
    <border>
      <left style="hair">
        <color theme="0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/>
      <diagonal/>
    </border>
    <border>
      <left/>
      <right/>
      <top/>
      <bottom style="medium">
        <color theme="0" tint="-0.34998626667073579"/>
      </bottom>
      <diagonal/>
    </border>
    <border>
      <left style="hair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hair">
        <color theme="0" tint="-0.34998626667073579"/>
      </right>
      <top/>
      <bottom style="medium">
        <color theme="0" tint="-0.34998626667073579"/>
      </bottom>
      <diagonal/>
    </border>
    <border>
      <left/>
      <right/>
      <top style="hair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292">
    <xf numFmtId="0" fontId="0" fillId="0" borderId="0" xfId="0">
      <alignment vertical="center"/>
    </xf>
    <xf numFmtId="0" fontId="5" fillId="3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2"/>
    </xf>
    <xf numFmtId="0" fontId="7" fillId="0" borderId="0" xfId="0" applyFont="1">
      <alignment vertical="center"/>
    </xf>
    <xf numFmtId="0" fontId="9" fillId="0" borderId="0" xfId="0" quotePrefix="1" applyFont="1" applyAlignment="1">
      <alignment horizontal="left" vertical="center" indent="2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8" fillId="0" borderId="0" xfId="0" quotePrefix="1" applyFont="1" applyAlignment="1">
      <alignment horizontal="left" vertical="center" indent="2"/>
    </xf>
    <xf numFmtId="0" fontId="9" fillId="4" borderId="0" xfId="0" applyFont="1" applyFill="1" applyBorder="1" applyAlignment="1">
      <alignment horizontal="left" vertical="center" indent="2"/>
    </xf>
    <xf numFmtId="0" fontId="9" fillId="4" borderId="2" xfId="0" applyFont="1" applyFill="1" applyBorder="1" applyAlignment="1">
      <alignment horizontal="left" vertical="center" indent="2"/>
    </xf>
    <xf numFmtId="0" fontId="9" fillId="4" borderId="6" xfId="0" applyFont="1" applyFill="1" applyBorder="1" applyAlignment="1">
      <alignment horizontal="left" vertical="center" indent="2"/>
    </xf>
    <xf numFmtId="0" fontId="9" fillId="4" borderId="10" xfId="0" applyFont="1" applyFill="1" applyBorder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2" fillId="2" borderId="1" xfId="0" applyFont="1" applyFill="1" applyBorder="1">
      <alignment vertical="center"/>
    </xf>
    <xf numFmtId="0" fontId="11" fillId="2" borderId="3" xfId="0" applyFont="1" applyFill="1" applyBorder="1">
      <alignment vertical="center"/>
    </xf>
    <xf numFmtId="0" fontId="11" fillId="2" borderId="7" xfId="0" applyFont="1" applyFill="1" applyBorder="1">
      <alignment vertical="center"/>
    </xf>
    <xf numFmtId="0" fontId="4" fillId="2" borderId="5" xfId="0" quotePrefix="1" applyFont="1" applyFill="1" applyBorder="1" applyAlignment="1">
      <alignment horizontal="centerContinuous" vertical="center"/>
    </xf>
    <xf numFmtId="0" fontId="3" fillId="0" borderId="4" xfId="0" applyFont="1" applyBorder="1" applyAlignment="1">
      <alignment horizontal="centerContinuous" vertical="center"/>
    </xf>
    <xf numFmtId="0" fontId="8" fillId="0" borderId="0" xfId="0" quotePrefix="1" applyFont="1" applyAlignment="1">
      <alignment vertical="center"/>
    </xf>
    <xf numFmtId="0" fontId="13" fillId="0" borderId="0" xfId="0" quotePrefix="1" applyFont="1" applyAlignment="1">
      <alignment horizontal="left" vertical="center" indent="2"/>
    </xf>
    <xf numFmtId="0" fontId="9" fillId="4" borderId="0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13" fillId="0" borderId="0" xfId="0" applyFont="1">
      <alignment vertical="center"/>
    </xf>
    <xf numFmtId="0" fontId="8" fillId="0" borderId="0" xfId="0" quotePrefix="1" applyFont="1">
      <alignment vertical="center"/>
    </xf>
    <xf numFmtId="0" fontId="9" fillId="4" borderId="0" xfId="0" applyFont="1" applyFill="1" applyBorder="1" applyAlignment="1">
      <alignment horizontal="left" vertical="center" indent="1"/>
    </xf>
    <xf numFmtId="0" fontId="9" fillId="4" borderId="2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centerContinuous" vertical="center"/>
    </xf>
    <xf numFmtId="0" fontId="11" fillId="5" borderId="9" xfId="0" applyFont="1" applyFill="1" applyBorder="1" applyAlignment="1">
      <alignment horizontal="centerContinuous" vertical="center" shrinkToFit="1"/>
    </xf>
    <xf numFmtId="0" fontId="11" fillId="5" borderId="1" xfId="0" applyFont="1" applyFill="1" applyBorder="1" applyAlignment="1">
      <alignment horizontal="centerContinuous" vertical="center" shrinkToFit="1"/>
    </xf>
    <xf numFmtId="0" fontId="11" fillId="5" borderId="8" xfId="0" applyFont="1" applyFill="1" applyBorder="1" applyAlignment="1">
      <alignment horizontal="centerContinuous" vertical="center" shrinkToFit="1"/>
    </xf>
    <xf numFmtId="0" fontId="11" fillId="5" borderId="11" xfId="0" applyFont="1" applyFill="1" applyBorder="1" applyAlignment="1">
      <alignment horizontal="centerContinuous" vertical="center" shrinkToFit="1"/>
    </xf>
    <xf numFmtId="0" fontId="11" fillId="5" borderId="15" xfId="0" applyFont="1" applyFill="1" applyBorder="1" applyAlignment="1">
      <alignment horizontal="centerContinuous" vertical="center" shrinkToFit="1"/>
    </xf>
    <xf numFmtId="0" fontId="11" fillId="2" borderId="1" xfId="0" applyFont="1" applyFill="1" applyBorder="1" applyAlignment="1">
      <alignment horizontal="centerContinuous" vertical="center" shrinkToFit="1"/>
    </xf>
    <xf numFmtId="0" fontId="7" fillId="5" borderId="3" xfId="0" applyFont="1" applyFill="1" applyBorder="1" applyAlignment="1">
      <alignment horizontal="centerContinuous" vertical="center" shrinkToFit="1"/>
    </xf>
    <xf numFmtId="0" fontId="11" fillId="5" borderId="2" xfId="0" applyFont="1" applyFill="1" applyBorder="1" applyAlignment="1">
      <alignment horizontal="centerContinuous" vertical="top" shrinkToFit="1"/>
    </xf>
    <xf numFmtId="0" fontId="11" fillId="5" borderId="3" xfId="0" applyFont="1" applyFill="1" applyBorder="1" applyAlignment="1">
      <alignment horizontal="centerContinuous" vertical="center" shrinkToFit="1"/>
    </xf>
    <xf numFmtId="0" fontId="11" fillId="5" borderId="3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horizontal="centerContinuous" vertical="center"/>
    </xf>
    <xf numFmtId="0" fontId="14" fillId="2" borderId="5" xfId="0" quotePrefix="1" applyFont="1" applyFill="1" applyBorder="1" applyAlignment="1">
      <alignment horizontal="centerContinuous" vertical="center"/>
    </xf>
    <xf numFmtId="0" fontId="15" fillId="3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8" fillId="0" borderId="0" xfId="0" applyFont="1">
      <alignment vertical="center"/>
    </xf>
    <xf numFmtId="0" fontId="8" fillId="2" borderId="1" xfId="0" applyFont="1" applyFill="1" applyBorder="1" applyAlignment="1">
      <alignment horizontal="left" vertical="center" indent="1"/>
    </xf>
    <xf numFmtId="0" fontId="8" fillId="2" borderId="1" xfId="0" applyFont="1" applyFill="1" applyBorder="1">
      <alignment vertical="center"/>
    </xf>
    <xf numFmtId="0" fontId="8" fillId="2" borderId="1" xfId="0" applyFont="1" applyFill="1" applyBorder="1" applyAlignment="1">
      <alignment horizontal="right" vertical="center"/>
    </xf>
    <xf numFmtId="0" fontId="16" fillId="0" borderId="4" xfId="0" applyFont="1" applyBorder="1" applyAlignment="1">
      <alignment horizontal="centerContinuous" vertical="center"/>
    </xf>
    <xf numFmtId="0" fontId="11" fillId="2" borderId="11" xfId="0" applyFont="1" applyFill="1" applyBorder="1" applyAlignment="1">
      <alignment horizontal="centerContinuous" vertical="center" shrinkToFit="1"/>
    </xf>
    <xf numFmtId="0" fontId="11" fillId="2" borderId="12" xfId="0" applyFont="1" applyFill="1" applyBorder="1">
      <alignment vertical="center"/>
    </xf>
    <xf numFmtId="0" fontId="9" fillId="4" borderId="13" xfId="0" applyFont="1" applyFill="1" applyBorder="1" applyAlignment="1">
      <alignment horizontal="left" vertical="center" indent="2"/>
    </xf>
    <xf numFmtId="0" fontId="9" fillId="4" borderId="14" xfId="0" applyFont="1" applyFill="1" applyBorder="1" applyAlignment="1">
      <alignment horizontal="left" vertical="center" indent="2"/>
    </xf>
    <xf numFmtId="0" fontId="11" fillId="5" borderId="12" xfId="0" applyFont="1" applyFill="1" applyBorder="1" applyAlignment="1">
      <alignment horizontal="centerContinuous" vertical="center"/>
    </xf>
    <xf numFmtId="0" fontId="11" fillId="5" borderId="16" xfId="0" applyFont="1" applyFill="1" applyBorder="1" applyAlignment="1">
      <alignment horizontal="centerContinuous" vertical="center" shrinkToFit="1"/>
    </xf>
    <xf numFmtId="0" fontId="11" fillId="5" borderId="18" xfId="0" applyFont="1" applyFill="1" applyBorder="1" applyAlignment="1">
      <alignment horizontal="centerContinuous" vertical="top" shrinkToFit="1"/>
    </xf>
    <xf numFmtId="0" fontId="11" fillId="5" borderId="12" xfId="0" applyFont="1" applyFill="1" applyBorder="1" applyAlignment="1">
      <alignment horizontal="centerContinuous" vertical="center" shrinkToFit="1"/>
    </xf>
    <xf numFmtId="0" fontId="11" fillId="5" borderId="14" xfId="0" applyFont="1" applyFill="1" applyBorder="1" applyAlignment="1">
      <alignment horizontal="centerContinuous" vertical="top" shrinkToFit="1"/>
    </xf>
    <xf numFmtId="0" fontId="11" fillId="5" borderId="19" xfId="0" applyFont="1" applyFill="1" applyBorder="1" applyAlignment="1">
      <alignment horizontal="centerContinuous" vertical="center" shrinkToFit="1"/>
    </xf>
    <xf numFmtId="0" fontId="11" fillId="5" borderId="20" xfId="0" applyFont="1" applyFill="1" applyBorder="1" applyAlignment="1">
      <alignment horizontal="centerContinuous" vertical="center" shrinkToFit="1"/>
    </xf>
    <xf numFmtId="0" fontId="11" fillId="5" borderId="21" xfId="0" applyFont="1" applyFill="1" applyBorder="1" applyAlignment="1">
      <alignment horizontal="centerContinuous" vertical="center" shrinkToFit="1"/>
    </xf>
    <xf numFmtId="0" fontId="7" fillId="5" borderId="12" xfId="0" applyFont="1" applyFill="1" applyBorder="1" applyAlignment="1">
      <alignment horizontal="centerContinuous" vertical="center" shrinkToFit="1"/>
    </xf>
    <xf numFmtId="0" fontId="11" fillId="5" borderId="2" xfId="0" applyFont="1" applyFill="1" applyBorder="1" applyAlignment="1">
      <alignment horizontal="center" vertical="top"/>
    </xf>
    <xf numFmtId="0" fontId="11" fillId="5" borderId="14" xfId="0" applyFont="1" applyFill="1" applyBorder="1" applyAlignment="1">
      <alignment horizontal="center" vertical="top"/>
    </xf>
    <xf numFmtId="0" fontId="17" fillId="3" borderId="1" xfId="0" applyFont="1" applyFill="1" applyBorder="1">
      <alignment vertical="center"/>
    </xf>
    <xf numFmtId="0" fontId="18" fillId="2" borderId="1" xfId="0" applyFont="1" applyFill="1" applyBorder="1" applyAlignment="1">
      <alignment horizontal="left" vertical="center" indent="1"/>
    </xf>
    <xf numFmtId="0" fontId="13" fillId="0" borderId="0" xfId="0" quotePrefix="1" applyFont="1">
      <alignment vertical="center"/>
    </xf>
    <xf numFmtId="0" fontId="13" fillId="2" borderId="1" xfId="0" applyFont="1" applyFill="1" applyBorder="1">
      <alignment vertical="center"/>
    </xf>
    <xf numFmtId="0" fontId="11" fillId="5" borderId="22" xfId="0" applyFont="1" applyFill="1" applyBorder="1" applyAlignment="1">
      <alignment horizontal="centerContinuous" vertical="center" shrinkToFit="1"/>
    </xf>
    <xf numFmtId="0" fontId="11" fillId="5" borderId="23" xfId="0" applyFont="1" applyFill="1" applyBorder="1" applyAlignment="1">
      <alignment horizontal="centerContinuous" vertical="center" shrinkToFit="1"/>
    </xf>
    <xf numFmtId="0" fontId="9" fillId="4" borderId="0" xfId="0" applyFont="1" applyFill="1" applyAlignment="1">
      <alignment horizontal="left" vertical="center" indent="1"/>
    </xf>
    <xf numFmtId="0" fontId="9" fillId="4" borderId="0" xfId="0" applyFont="1" applyFill="1">
      <alignment vertical="center"/>
    </xf>
    <xf numFmtId="0" fontId="9" fillId="4" borderId="0" xfId="0" applyFont="1" applyFill="1" applyAlignment="1">
      <alignment horizontal="left" vertical="center" indent="2"/>
    </xf>
    <xf numFmtId="0" fontId="9" fillId="4" borderId="2" xfId="0" applyFont="1" applyFill="1" applyBorder="1">
      <alignment vertical="center"/>
    </xf>
    <xf numFmtId="179" fontId="13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19" fillId="3" borderId="1" xfId="0" applyFont="1" applyFill="1" applyBorder="1">
      <alignment vertical="center"/>
    </xf>
    <xf numFmtId="0" fontId="20" fillId="0" borderId="0" xfId="0" applyFont="1">
      <alignment vertical="center"/>
    </xf>
    <xf numFmtId="0" fontId="21" fillId="2" borderId="1" xfId="0" applyFont="1" applyFill="1" applyBorder="1" applyAlignment="1">
      <alignment horizontal="left" vertical="center" indent="1"/>
    </xf>
    <xf numFmtId="0" fontId="6" fillId="0" borderId="0" xfId="0" applyFont="1">
      <alignment vertical="center"/>
    </xf>
    <xf numFmtId="0" fontId="22" fillId="2" borderId="1" xfId="0" applyFont="1" applyFill="1" applyBorder="1">
      <alignment vertical="center"/>
    </xf>
    <xf numFmtId="0" fontId="23" fillId="2" borderId="1" xfId="0" applyFont="1" applyFill="1" applyBorder="1">
      <alignment vertical="center"/>
    </xf>
    <xf numFmtId="0" fontId="24" fillId="2" borderId="1" xfId="0" applyFont="1" applyFill="1" applyBorder="1" applyAlignment="1">
      <alignment horizontal="right" vertical="center"/>
    </xf>
    <xf numFmtId="176" fontId="0" fillId="0" borderId="0" xfId="0" applyNumberFormat="1">
      <alignment vertical="center"/>
    </xf>
    <xf numFmtId="0" fontId="23" fillId="2" borderId="1" xfId="0" applyFont="1" applyFill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9" fillId="0" borderId="37" xfId="0" applyFont="1" applyFill="1" applyBorder="1" applyAlignment="1">
      <alignment horizontal="left" vertical="center"/>
    </xf>
    <xf numFmtId="0" fontId="9" fillId="0" borderId="38" xfId="0" applyFont="1" applyFill="1" applyBorder="1">
      <alignment vertical="center"/>
    </xf>
    <xf numFmtId="0" fontId="9" fillId="0" borderId="35" xfId="0" applyFont="1" applyFill="1" applyBorder="1">
      <alignment vertical="center"/>
    </xf>
    <xf numFmtId="0" fontId="9" fillId="0" borderId="37" xfId="0" applyFont="1" applyFill="1" applyBorder="1">
      <alignment vertical="center"/>
    </xf>
    <xf numFmtId="0" fontId="9" fillId="0" borderId="38" xfId="0" applyFont="1" applyFill="1" applyBorder="1" applyAlignment="1">
      <alignment vertical="center"/>
    </xf>
    <xf numFmtId="0" fontId="9" fillId="0" borderId="35" xfId="0" applyFont="1" applyFill="1" applyBorder="1" applyAlignment="1">
      <alignment vertical="center"/>
    </xf>
    <xf numFmtId="0" fontId="9" fillId="2" borderId="37" xfId="0" applyFont="1" applyFill="1" applyBorder="1" applyAlignment="1">
      <alignment horizontal="left" vertical="center"/>
    </xf>
    <xf numFmtId="0" fontId="9" fillId="2" borderId="38" xfId="0" applyFont="1" applyFill="1" applyBorder="1">
      <alignment vertical="center"/>
    </xf>
    <xf numFmtId="0" fontId="9" fillId="2" borderId="35" xfId="0" applyFont="1" applyFill="1" applyBorder="1">
      <alignment vertical="center"/>
    </xf>
    <xf numFmtId="0" fontId="9" fillId="2" borderId="37" xfId="0" applyFont="1" applyFill="1" applyBorder="1">
      <alignment vertical="center"/>
    </xf>
    <xf numFmtId="0" fontId="9" fillId="2" borderId="38" xfId="0" applyFont="1" applyFill="1" applyBorder="1" applyAlignment="1">
      <alignment vertical="center"/>
    </xf>
    <xf numFmtId="0" fontId="9" fillId="2" borderId="35" xfId="0" applyFont="1" applyFill="1" applyBorder="1" applyAlignment="1">
      <alignment vertical="center"/>
    </xf>
    <xf numFmtId="0" fontId="9" fillId="0" borderId="41" xfId="0" applyFont="1" applyFill="1" applyBorder="1">
      <alignment vertical="center"/>
    </xf>
    <xf numFmtId="0" fontId="9" fillId="0" borderId="42" xfId="0" applyFont="1" applyFill="1" applyBorder="1">
      <alignment vertical="center"/>
    </xf>
    <xf numFmtId="0" fontId="9" fillId="0" borderId="42" xfId="0" applyFont="1" applyFill="1" applyBorder="1" applyAlignment="1">
      <alignment vertical="center"/>
    </xf>
    <xf numFmtId="0" fontId="9" fillId="0" borderId="47" xfId="0" applyFont="1" applyFill="1" applyBorder="1" applyAlignment="1">
      <alignment vertical="center"/>
    </xf>
    <xf numFmtId="0" fontId="9" fillId="0" borderId="39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49" xfId="0" applyFont="1" applyFill="1" applyBorder="1" applyAlignment="1">
      <alignment vertical="center"/>
    </xf>
    <xf numFmtId="0" fontId="9" fillId="0" borderId="45" xfId="0" applyFont="1" applyFill="1" applyBorder="1">
      <alignment vertical="center"/>
    </xf>
    <xf numFmtId="0" fontId="9" fillId="0" borderId="46" xfId="0" applyFont="1" applyFill="1" applyBorder="1">
      <alignment vertical="center"/>
    </xf>
    <xf numFmtId="0" fontId="9" fillId="0" borderId="46" xfId="0" applyFont="1" applyFill="1" applyBorder="1" applyAlignment="1">
      <alignment vertical="center"/>
    </xf>
    <xf numFmtId="0" fontId="9" fillId="0" borderId="48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176" fontId="13" fillId="0" borderId="0" xfId="0" applyNumberFormat="1" applyFont="1">
      <alignment vertical="center"/>
    </xf>
    <xf numFmtId="0" fontId="13" fillId="0" borderId="0" xfId="0" applyFont="1" applyBorder="1" applyAlignment="1">
      <alignment horizontal="center" vertical="center"/>
    </xf>
    <xf numFmtId="0" fontId="9" fillId="0" borderId="45" xfId="0" applyFont="1" applyBorder="1" applyAlignment="1">
      <alignment vertical="center"/>
    </xf>
    <xf numFmtId="0" fontId="9" fillId="0" borderId="46" xfId="0" applyFont="1" applyBorder="1" applyAlignment="1">
      <alignment vertical="center"/>
    </xf>
    <xf numFmtId="0" fontId="9" fillId="2" borderId="41" xfId="0" applyFont="1" applyFill="1" applyBorder="1" applyAlignment="1">
      <alignment vertical="center"/>
    </xf>
    <xf numFmtId="0" fontId="9" fillId="2" borderId="42" xfId="0" applyFont="1" applyFill="1" applyBorder="1" applyAlignment="1">
      <alignment vertical="center"/>
    </xf>
    <xf numFmtId="0" fontId="9" fillId="0" borderId="39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2" borderId="37" xfId="0" applyFont="1" applyFill="1" applyBorder="1" applyAlignment="1">
      <alignment vertical="center"/>
    </xf>
    <xf numFmtId="180" fontId="13" fillId="0" borderId="0" xfId="0" applyNumberFormat="1" applyFont="1">
      <alignment vertical="center"/>
    </xf>
    <xf numFmtId="0" fontId="25" fillId="0" borderId="0" xfId="0" applyFont="1">
      <alignment vertical="center"/>
    </xf>
    <xf numFmtId="0" fontId="26" fillId="3" borderId="50" xfId="0" applyFont="1" applyFill="1" applyBorder="1" applyAlignment="1">
      <alignment horizontal="centerContinuous" vertical="center"/>
    </xf>
    <xf numFmtId="0" fontId="26" fillId="3" borderId="51" xfId="0" applyFont="1" applyFill="1" applyBorder="1" applyAlignment="1">
      <alignment horizontal="centerContinuous" vertical="center"/>
    </xf>
    <xf numFmtId="0" fontId="27" fillId="3" borderId="52" xfId="0" applyFont="1" applyFill="1" applyBorder="1" applyAlignment="1">
      <alignment horizontal="left" vertical="center" indent="1"/>
    </xf>
    <xf numFmtId="0" fontId="27" fillId="3" borderId="53" xfId="0" applyFont="1" applyFill="1" applyBorder="1" applyAlignment="1">
      <alignment horizontal="centerContinuous" vertical="center"/>
    </xf>
    <xf numFmtId="0" fontId="26" fillId="3" borderId="53" xfId="0" applyFont="1" applyFill="1" applyBorder="1" applyAlignment="1">
      <alignment horizontal="centerContinuous" vertical="center"/>
    </xf>
    <xf numFmtId="0" fontId="27" fillId="3" borderId="54" xfId="0" applyFont="1" applyFill="1" applyBorder="1" applyAlignment="1">
      <alignment horizontal="centerContinuous" vertical="center"/>
    </xf>
    <xf numFmtId="0" fontId="27" fillId="3" borderId="55" xfId="0" applyFont="1" applyFill="1" applyBorder="1" applyAlignment="1">
      <alignment horizontal="left" vertical="center" indent="1"/>
    </xf>
    <xf numFmtId="0" fontId="27" fillId="3" borderId="56" xfId="0" applyFont="1" applyFill="1" applyBorder="1" applyAlignment="1">
      <alignment horizontal="centerContinuous" vertical="center"/>
    </xf>
    <xf numFmtId="0" fontId="27" fillId="3" borderId="57" xfId="0" applyFont="1" applyFill="1" applyBorder="1" applyAlignment="1">
      <alignment horizontal="centerContinuous" vertical="center"/>
    </xf>
    <xf numFmtId="0" fontId="26" fillId="3" borderId="58" xfId="0" applyFont="1" applyFill="1" applyBorder="1" applyAlignment="1">
      <alignment horizontal="centerContinuous" vertical="center"/>
    </xf>
    <xf numFmtId="0" fontId="26" fillId="3" borderId="0" xfId="0" applyFont="1" applyFill="1" applyAlignment="1">
      <alignment horizontal="centerContinuous" vertical="center"/>
    </xf>
    <xf numFmtId="0" fontId="27" fillId="3" borderId="0" xfId="0" applyFont="1" applyFill="1" applyAlignment="1">
      <alignment horizontal="centerContinuous" vertical="center"/>
    </xf>
    <xf numFmtId="0" fontId="26" fillId="3" borderId="59" xfId="0" applyFont="1" applyFill="1" applyBorder="1" applyAlignment="1">
      <alignment horizontal="centerContinuous" vertical="center"/>
    </xf>
    <xf numFmtId="0" fontId="28" fillId="0" borderId="54" xfId="0" applyFont="1" applyBorder="1" applyAlignment="1">
      <alignment horizontal="left" vertical="center" indent="1"/>
    </xf>
    <xf numFmtId="0" fontId="28" fillId="0" borderId="54" xfId="0" applyFont="1" applyBorder="1">
      <alignment vertical="center"/>
    </xf>
    <xf numFmtId="0" fontId="28" fillId="2" borderId="54" xfId="0" applyFont="1" applyFill="1" applyBorder="1" applyAlignment="1">
      <alignment horizontal="left" vertical="center" indent="1"/>
    </xf>
    <xf numFmtId="0" fontId="28" fillId="2" borderId="61" xfId="0" applyFont="1" applyFill="1" applyBorder="1">
      <alignment vertical="center"/>
    </xf>
    <xf numFmtId="0" fontId="28" fillId="0" borderId="63" xfId="0" applyFont="1" applyBorder="1">
      <alignment vertical="center"/>
    </xf>
    <xf numFmtId="0" fontId="28" fillId="2" borderId="63" xfId="0" applyFont="1" applyFill="1" applyBorder="1" applyAlignment="1">
      <alignment horizontal="left" vertical="center" indent="1"/>
    </xf>
    <xf numFmtId="0" fontId="28" fillId="2" borderId="64" xfId="0" applyFont="1" applyFill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11" xfId="0" applyNumberFormat="1" applyFont="1" applyBorder="1" applyAlignment="1">
      <alignment horizontal="center" vertical="center"/>
    </xf>
    <xf numFmtId="176" fontId="9" fillId="0" borderId="15" xfId="0" applyNumberFormat="1" applyFont="1" applyBorder="1" applyAlignment="1">
      <alignment horizontal="center" vertical="center"/>
    </xf>
    <xf numFmtId="0" fontId="11" fillId="2" borderId="16" xfId="0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 vertical="center"/>
    </xf>
    <xf numFmtId="0" fontId="11" fillId="2" borderId="12" xfId="0" applyFont="1" applyFill="1" applyBorder="1" applyAlignment="1">
      <alignment horizontal="right" vertical="center"/>
    </xf>
    <xf numFmtId="0" fontId="9" fillId="0" borderId="17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right" vertical="center"/>
    </xf>
    <xf numFmtId="0" fontId="9" fillId="0" borderId="13" xfId="0" applyFont="1" applyFill="1" applyBorder="1" applyAlignment="1">
      <alignment horizontal="right" vertical="center"/>
    </xf>
    <xf numFmtId="0" fontId="9" fillId="0" borderId="18" xfId="0" applyFont="1" applyFill="1" applyBorder="1" applyAlignment="1">
      <alignment horizontal="right" vertical="center"/>
    </xf>
    <xf numFmtId="0" fontId="9" fillId="0" borderId="2" xfId="0" applyFont="1" applyFill="1" applyBorder="1" applyAlignment="1">
      <alignment horizontal="right" vertical="center"/>
    </xf>
    <xf numFmtId="0" fontId="9" fillId="0" borderId="14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right" vertical="center"/>
    </xf>
    <xf numFmtId="0" fontId="9" fillId="0" borderId="28" xfId="0" applyFont="1" applyFill="1" applyBorder="1" applyAlignment="1">
      <alignment horizontal="right" vertical="center"/>
    </xf>
    <xf numFmtId="0" fontId="11" fillId="2" borderId="24" xfId="0" applyFont="1" applyFill="1" applyBorder="1" applyAlignment="1">
      <alignment horizontal="right" vertical="center"/>
    </xf>
    <xf numFmtId="0" fontId="11" fillId="2" borderId="25" xfId="0" applyFont="1" applyFill="1" applyBorder="1" applyAlignment="1">
      <alignment horizontal="right" vertical="center"/>
    </xf>
    <xf numFmtId="0" fontId="9" fillId="0" borderId="31" xfId="0" applyFont="1" applyFill="1" applyBorder="1" applyAlignment="1">
      <alignment horizontal="right" vertical="center"/>
    </xf>
    <xf numFmtId="0" fontId="9" fillId="0" borderId="30" xfId="0" applyFont="1" applyFill="1" applyBorder="1" applyAlignment="1">
      <alignment horizontal="right" vertical="center"/>
    </xf>
    <xf numFmtId="0" fontId="0" fillId="0" borderId="3" xfId="0" applyBorder="1" applyAlignment="1"/>
    <xf numFmtId="0" fontId="9" fillId="0" borderId="17" xfId="0" applyFont="1" applyBorder="1" applyAlignment="1">
      <alignment horizontal="right" vertical="center"/>
    </xf>
    <xf numFmtId="0" fontId="13" fillId="0" borderId="0" xfId="0" applyFont="1">
      <alignment vertical="center"/>
    </xf>
    <xf numFmtId="0" fontId="9" fillId="0" borderId="18" xfId="0" applyFont="1" applyBorder="1" applyAlignment="1">
      <alignment horizontal="right" vertical="center"/>
    </xf>
    <xf numFmtId="0" fontId="0" fillId="0" borderId="2" xfId="0" applyBorder="1" applyAlignment="1"/>
    <xf numFmtId="0" fontId="7" fillId="0" borderId="0" xfId="0" applyFont="1" applyAlignment="1">
      <alignment horizontal="center" vertical="center"/>
    </xf>
    <xf numFmtId="0" fontId="9" fillId="2" borderId="24" xfId="0" applyFont="1" applyFill="1" applyBorder="1" applyAlignment="1">
      <alignment horizontal="right" vertical="center"/>
    </xf>
    <xf numFmtId="0" fontId="9" fillId="2" borderId="25" xfId="0" applyFont="1" applyFill="1" applyBorder="1" applyAlignment="1">
      <alignment horizontal="right" vertical="center"/>
    </xf>
    <xf numFmtId="0" fontId="9" fillId="2" borderId="26" xfId="0" applyFont="1" applyFill="1" applyBorder="1" applyAlignment="1">
      <alignment horizontal="right" vertical="center"/>
    </xf>
    <xf numFmtId="0" fontId="9" fillId="2" borderId="16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9" fillId="0" borderId="28" xfId="0" applyFont="1" applyBorder="1" applyAlignment="1">
      <alignment horizontal="right" vertical="center"/>
    </xf>
    <xf numFmtId="0" fontId="9" fillId="0" borderId="29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0" borderId="30" xfId="0" applyFont="1" applyBorder="1" applyAlignment="1">
      <alignment horizontal="right" vertical="center"/>
    </xf>
    <xf numFmtId="0" fontId="9" fillId="0" borderId="31" xfId="0" applyFont="1" applyBorder="1" applyAlignment="1">
      <alignment horizontal="right" vertical="center"/>
    </xf>
    <xf numFmtId="0" fontId="9" fillId="0" borderId="32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9" fillId="0" borderId="29" xfId="0" applyFont="1" applyFill="1" applyBorder="1" applyAlignment="1">
      <alignment horizontal="right" vertical="center"/>
    </xf>
    <xf numFmtId="0" fontId="9" fillId="0" borderId="32" xfId="0" applyFont="1" applyFill="1" applyBorder="1" applyAlignment="1">
      <alignment horizontal="right" vertical="center"/>
    </xf>
    <xf numFmtId="0" fontId="10" fillId="2" borderId="34" xfId="0" applyFont="1" applyFill="1" applyBorder="1" applyAlignment="1">
      <alignment horizontal="right" vertical="center"/>
    </xf>
    <xf numFmtId="0" fontId="10" fillId="2" borderId="33" xfId="0" applyFont="1" applyFill="1" applyBorder="1" applyAlignment="1">
      <alignment horizontal="right" vertical="center"/>
    </xf>
    <xf numFmtId="0" fontId="10" fillId="2" borderId="16" xfId="0" applyFont="1" applyFill="1" applyBorder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26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9" fillId="0" borderId="6" xfId="0" applyFont="1" applyFill="1" applyBorder="1" applyAlignment="1">
      <alignment horizontal="right" vertical="center"/>
    </xf>
    <xf numFmtId="177" fontId="10" fillId="2" borderId="34" xfId="0" applyNumberFormat="1" applyFont="1" applyFill="1" applyBorder="1" applyAlignment="1">
      <alignment horizontal="right" vertical="center"/>
    </xf>
    <xf numFmtId="0" fontId="0" fillId="0" borderId="12" xfId="0" applyBorder="1" applyAlignment="1"/>
    <xf numFmtId="177" fontId="10" fillId="2" borderId="33" xfId="0" applyNumberFormat="1" applyFont="1" applyFill="1" applyBorder="1" applyAlignment="1">
      <alignment horizontal="right" vertical="center"/>
    </xf>
    <xf numFmtId="0" fontId="9" fillId="0" borderId="10" xfId="0" applyFont="1" applyFill="1" applyBorder="1" applyAlignment="1">
      <alignment horizontal="right" vertical="center"/>
    </xf>
    <xf numFmtId="177" fontId="10" fillId="2" borderId="26" xfId="0" applyNumberFormat="1" applyFont="1" applyFill="1" applyBorder="1" applyAlignment="1">
      <alignment horizontal="right" vertical="center"/>
    </xf>
    <xf numFmtId="177" fontId="10" fillId="2" borderId="3" xfId="0" applyNumberFormat="1" applyFont="1" applyFill="1" applyBorder="1" applyAlignment="1">
      <alignment horizontal="right" vertical="center"/>
    </xf>
    <xf numFmtId="177" fontId="10" fillId="2" borderId="7" xfId="0" applyNumberFormat="1" applyFont="1" applyFill="1" applyBorder="1" applyAlignment="1">
      <alignment horizontal="right" vertical="center"/>
    </xf>
    <xf numFmtId="178" fontId="10" fillId="2" borderId="26" xfId="0" quotePrefix="1" applyNumberFormat="1" applyFont="1" applyFill="1" applyBorder="1" applyAlignment="1">
      <alignment horizontal="center" vertical="center"/>
    </xf>
    <xf numFmtId="178" fontId="10" fillId="2" borderId="3" xfId="0" applyNumberFormat="1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right" vertical="center"/>
    </xf>
    <xf numFmtId="0" fontId="9" fillId="0" borderId="7" xfId="0" applyFont="1" applyFill="1" applyBorder="1" applyAlignment="1">
      <alignment horizontal="right" vertical="center"/>
    </xf>
    <xf numFmtId="0" fontId="11" fillId="5" borderId="36" xfId="0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center" vertical="center"/>
    </xf>
    <xf numFmtId="0" fontId="11" fillId="5" borderId="38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right" vertical="center"/>
    </xf>
    <xf numFmtId="0" fontId="9" fillId="6" borderId="36" xfId="0" applyFont="1" applyFill="1" applyBorder="1" applyAlignment="1">
      <alignment horizontal="right" vertical="center"/>
    </xf>
    <xf numFmtId="0" fontId="13" fillId="2" borderId="36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6" borderId="40" xfId="0" applyFont="1" applyFill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9" fillId="6" borderId="44" xfId="0" applyFont="1" applyFill="1" applyBorder="1" applyAlignment="1">
      <alignment horizontal="right" vertical="center"/>
    </xf>
    <xf numFmtId="0" fontId="9" fillId="0" borderId="43" xfId="0" applyFont="1" applyFill="1" applyBorder="1" applyAlignment="1">
      <alignment horizontal="right" vertical="center"/>
    </xf>
    <xf numFmtId="0" fontId="9" fillId="6" borderId="43" xfId="0" applyFont="1" applyFill="1" applyBorder="1" applyAlignment="1">
      <alignment horizontal="right" vertical="center"/>
    </xf>
    <xf numFmtId="0" fontId="9" fillId="0" borderId="41" xfId="0" applyFont="1" applyBorder="1" applyAlignment="1">
      <alignment horizontal="right" vertical="center"/>
    </xf>
    <xf numFmtId="0" fontId="9" fillId="0" borderId="42" xfId="0" applyFont="1" applyBorder="1" applyAlignment="1">
      <alignment horizontal="right" vertical="center"/>
    </xf>
    <xf numFmtId="0" fontId="9" fillId="0" borderId="47" xfId="0" applyFont="1" applyBorder="1" applyAlignment="1">
      <alignment horizontal="right" vertical="center"/>
    </xf>
    <xf numFmtId="0" fontId="9" fillId="0" borderId="39" xfId="0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9" fillId="0" borderId="49" xfId="0" applyFont="1" applyBorder="1" applyAlignment="1">
      <alignment horizontal="right" vertical="center"/>
    </xf>
    <xf numFmtId="0" fontId="9" fillId="0" borderId="45" xfId="0" applyFont="1" applyBorder="1" applyAlignment="1">
      <alignment horizontal="right" vertical="center"/>
    </xf>
    <xf numFmtId="0" fontId="9" fillId="0" borderId="46" xfId="0" applyFont="1" applyBorder="1" applyAlignment="1">
      <alignment horizontal="right" vertical="center"/>
    </xf>
    <xf numFmtId="0" fontId="9" fillId="0" borderId="48" xfId="0" applyFont="1" applyBorder="1" applyAlignment="1">
      <alignment horizontal="right" vertical="center"/>
    </xf>
    <xf numFmtId="0" fontId="9" fillId="2" borderId="40" xfId="0" applyFont="1" applyFill="1" applyBorder="1" applyAlignment="1">
      <alignment horizontal="right" vertical="center"/>
    </xf>
    <xf numFmtId="0" fontId="9" fillId="0" borderId="44" xfId="0" applyFont="1" applyFill="1" applyBorder="1" applyAlignment="1">
      <alignment horizontal="right" vertical="center"/>
    </xf>
    <xf numFmtId="0" fontId="11" fillId="5" borderId="41" xfId="0" applyFont="1" applyFill="1" applyBorder="1" applyAlignment="1">
      <alignment horizontal="center" vertical="center"/>
    </xf>
    <xf numFmtId="0" fontId="11" fillId="5" borderId="42" xfId="0" applyFont="1" applyFill="1" applyBorder="1" applyAlignment="1">
      <alignment horizontal="center" vertical="center"/>
    </xf>
    <xf numFmtId="0" fontId="11" fillId="5" borderId="47" xfId="0" applyFont="1" applyFill="1" applyBorder="1" applyAlignment="1">
      <alignment horizontal="center" vertical="center"/>
    </xf>
    <xf numFmtId="0" fontId="11" fillId="5" borderId="45" xfId="0" applyFont="1" applyFill="1" applyBorder="1" applyAlignment="1">
      <alignment horizontal="center" vertical="center"/>
    </xf>
    <xf numFmtId="0" fontId="11" fillId="5" borderId="46" xfId="0" applyFont="1" applyFill="1" applyBorder="1" applyAlignment="1">
      <alignment horizontal="center" vertical="center"/>
    </xf>
    <xf numFmtId="0" fontId="11" fillId="5" borderId="48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11" fillId="5" borderId="40" xfId="0" applyFont="1" applyFill="1" applyBorder="1" applyAlignment="1">
      <alignment horizontal="center" vertical="center"/>
    </xf>
    <xf numFmtId="0" fontId="11" fillId="5" borderId="44" xfId="0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right" vertical="center"/>
    </xf>
    <xf numFmtId="0" fontId="9" fillId="0" borderId="38" xfId="0" applyFont="1" applyFill="1" applyBorder="1" applyAlignment="1">
      <alignment horizontal="right" vertical="center"/>
    </xf>
    <xf numFmtId="0" fontId="9" fillId="0" borderId="35" xfId="0" applyFont="1" applyFill="1" applyBorder="1" applyAlignment="1">
      <alignment horizontal="right" vertical="center"/>
    </xf>
    <xf numFmtId="0" fontId="9" fillId="0" borderId="45" xfId="0" applyFont="1" applyFill="1" applyBorder="1" applyAlignment="1">
      <alignment horizontal="right" vertical="center"/>
    </xf>
    <xf numFmtId="0" fontId="9" fillId="0" borderId="46" xfId="0" applyFont="1" applyFill="1" applyBorder="1" applyAlignment="1">
      <alignment horizontal="right" vertical="center"/>
    </xf>
    <xf numFmtId="0" fontId="9" fillId="0" borderId="48" xfId="0" applyFont="1" applyFill="1" applyBorder="1" applyAlignment="1">
      <alignment horizontal="right" vertical="center"/>
    </xf>
    <xf numFmtId="0" fontId="9" fillId="6" borderId="45" xfId="0" applyFont="1" applyFill="1" applyBorder="1" applyAlignment="1">
      <alignment horizontal="right" vertical="center"/>
    </xf>
    <xf numFmtId="0" fontId="9" fillId="6" borderId="46" xfId="0" applyFont="1" applyFill="1" applyBorder="1" applyAlignment="1">
      <alignment horizontal="right" vertical="center"/>
    </xf>
    <xf numFmtId="0" fontId="9" fillId="6" borderId="48" xfId="0" applyFont="1" applyFill="1" applyBorder="1" applyAlignment="1">
      <alignment horizontal="right" vertical="center"/>
    </xf>
    <xf numFmtId="0" fontId="9" fillId="0" borderId="41" xfId="0" applyFont="1" applyFill="1" applyBorder="1" applyAlignment="1">
      <alignment horizontal="left" vertical="center"/>
    </xf>
    <xf numFmtId="0" fontId="9" fillId="0" borderId="42" xfId="0" applyFont="1" applyFill="1" applyBorder="1" applyAlignment="1">
      <alignment horizontal="left" vertical="center"/>
    </xf>
    <xf numFmtId="0" fontId="9" fillId="0" borderId="47" xfId="0" applyFont="1" applyFill="1" applyBorder="1" applyAlignment="1">
      <alignment horizontal="left" vertical="center"/>
    </xf>
    <xf numFmtId="0" fontId="9" fillId="0" borderId="39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9" fillId="0" borderId="49" xfId="0" applyFont="1" applyFill="1" applyBorder="1" applyAlignment="1">
      <alignment horizontal="left" vertical="center"/>
    </xf>
    <xf numFmtId="0" fontId="9" fillId="0" borderId="45" xfId="0" applyFont="1" applyFill="1" applyBorder="1" applyAlignment="1">
      <alignment horizontal="left" vertical="center"/>
    </xf>
    <xf numFmtId="0" fontId="9" fillId="0" borderId="46" xfId="0" applyFont="1" applyFill="1" applyBorder="1" applyAlignment="1">
      <alignment horizontal="left" vertical="center"/>
    </xf>
    <xf numFmtId="0" fontId="9" fillId="0" borderId="48" xfId="0" applyFont="1" applyFill="1" applyBorder="1" applyAlignment="1">
      <alignment horizontal="left" vertical="center"/>
    </xf>
    <xf numFmtId="0" fontId="9" fillId="6" borderId="41" xfId="0" applyFont="1" applyFill="1" applyBorder="1" applyAlignment="1">
      <alignment horizontal="right" vertical="center"/>
    </xf>
    <xf numFmtId="0" fontId="9" fillId="6" borderId="42" xfId="0" applyFont="1" applyFill="1" applyBorder="1" applyAlignment="1">
      <alignment horizontal="right" vertical="center"/>
    </xf>
    <xf numFmtId="0" fontId="9" fillId="6" borderId="47" xfId="0" applyFont="1" applyFill="1" applyBorder="1" applyAlignment="1">
      <alignment horizontal="right" vertical="center"/>
    </xf>
    <xf numFmtId="0" fontId="9" fillId="0" borderId="41" xfId="0" applyFont="1" applyFill="1" applyBorder="1" applyAlignment="1">
      <alignment horizontal="right" vertical="center"/>
    </xf>
    <xf numFmtId="0" fontId="9" fillId="0" borderId="42" xfId="0" applyFont="1" applyFill="1" applyBorder="1" applyAlignment="1">
      <alignment horizontal="right" vertical="center"/>
    </xf>
    <xf numFmtId="0" fontId="9" fillId="0" borderId="47" xfId="0" applyFont="1" applyFill="1" applyBorder="1" applyAlignment="1">
      <alignment horizontal="right" vertical="center"/>
    </xf>
    <xf numFmtId="0" fontId="9" fillId="6" borderId="37" xfId="0" applyFont="1" applyFill="1" applyBorder="1" applyAlignment="1">
      <alignment horizontal="right" vertical="center"/>
    </xf>
    <xf numFmtId="0" fontId="9" fillId="6" borderId="38" xfId="0" applyFont="1" applyFill="1" applyBorder="1" applyAlignment="1">
      <alignment horizontal="right" vertical="center"/>
    </xf>
    <xf numFmtId="0" fontId="9" fillId="6" borderId="35" xfId="0" applyFont="1" applyFill="1" applyBorder="1" applyAlignment="1">
      <alignment horizontal="right" vertical="center"/>
    </xf>
    <xf numFmtId="0" fontId="9" fillId="6" borderId="66" xfId="0" applyFont="1" applyFill="1" applyBorder="1" applyAlignment="1">
      <alignment horizontal="right" vertical="center"/>
    </xf>
    <xf numFmtId="0" fontId="9" fillId="6" borderId="67" xfId="0" applyFont="1" applyFill="1" applyBorder="1" applyAlignment="1">
      <alignment horizontal="right" vertical="center"/>
    </xf>
    <xf numFmtId="0" fontId="9" fillId="6" borderId="68" xfId="0" applyFont="1" applyFill="1" applyBorder="1" applyAlignment="1">
      <alignment horizontal="right" vertical="center"/>
    </xf>
    <xf numFmtId="0" fontId="9" fillId="2" borderId="37" xfId="0" applyFont="1" applyFill="1" applyBorder="1" applyAlignment="1">
      <alignment horizontal="right" vertical="center"/>
    </xf>
    <xf numFmtId="0" fontId="9" fillId="2" borderId="38" xfId="0" applyFont="1" applyFill="1" applyBorder="1" applyAlignment="1">
      <alignment horizontal="right" vertical="center"/>
    </xf>
    <xf numFmtId="0" fontId="9" fillId="2" borderId="35" xfId="0" applyFont="1" applyFill="1" applyBorder="1" applyAlignment="1">
      <alignment horizontal="right" vertical="center"/>
    </xf>
    <xf numFmtId="0" fontId="9" fillId="0" borderId="39" xfId="0" applyFont="1" applyFill="1" applyBorder="1" applyAlignment="1">
      <alignment horizontal="right" vertical="center"/>
    </xf>
    <xf numFmtId="0" fontId="9" fillId="0" borderId="49" xfId="0" applyFont="1" applyFill="1" applyBorder="1" applyAlignment="1">
      <alignment horizontal="right" vertical="center"/>
    </xf>
    <xf numFmtId="0" fontId="9" fillId="6" borderId="39" xfId="0" applyFont="1" applyFill="1" applyBorder="1" applyAlignment="1">
      <alignment horizontal="right" vertical="center"/>
    </xf>
    <xf numFmtId="0" fontId="9" fillId="6" borderId="0" xfId="0" applyFont="1" applyFill="1" applyBorder="1" applyAlignment="1">
      <alignment horizontal="right" vertical="center"/>
    </xf>
    <xf numFmtId="0" fontId="9" fillId="6" borderId="49" xfId="0" applyFont="1" applyFill="1" applyBorder="1" applyAlignment="1">
      <alignment horizontal="right" vertical="center"/>
    </xf>
    <xf numFmtId="0" fontId="11" fillId="5" borderId="3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28" fillId="0" borderId="54" xfId="0" quotePrefix="1" applyFont="1" applyBorder="1" applyAlignment="1">
      <alignment horizontal="left" vertical="center" wrapText="1" indent="1"/>
    </xf>
    <xf numFmtId="0" fontId="28" fillId="0" borderId="0" xfId="0" quotePrefix="1" applyFont="1" applyAlignment="1">
      <alignment horizontal="left" vertical="center" wrapText="1" indent="1"/>
    </xf>
    <xf numFmtId="0" fontId="10" fillId="0" borderId="60" xfId="0" applyFont="1" applyBorder="1" applyAlignment="1">
      <alignment horizontal="left" vertical="center" wrapText="1" indent="1"/>
    </xf>
    <xf numFmtId="0" fontId="10" fillId="0" borderId="65" xfId="0" applyFont="1" applyBorder="1" applyAlignment="1">
      <alignment horizontal="left" vertical="center" wrapText="1" indent="1"/>
    </xf>
    <xf numFmtId="0" fontId="28" fillId="2" borderId="52" xfId="0" applyFont="1" applyFill="1" applyBorder="1" applyAlignment="1">
      <alignment horizontal="left" vertical="center" wrapText="1" indent="1"/>
    </xf>
    <xf numFmtId="0" fontId="28" fillId="2" borderId="59" xfId="0" applyFont="1" applyFill="1" applyBorder="1" applyAlignment="1">
      <alignment horizontal="left" vertical="center" wrapText="1" indent="1"/>
    </xf>
    <xf numFmtId="0" fontId="28" fillId="2" borderId="54" xfId="0" applyFont="1" applyFill="1" applyBorder="1" applyAlignment="1">
      <alignment horizontal="left" vertical="center" wrapText="1" indent="1"/>
    </xf>
    <xf numFmtId="0" fontId="28" fillId="2" borderId="0" xfId="0" applyFont="1" applyFill="1" applyBorder="1" applyAlignment="1">
      <alignment horizontal="left" vertical="center" wrapText="1" indent="1"/>
    </xf>
    <xf numFmtId="0" fontId="27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CF-46E8-907F-CBF615ABFB3F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CF-46E8-907F-CBF615ABFB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CF-46E8-907F-CBF615ABFB3F}"/>
              </c:ext>
            </c:extLst>
          </c:dPt>
          <c:dLbls>
            <c:dLbl>
              <c:idx val="2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0CF-46E8-907F-CBF615ABFB3F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'2.종합 NPS 현황'!$BH$9:$BJ$9</c:f>
              <c:strCache>
                <c:ptCount val="3"/>
                <c:pt idx="0">
                  <c:v>추천</c:v>
                </c:pt>
                <c:pt idx="1">
                  <c:v>중립</c:v>
                </c:pt>
                <c:pt idx="2">
                  <c:v>비추천</c:v>
                </c:pt>
              </c:strCache>
            </c:strRef>
          </c:cat>
          <c:val>
            <c:numRef>
              <c:f>'2.종합 NPS 현황'!$BH$22:$BJ$22</c:f>
              <c:numCache>
                <c:formatCode>#,##0.0;[Red]\-#,##0.0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CF-46E8-907F-CBF615ABFB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3412073490813"/>
          <c:y val="0.78878517818418781"/>
          <c:w val="0.56093175853018373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'2.종합 NPS 현황'!$BK$9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1E-411B-83FB-3795D81B9D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C1E-411B-83FB-3795D81B9D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C1E-411B-83FB-3795D81B9DA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C1E-411B-83FB-3795D81B9DA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23-426B-A9CF-210451DF206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C1E-411B-83FB-3795D81B9DA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C1E-411B-83FB-3795D81B9DA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C1E-411B-83FB-3795D81B9DA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C1E-411B-83FB-3795D81B9DA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C1E-411B-83FB-3795D81B9DA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C1E-411B-83FB-3795D81B9DA3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'2.종합 NPS 현황'!$BG$10:$BG$21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'2.종합 NPS 현황'!$BK$10:$BK$21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8-4E21-829F-B282C0F00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'2.종합 NPS 현황'!$BL$9</c:f>
              <c:strCache>
                <c:ptCount val="1"/>
                <c:pt idx="0">
                  <c:v>누적NPS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'2.종합 NPS 현황'!$BG$10:$BG$21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'2.종합 NPS 현황'!$BL$10:$BL$21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23-426B-A9CF-210451DF2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#,##0.0;[Red]\-#,##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'2.종합 NPS 현황'!$BH$9</c:f>
              <c:strCache>
                <c:ptCount val="1"/>
                <c:pt idx="0">
                  <c:v>추천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'2.종합 NPS 현황'!$BG$10:$BG$21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'2.종합 NPS 현황'!$BH$10:$BH$21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1-4803-985C-302A4F778C1C}"/>
            </c:ext>
          </c:extLst>
        </c:ser>
        <c:ser>
          <c:idx val="1"/>
          <c:order val="1"/>
          <c:tx>
            <c:strRef>
              <c:f>'2.종합 NPS 현황'!$BI$9</c:f>
              <c:strCache>
                <c:ptCount val="1"/>
                <c:pt idx="0">
                  <c:v>중립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'2.종합 NPS 현황'!$BG$10:$BG$21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'2.종합 NPS 현황'!$BI$10:$BI$21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61-4803-985C-302A4F778C1C}"/>
            </c:ext>
          </c:extLst>
        </c:ser>
        <c:ser>
          <c:idx val="2"/>
          <c:order val="2"/>
          <c:tx>
            <c:strRef>
              <c:f>'2.종합 NPS 현황'!$BJ$9</c:f>
              <c:strCache>
                <c:ptCount val="1"/>
                <c:pt idx="0">
                  <c:v>비추천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'2.종합 NPS 현황'!$BG$10:$BG$21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'2.종합 NPS 현황'!$BJ$10:$BJ$21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61-4803-985C-302A4F778C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17142719277082008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B0-49BF-A409-BEB5A6082A59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B0-49BF-A409-BEB5A6082A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B0-49BF-A409-BEB5A6082A59}"/>
              </c:ext>
            </c:extLst>
          </c:dPt>
          <c:dLbls>
            <c:dLbl>
              <c:idx val="2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AB0-49BF-A409-BEB5A6082A59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'3.스타뱅킹 NPS 현황'!$BH$7:$BJ$7</c:f>
              <c:strCache>
                <c:ptCount val="3"/>
                <c:pt idx="0">
                  <c:v>추천</c:v>
                </c:pt>
                <c:pt idx="1">
                  <c:v>중립</c:v>
                </c:pt>
                <c:pt idx="2">
                  <c:v>비추천</c:v>
                </c:pt>
              </c:strCache>
            </c:strRef>
          </c:cat>
          <c:val>
            <c:numRef>
              <c:f>'3.스타뱅킹 NPS 현황'!$BH$20:$BJ$20</c:f>
              <c:numCache>
                <c:formatCode>#,##0.0;[Red]\-#,##0.0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B0-49BF-A409-BEB5A6082A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3412073490813"/>
          <c:y val="0.78878517818418781"/>
          <c:w val="0.56093175853018373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'3.스타뱅킹 NPS 현황'!$BK$7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F0-41AB-B08F-9DA0F6EB562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4F0-41AB-B08F-9DA0F6EB562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4F0-41AB-B08F-9DA0F6EB562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4F0-41AB-B08F-9DA0F6EB562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4F0-41AB-B08F-9DA0F6EB562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4F0-41AB-B08F-9DA0F6EB562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4F0-41AB-B08F-9DA0F6EB562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4F0-41AB-B08F-9DA0F6EB562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4F0-41AB-B08F-9DA0F6EB562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4F0-41AB-B08F-9DA0F6EB562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4F0-41AB-B08F-9DA0F6EB5629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'3.스타뱅킹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'3.스타뱅킹 NPS 현황'!$BK$8:$BK$19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4F0-41AB-B08F-9DA0F6EB5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'3.스타뱅킹 NPS 현황'!$BL$7</c:f>
              <c:strCache>
                <c:ptCount val="1"/>
                <c:pt idx="0">
                  <c:v>누적NPS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'3.스타뱅킹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'3.스타뱅킹 NPS 현황'!$BL$8:$BL$19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4F0-41AB-B08F-9DA0F6EB5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#,##0.0;[Red]\-#,##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'3.스타뱅킹 NPS 현황'!$BH$7</c:f>
              <c:strCache>
                <c:ptCount val="1"/>
                <c:pt idx="0">
                  <c:v>추천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'3.스타뱅킹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'3.스타뱅킹 NPS 현황'!$BH$8:$BH$19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A-4C7C-9236-5400E655CAC9}"/>
            </c:ext>
          </c:extLst>
        </c:ser>
        <c:ser>
          <c:idx val="1"/>
          <c:order val="1"/>
          <c:tx>
            <c:strRef>
              <c:f>'3.스타뱅킹 NPS 현황'!$BI$7</c:f>
              <c:strCache>
                <c:ptCount val="1"/>
                <c:pt idx="0">
                  <c:v>중립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'3.스타뱅킹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'3.스타뱅킹 NPS 현황'!$BI$8:$BI$19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1A-4C7C-9236-5400E655CAC9}"/>
            </c:ext>
          </c:extLst>
        </c:ser>
        <c:ser>
          <c:idx val="2"/>
          <c:order val="2"/>
          <c:tx>
            <c:strRef>
              <c:f>'3.스타뱅킹 NPS 현황'!$BJ$7</c:f>
              <c:strCache>
                <c:ptCount val="1"/>
                <c:pt idx="0">
                  <c:v>비추천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'3.스타뱅킹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'3.스타뱅킹 NPS 현황'!$BJ$8:$BJ$19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1A-4C7C-9236-5400E655CA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17142719277082008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74-4604-9601-186845FF77DB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74-4604-9601-186845FF77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74-4604-9601-186845FF77DB}"/>
              </c:ext>
            </c:extLst>
          </c:dPt>
          <c:dLbls>
            <c:dLbl>
              <c:idx val="2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974-4604-9601-186845FF77DB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'4.영업점 NPS 현황'!$BH$7:$BJ$7</c:f>
              <c:strCache>
                <c:ptCount val="3"/>
                <c:pt idx="0">
                  <c:v>추천</c:v>
                </c:pt>
                <c:pt idx="1">
                  <c:v>중립</c:v>
                </c:pt>
                <c:pt idx="2">
                  <c:v>비추천</c:v>
                </c:pt>
              </c:strCache>
            </c:strRef>
          </c:cat>
          <c:val>
            <c:numRef>
              <c:f>'4.영업점 NPS 현황'!$BH$20:$BJ$20</c:f>
              <c:numCache>
                <c:formatCode>#,##0.0;[Red]\-#,##0.0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74-4604-9601-186845FF77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3412073490813"/>
          <c:y val="0.78878517818418781"/>
          <c:w val="0.56093175853018373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'4.영업점 NPS 현황'!$BK$7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EF-4D11-B7E6-49FCA0FA7D6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EF-4D11-B7E6-49FCA0FA7D6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EF-4D11-B7E6-49FCA0FA7D6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6EF-4D11-B7E6-49FCA0FA7D6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6EF-4D11-B7E6-49FCA0FA7D6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6EF-4D11-B7E6-49FCA0FA7D6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6EF-4D11-B7E6-49FCA0FA7D6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6EF-4D11-B7E6-49FCA0FA7D6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96EF-4D11-B7E6-49FCA0FA7D6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6EF-4D11-B7E6-49FCA0FA7D6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6EF-4D11-B7E6-49FCA0FA7D6A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'4.영업점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'4.영업점 NPS 현황'!$BK$8:$BK$19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EF-4D11-B7E6-49FCA0FA7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'4.영업점 NPS 현황'!$BL$7</c:f>
              <c:strCache>
                <c:ptCount val="1"/>
                <c:pt idx="0">
                  <c:v>누적NPS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'4.영업점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'4.영업점 NPS 현황'!$BL$8:$BL$19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6EF-4D11-B7E6-49FCA0FA7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'4.영업점 NPS 현황'!$BH$7</c:f>
              <c:strCache>
                <c:ptCount val="1"/>
                <c:pt idx="0">
                  <c:v>추천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'4.영업점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'4.영업점 NPS 현황'!$BH$8:$BH$19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2-43FF-A0F5-F53430CC94BE}"/>
            </c:ext>
          </c:extLst>
        </c:ser>
        <c:ser>
          <c:idx val="1"/>
          <c:order val="1"/>
          <c:tx>
            <c:strRef>
              <c:f>'4.영업점 NPS 현황'!$BI$7</c:f>
              <c:strCache>
                <c:ptCount val="1"/>
                <c:pt idx="0">
                  <c:v>중립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'4.영업점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'4.영업점 NPS 현황'!$BI$8:$BI$19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E2-43FF-A0F5-F53430CC94BE}"/>
            </c:ext>
          </c:extLst>
        </c:ser>
        <c:ser>
          <c:idx val="2"/>
          <c:order val="2"/>
          <c:tx>
            <c:strRef>
              <c:f>'4.영업점 NPS 현황'!$BJ$7</c:f>
              <c:strCache>
                <c:ptCount val="1"/>
                <c:pt idx="0">
                  <c:v>비추천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'4.영업점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'4.영업점 NPS 현황'!$BJ$8:$BJ$19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E2-43FF-A0F5-F53430CC94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17142719277082008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87-4A16-9401-DF9D6BFFDB25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87-4A16-9401-DF9D6BFFDB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87-4A16-9401-DF9D6BFFDB25}"/>
              </c:ext>
            </c:extLst>
          </c:dPt>
          <c:dLbls>
            <c:dLbl>
              <c:idx val="2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387-4A16-9401-DF9D6BFFDB25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'5.고객센터 NPS 현황'!$BH$7:$BJ$7</c:f>
              <c:strCache>
                <c:ptCount val="3"/>
                <c:pt idx="0">
                  <c:v>추천</c:v>
                </c:pt>
                <c:pt idx="1">
                  <c:v>중립</c:v>
                </c:pt>
                <c:pt idx="2">
                  <c:v>비추천</c:v>
                </c:pt>
              </c:strCache>
            </c:strRef>
          </c:cat>
          <c:val>
            <c:numRef>
              <c:f>'5.고객센터 NPS 현황'!$BH$20:$BJ$20</c:f>
              <c:numCache>
                <c:formatCode>#,##0.0;[Red]\-#,##0.0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87-4A16-9401-DF9D6BFFDB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3412073490813"/>
          <c:y val="0.78878517818418781"/>
          <c:w val="0.56093175853018373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'5.고객센터 NPS 현황'!$BK$7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B0-4F94-BE5C-826C35E2F37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B0-4F94-BE5C-826C35E2F37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B0-4F94-BE5C-826C35E2F37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B0-4F94-BE5C-826C35E2F37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AB0-4F94-BE5C-826C35E2F37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AB0-4F94-BE5C-826C35E2F37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AB0-4F94-BE5C-826C35E2F37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AB0-4F94-BE5C-826C35E2F37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AB0-4F94-BE5C-826C35E2F37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AB0-4F94-BE5C-826C35E2F37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AB0-4F94-BE5C-826C35E2F37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AB0-4F94-BE5C-826C35E2F371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'5.고객센터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'5.고객센터 NPS 현황'!$BK$8:$BK$19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AB0-4F94-BE5C-826C35E2F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'5.고객센터 NPS 현황'!$BL$7</c:f>
              <c:strCache>
                <c:ptCount val="1"/>
                <c:pt idx="0">
                  <c:v>누적NPS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'5.고객센터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'5.고객센터 NPS 현황'!$BL$8:$BL$19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AB0-4F94-BE5C-826C35E2F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'5.고객센터 NPS 현황'!$BH$7</c:f>
              <c:strCache>
                <c:ptCount val="1"/>
                <c:pt idx="0">
                  <c:v>추천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'5.고객센터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'5.고객센터 NPS 현황'!$BH$8:$BH$19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E-46BC-824D-26A2636F162C}"/>
            </c:ext>
          </c:extLst>
        </c:ser>
        <c:ser>
          <c:idx val="1"/>
          <c:order val="1"/>
          <c:tx>
            <c:strRef>
              <c:f>'5.고객센터 NPS 현황'!$BI$7</c:f>
              <c:strCache>
                <c:ptCount val="1"/>
                <c:pt idx="0">
                  <c:v>중립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'5.고객센터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'5.고객센터 NPS 현황'!$BI$8:$BI$19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E-46BC-824D-26A2636F162C}"/>
            </c:ext>
          </c:extLst>
        </c:ser>
        <c:ser>
          <c:idx val="2"/>
          <c:order val="2"/>
          <c:tx>
            <c:strRef>
              <c:f>'5.고객센터 NPS 현황'!$BJ$7</c:f>
              <c:strCache>
                <c:ptCount val="1"/>
                <c:pt idx="0">
                  <c:v>비추천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'5.고객센터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'5.고객센터 NPS 현황'!$BJ$8:$BJ$19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BE-46BC-824D-26A2636F16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17142719277082008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FB-46E1-BDA2-BC362E06A35E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FB-46E1-BDA2-BC362E06A3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FB-46E1-BDA2-BC362E06A35E}"/>
              </c:ext>
            </c:extLst>
          </c:dPt>
          <c:dLbls>
            <c:dLbl>
              <c:idx val="2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EFB-46E1-BDA2-BC362E06A35E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'6.상품 NPS 현황'!$BH$7:$BJ$7</c:f>
              <c:strCache>
                <c:ptCount val="3"/>
                <c:pt idx="0">
                  <c:v>추천</c:v>
                </c:pt>
                <c:pt idx="1">
                  <c:v>중립</c:v>
                </c:pt>
                <c:pt idx="2">
                  <c:v>비추천</c:v>
                </c:pt>
              </c:strCache>
            </c:strRef>
          </c:cat>
          <c:val>
            <c:numRef>
              <c:f>'6.상품 NPS 현황'!$BH$20:$BJ$20</c:f>
              <c:numCache>
                <c:formatCode>#,##0.0;[Red]\-#,##0.0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FB-46E1-BDA2-BC362E06A3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3412073490813"/>
          <c:y val="0.78878517818418781"/>
          <c:w val="0.56093175853018373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'6.상품 NPS 현황'!$BK$7</c:f>
              <c:strCache>
                <c:ptCount val="1"/>
                <c:pt idx="0">
                  <c:v>NPS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7D-410D-A775-3DFF609444C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7D-410D-A775-3DFF609444C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D7D-410D-A775-3DFF609444C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7D-410D-A775-3DFF609444C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D7D-410D-A775-3DFF609444C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D7D-410D-A775-3DFF609444C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D7D-410D-A775-3DFF609444C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D7D-410D-A775-3DFF609444C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D7D-410D-A775-3DFF609444C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D7D-410D-A775-3DFF609444C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D7D-410D-A775-3DFF609444C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D7D-410D-A775-3DFF609444C0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'6.상품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'6.상품 NPS 현황'!$BK$8:$BK$19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D7D-410D-A775-3DFF6094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'6.상품 NPS 현황'!$BL$7</c:f>
              <c:strCache>
                <c:ptCount val="1"/>
                <c:pt idx="0">
                  <c:v>누적NPS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'6.상품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'6.상품 NPS 현황'!$BL$8:$BL$19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D7D-410D-A775-3DFF6094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'6.상품 NPS 현황'!$BH$7</c:f>
              <c:strCache>
                <c:ptCount val="1"/>
                <c:pt idx="0">
                  <c:v>추천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'6.상품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'6.상품 NPS 현황'!$BH$8:$BH$19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9-46B6-9E32-D02A47C68E73}"/>
            </c:ext>
          </c:extLst>
        </c:ser>
        <c:ser>
          <c:idx val="1"/>
          <c:order val="1"/>
          <c:tx>
            <c:strRef>
              <c:f>'6.상품 NPS 현황'!$BI$7</c:f>
              <c:strCache>
                <c:ptCount val="1"/>
                <c:pt idx="0">
                  <c:v>중립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'6.상품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'6.상품 NPS 현황'!$BI$8:$BI$19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89-46B6-9E32-D02A47C68E73}"/>
            </c:ext>
          </c:extLst>
        </c:ser>
        <c:ser>
          <c:idx val="2"/>
          <c:order val="2"/>
          <c:tx>
            <c:strRef>
              <c:f>'6.상품 NPS 현황'!$BJ$7</c:f>
              <c:strCache>
                <c:ptCount val="1"/>
                <c:pt idx="0">
                  <c:v>비추천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'6.상품 NPS 현황'!$BG$8:$BG$19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'6.상품 NPS 현황'!$BJ$8:$BJ$19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89-46B6-9E32-D02A47C68E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17142719277082008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02-43A1-AD24-7D2FCB4D1680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02-43A1-AD24-7D2FCB4D1680}"/>
              </c:ext>
            </c:extLst>
          </c:dPt>
          <c:dPt>
            <c:idx val="2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02-43A1-AD24-7D2FCB4D1680}"/>
              </c:ext>
            </c:extLst>
          </c:dPt>
          <c:dLbls>
            <c:dLbl>
              <c:idx val="1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202-43A1-AD24-7D2FCB4D1680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'7.NSS'!$BH$9:$BJ$9</c:f>
              <c:strCache>
                <c:ptCount val="3"/>
                <c:pt idx="0">
                  <c:v>긍정</c:v>
                </c:pt>
                <c:pt idx="1">
                  <c:v>부정</c:v>
                </c:pt>
                <c:pt idx="2">
                  <c:v>중립</c:v>
                </c:pt>
              </c:strCache>
            </c:strRef>
          </c:cat>
          <c:val>
            <c:numRef>
              <c:f>'7.NSS'!$BH$22:$BJ$22</c:f>
              <c:numCache>
                <c:formatCode>#,##0.0;[Red]\-#,##0.0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02-43A1-AD24-7D2FCB4D16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953412073490813"/>
          <c:y val="0.78878517818418781"/>
          <c:w val="0.56093175853018373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'7.NSS'!$BK$9</c:f>
              <c:strCache>
                <c:ptCount val="1"/>
                <c:pt idx="0">
                  <c:v>NSS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4C-46D8-840D-2EBE93C652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4C-46D8-840D-2EBE93C652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4C-46D8-840D-2EBE93C652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24C-46D8-840D-2EBE93C652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24C-46D8-840D-2EBE93C652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24C-46D8-840D-2EBE93C652A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24C-46D8-840D-2EBE93C652A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24C-46D8-840D-2EBE93C652A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24C-46D8-840D-2EBE93C652A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24C-46D8-840D-2EBE93C652A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24C-46D8-840D-2EBE93C652A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24C-46D8-840D-2EBE93C652AF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'7.NSS'!$BG$10:$BG$21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'7.NSS'!$BK$10:$BK$21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24C-46D8-840D-2EBE93C6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'7.NSS'!$BL$9</c:f>
              <c:strCache>
                <c:ptCount val="1"/>
                <c:pt idx="0">
                  <c:v>누적NSS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'7.NSS'!$BG$10:$BG$21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'7.NSS'!$BL$10:$BL$21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24C-46D8-840D-2EBE93C65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#,##0.0;[Red]\-#,##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'7.NSS'!$BH$9</c:f>
              <c:strCache>
                <c:ptCount val="1"/>
                <c:pt idx="0">
                  <c:v>긍정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'7.NSS'!$BG$10:$BG$21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'7.NSS'!$BH$10:$BH$21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1-495D-B2B7-7193D041EA75}"/>
            </c:ext>
          </c:extLst>
        </c:ser>
        <c:ser>
          <c:idx val="1"/>
          <c:order val="1"/>
          <c:tx>
            <c:strRef>
              <c:f>'7.NSS'!$BI$9</c:f>
              <c:strCache>
                <c:ptCount val="1"/>
                <c:pt idx="0">
                  <c:v>부정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'7.NSS'!$BG$10:$BG$21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'7.NSS'!$BI$10:$BI$21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1-495D-B2B7-7193D041EA75}"/>
            </c:ext>
          </c:extLst>
        </c:ser>
        <c:ser>
          <c:idx val="2"/>
          <c:order val="2"/>
          <c:tx>
            <c:strRef>
              <c:f>'7.NSS'!$BJ$9</c:f>
              <c:strCache>
                <c:ptCount val="1"/>
                <c:pt idx="0">
                  <c:v>중립</c:v>
                </c:pt>
              </c:strCache>
            </c:strRef>
          </c:tx>
          <c:spPr>
            <a:solidFill>
              <a:schemeClr val="bg2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'7.NSS'!$BG$10:$BG$21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'7.NSS'!$BJ$10:$BJ$21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41-495D-B2B7-7193D041EA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17142719277082008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7D-4035-9C7C-EE8272B0071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7D-4035-9C7C-EE8272B00716}"/>
              </c:ext>
            </c:extLst>
          </c:dPt>
          <c:dPt>
            <c:idx val="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7D-4035-9C7C-EE8272B00716}"/>
              </c:ext>
            </c:extLst>
          </c:dPt>
          <c:dPt>
            <c:idx val="3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27D-4035-9C7C-EE8272B00716}"/>
              </c:ext>
            </c:extLst>
          </c:dPt>
          <c:dLbls>
            <c:dLbl>
              <c:idx val="0"/>
              <c:numFmt formatCode="#,##0.0_);[Red]\(#,##0.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KB금융 본문체 Light" panose="020B0303000000000000" pitchFamily="50" charset="-127"/>
                      <a:ea typeface="KB금융 본문체 Light" panose="020B0303000000000000" pitchFamily="50" charset="-127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27D-4035-9C7C-EE8272B00716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'8.CCI'!$BH$7:$BK$7</c:f>
              <c:strCache>
                <c:ptCount val="4"/>
                <c:pt idx="0">
                  <c:v>칭찬</c:v>
                </c:pt>
                <c:pt idx="1">
                  <c:v>불만</c:v>
                </c:pt>
                <c:pt idx="2">
                  <c:v>개선</c:v>
                </c:pt>
                <c:pt idx="3">
                  <c:v>기타</c:v>
                </c:pt>
              </c:strCache>
            </c:strRef>
          </c:cat>
          <c:val>
            <c:numRef>
              <c:f>'8.CCI'!$BH$20:$BK$20</c:f>
              <c:numCache>
                <c:formatCode>#,##0.0;[Red]\-#,##0.0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7D-4035-9C7C-EE8272B007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174534277912218E-2"/>
          <c:y val="0.78878517818418781"/>
          <c:w val="0.83431944274536218"/>
          <c:h val="9.55522004737816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414330218068536E-2"/>
          <c:y val="8.5096910963052691E-2"/>
          <c:w val="0.93196261682242987"/>
          <c:h val="0.71560821724207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'8.CCI'!$BL$7</c:f>
              <c:strCache>
                <c:ptCount val="1"/>
                <c:pt idx="0">
                  <c:v>CCI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0C-40FE-B26D-4DAFD14ABE5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0C-40FE-B26D-4DAFD14ABE5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0C-40FE-B26D-4DAFD14ABE5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0C-40FE-B26D-4DAFD14ABE5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C0C-40FE-B26D-4DAFD14ABE5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C0C-40FE-B26D-4DAFD14ABE5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C0C-40FE-B26D-4DAFD14ABE5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C0C-40FE-B26D-4DAFD14ABE5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C0C-40FE-B26D-4DAFD14ABE5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C0C-40FE-B26D-4DAFD14ABE5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C0C-40FE-B26D-4DAFD14ABE5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C0C-40FE-B26D-4DAFD14ABE5F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'8.CCI'!$BG$8:$BG$19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'8.CCI'!$BL$8:$BL$19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C0C-40FE-B26D-4DAFD14AB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008662040"/>
        <c:axId val="1008660072"/>
      </c:barChart>
      <c:lineChart>
        <c:grouping val="standard"/>
        <c:varyColors val="0"/>
        <c:ser>
          <c:idx val="1"/>
          <c:order val="1"/>
          <c:tx>
            <c:strRef>
              <c:f>'8.CCI'!$BM$7</c:f>
              <c:strCache>
                <c:ptCount val="1"/>
                <c:pt idx="0">
                  <c:v>누적CCI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'8.CCI'!$BG$8:$BG$19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'8.CCI'!$BM$8:$BM$19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C0C-40FE-B26D-4DAFD14AB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662040"/>
        <c:axId val="1008660072"/>
      </c:lineChart>
      <c:catAx>
        <c:axId val="100866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0072"/>
        <c:crosses val="autoZero"/>
        <c:auto val="1"/>
        <c:lblAlgn val="ctr"/>
        <c:lblOffset val="100"/>
        <c:noMultiLvlLbl val="0"/>
      </c:catAx>
      <c:valAx>
        <c:axId val="1008660072"/>
        <c:scaling>
          <c:orientation val="minMax"/>
        </c:scaling>
        <c:delete val="0"/>
        <c:axPos val="l"/>
        <c:numFmt formatCode="#,##0.0;[Red]\-#,##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0866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5680996884735201"/>
          <c:y val="3.8461538461538464E-2"/>
          <c:w val="0.41694704049844239"/>
          <c:h val="0.117148193014334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'8.CCI'!$BH$7</c:f>
              <c:strCache>
                <c:ptCount val="1"/>
                <c:pt idx="0">
                  <c:v>칭찬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'8.CCI'!$BG$8:$BG$19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'8.CCI'!$BH$8:$BH$19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D-4F9B-8F96-C70F61B92D2D}"/>
            </c:ext>
          </c:extLst>
        </c:ser>
        <c:ser>
          <c:idx val="1"/>
          <c:order val="1"/>
          <c:tx>
            <c:strRef>
              <c:f>'8.CCI'!$BI$7</c:f>
              <c:strCache>
                <c:ptCount val="1"/>
                <c:pt idx="0">
                  <c:v>불만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'8.CCI'!$BG$8:$BG$19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'8.CCI'!$BI$8:$BI$19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D-4F9B-8F96-C70F61B92D2D}"/>
            </c:ext>
          </c:extLst>
        </c:ser>
        <c:ser>
          <c:idx val="2"/>
          <c:order val="2"/>
          <c:tx>
            <c:strRef>
              <c:f>'8.CCI'!$BJ$7</c:f>
              <c:strCache>
                <c:ptCount val="1"/>
                <c:pt idx="0">
                  <c:v>개선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'8.CCI'!$BG$8:$BG$19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'8.CCI'!$BJ$8:$BJ$19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4D-4F9B-8F96-C70F61B92D2D}"/>
            </c:ext>
          </c:extLst>
        </c:ser>
        <c:ser>
          <c:idx val="3"/>
          <c:order val="3"/>
          <c:tx>
            <c:strRef>
              <c:f>'8.CCI'!$BK$7</c:f>
              <c:strCache>
                <c:ptCount val="1"/>
                <c:pt idx="0">
                  <c:v>기타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B금융 본문체 Light" panose="020B0303000000000000" pitchFamily="50" charset="-127"/>
                    <a:ea typeface="KB금융 본문체 Light" panose="020B0303000000000000" pitchFamily="50" charset="-127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'8.CCI'!$BG$8:$BG$19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'8.CCI'!$BK$8:$BK$19</c:f>
              <c:numCache>
                <c:formatCode>#,##0.0;[Red]\-#,##0.0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4D-4F9B-8F96-C70F61B92D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ser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serLines>
        <c:axId val="1014889400"/>
        <c:axId val="1014889728"/>
      </c:barChart>
      <c:catAx>
        <c:axId val="101488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728"/>
        <c:crosses val="autoZero"/>
        <c:auto val="1"/>
        <c:lblAlgn val="ctr"/>
        <c:lblOffset val="100"/>
        <c:noMultiLvlLbl val="0"/>
      </c:catAx>
      <c:valAx>
        <c:axId val="101488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B금융 본문체 Light" panose="020B0303000000000000" pitchFamily="50" charset="-127"/>
                <a:ea typeface="KB금융 본문체 Light" panose="020B0303000000000000" pitchFamily="50" charset="-127"/>
                <a:cs typeface="+mn-cs"/>
              </a:defRPr>
            </a:pPr>
            <a:endParaRPr lang="ko-KR"/>
          </a:p>
        </c:txPr>
        <c:crossAx val="101488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5448031496062995"/>
          <c:y val="2.7777777777777776E-2"/>
          <c:w val="0.20765219807134136"/>
          <c:h val="8.2756713103169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B금융 본문체 Light" panose="020B0303000000000000" pitchFamily="50" charset="-127"/>
              <a:ea typeface="KB금융 본문체 Light" panose="020B0303000000000000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>
          <a:latin typeface="KB금융 본문체 Light" panose="020B0303000000000000" pitchFamily="50" charset="-127"/>
          <a:ea typeface="KB금융 본문체 Light" panose="020B0303000000000000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7</xdr:row>
      <xdr:rowOff>171867</xdr:rowOff>
    </xdr:from>
    <xdr:to>
      <xdr:col>16</xdr:col>
      <xdr:colOff>41641</xdr:colOff>
      <xdr:row>19</xdr:row>
      <xdr:rowOff>98754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67F01F3-2A9C-4597-9220-5EF31AB0F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8</xdr:row>
      <xdr:rowOff>134179</xdr:rowOff>
    </xdr:from>
    <xdr:to>
      <xdr:col>56</xdr:col>
      <xdr:colOff>52180</xdr:colOff>
      <xdr:row>19</xdr:row>
      <xdr:rowOff>19879</xdr:rowOff>
    </xdr:to>
    <xdr:graphicFrame macro="">
      <xdr:nvGraphicFramePr>
        <xdr:cNvPr id="10" name="차트 2">
          <a:extLst>
            <a:ext uri="{FF2B5EF4-FFF2-40B4-BE49-F238E27FC236}">
              <a16:creationId xmlns:a16="http://schemas.microsoft.com/office/drawing/2014/main" id="{88FEE60C-E2D6-4514-BD58-AF7B409AC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114300</xdr:rowOff>
    </xdr:from>
    <xdr:to>
      <xdr:col>56</xdr:col>
      <xdr:colOff>76200</xdr:colOff>
      <xdr:row>34</xdr:row>
      <xdr:rowOff>114300</xdr:rowOff>
    </xdr:to>
    <xdr:graphicFrame macro="">
      <xdr:nvGraphicFramePr>
        <xdr:cNvPr id="6" name="차트 3">
          <a:extLst>
            <a:ext uri="{FF2B5EF4-FFF2-40B4-BE49-F238E27FC236}">
              <a16:creationId xmlns:a16="http://schemas.microsoft.com/office/drawing/2014/main" id="{5D61D8C3-424F-4BBE-AECF-A543AFE25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5</xdr:row>
      <xdr:rowOff>171867</xdr:rowOff>
    </xdr:from>
    <xdr:to>
      <xdr:col>16</xdr:col>
      <xdr:colOff>41641</xdr:colOff>
      <xdr:row>17</xdr:row>
      <xdr:rowOff>98754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EE15998-9618-4E22-B89F-F5A37C669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6</xdr:row>
      <xdr:rowOff>134179</xdr:rowOff>
    </xdr:from>
    <xdr:to>
      <xdr:col>56</xdr:col>
      <xdr:colOff>52180</xdr:colOff>
      <xdr:row>17</xdr:row>
      <xdr:rowOff>19879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2FC2C01-BAAA-4F1E-8A6C-857E5FAC8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19</xdr:row>
      <xdr:rowOff>114300</xdr:rowOff>
    </xdr:from>
    <xdr:to>
      <xdr:col>56</xdr:col>
      <xdr:colOff>76200</xdr:colOff>
      <xdr:row>32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F9D2ECD-10A0-41B4-BD2A-C328054BF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5</xdr:row>
      <xdr:rowOff>171867</xdr:rowOff>
    </xdr:from>
    <xdr:to>
      <xdr:col>16</xdr:col>
      <xdr:colOff>41641</xdr:colOff>
      <xdr:row>17</xdr:row>
      <xdr:rowOff>98754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5E47A0F-A860-42CD-A18D-07A4B6284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6</xdr:row>
      <xdr:rowOff>134179</xdr:rowOff>
    </xdr:from>
    <xdr:to>
      <xdr:col>56</xdr:col>
      <xdr:colOff>52180</xdr:colOff>
      <xdr:row>17</xdr:row>
      <xdr:rowOff>19879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31C42FF-2D4F-4012-8280-EF25FEA46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19</xdr:row>
      <xdr:rowOff>114300</xdr:rowOff>
    </xdr:from>
    <xdr:to>
      <xdr:col>56</xdr:col>
      <xdr:colOff>76200</xdr:colOff>
      <xdr:row>32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61DCA50-4776-40C4-B17A-FB44D8CD6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5</xdr:row>
      <xdr:rowOff>171867</xdr:rowOff>
    </xdr:from>
    <xdr:to>
      <xdr:col>16</xdr:col>
      <xdr:colOff>41641</xdr:colOff>
      <xdr:row>17</xdr:row>
      <xdr:rowOff>98754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5B4D334-B0C5-4577-B78C-FA535F8A2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6</xdr:row>
      <xdr:rowOff>134179</xdr:rowOff>
    </xdr:from>
    <xdr:to>
      <xdr:col>56</xdr:col>
      <xdr:colOff>52180</xdr:colOff>
      <xdr:row>17</xdr:row>
      <xdr:rowOff>19879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31CCC07-C370-4200-A135-45E1F3D18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19</xdr:row>
      <xdr:rowOff>114300</xdr:rowOff>
    </xdr:from>
    <xdr:to>
      <xdr:col>56</xdr:col>
      <xdr:colOff>76200</xdr:colOff>
      <xdr:row>32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94FD9ED-1E46-40AC-94B7-F4207E5C8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5</xdr:row>
      <xdr:rowOff>171867</xdr:rowOff>
    </xdr:from>
    <xdr:to>
      <xdr:col>16</xdr:col>
      <xdr:colOff>41641</xdr:colOff>
      <xdr:row>17</xdr:row>
      <xdr:rowOff>98754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0E001A4-4FD6-44F3-8332-52D1507F3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6</xdr:row>
      <xdr:rowOff>134179</xdr:rowOff>
    </xdr:from>
    <xdr:to>
      <xdr:col>56</xdr:col>
      <xdr:colOff>52180</xdr:colOff>
      <xdr:row>17</xdr:row>
      <xdr:rowOff>19879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B2A79DA-509D-43C8-AC69-B80F4362D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19</xdr:row>
      <xdr:rowOff>114300</xdr:rowOff>
    </xdr:from>
    <xdr:to>
      <xdr:col>56</xdr:col>
      <xdr:colOff>76200</xdr:colOff>
      <xdr:row>32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D8C9B3F-7301-47BE-BDC2-DD06D5092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7</xdr:row>
      <xdr:rowOff>171867</xdr:rowOff>
    </xdr:from>
    <xdr:to>
      <xdr:col>16</xdr:col>
      <xdr:colOff>41641</xdr:colOff>
      <xdr:row>19</xdr:row>
      <xdr:rowOff>98754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FF5B1E1-51F0-4FDC-B105-63F9230E7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8</xdr:row>
      <xdr:rowOff>134179</xdr:rowOff>
    </xdr:from>
    <xdr:to>
      <xdr:col>56</xdr:col>
      <xdr:colOff>52180</xdr:colOff>
      <xdr:row>19</xdr:row>
      <xdr:rowOff>19879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5AC2397-B7D4-4A76-A80D-09A96270E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114300</xdr:rowOff>
    </xdr:from>
    <xdr:to>
      <xdr:col>56</xdr:col>
      <xdr:colOff>76200</xdr:colOff>
      <xdr:row>34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77B373F-5432-4BB0-B26C-4031BCA3B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5383</xdr:colOff>
      <xdr:row>5</xdr:row>
      <xdr:rowOff>171867</xdr:rowOff>
    </xdr:from>
    <xdr:to>
      <xdr:col>16</xdr:col>
      <xdr:colOff>41641</xdr:colOff>
      <xdr:row>17</xdr:row>
      <xdr:rowOff>98754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9837B3D-31DF-40EE-B3DA-90112F1BF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33130</xdr:colOff>
      <xdr:row>6</xdr:row>
      <xdr:rowOff>134179</xdr:rowOff>
    </xdr:from>
    <xdr:to>
      <xdr:col>56</xdr:col>
      <xdr:colOff>52180</xdr:colOff>
      <xdr:row>17</xdr:row>
      <xdr:rowOff>19879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9AA5020-C6A5-4C30-9F99-D0B2031D1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19</xdr:row>
      <xdr:rowOff>114300</xdr:rowOff>
    </xdr:from>
    <xdr:to>
      <xdr:col>56</xdr:col>
      <xdr:colOff>76200</xdr:colOff>
      <xdr:row>32</xdr:row>
      <xdr:rowOff>114300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8DAAFA3-79FD-4AF4-A34B-71BAA6FE4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9DB8-6E1E-4504-9D75-C5B810157B7D}">
  <dimension ref="B1:BG50"/>
  <sheetViews>
    <sheetView showGridLines="0" tabSelected="1" view="pageBreakPreview" zoomScaleNormal="100" zoomScaleSheetLayoutView="100" workbookViewId="0">
      <selection activeCell="BI17" sqref="BI17"/>
    </sheetView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56" ht="8.1" customHeight="1" x14ac:dyDescent="0.3"/>
    <row r="2" spans="2:56" ht="28.5" customHeight="1" thickBot="1" x14ac:dyDescent="0.35">
      <c r="B2" s="18" t="s">
        <v>313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</row>
    <row r="3" spans="2:56" ht="16.5" customHeight="1" thickTop="1" x14ac:dyDescent="0.3">
      <c r="B3" s="47" t="s">
        <v>60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</row>
    <row r="4" spans="2:56" ht="9.9499999999999993" customHeight="1" x14ac:dyDescent="0.3"/>
    <row r="5" spans="2:56" ht="15" customHeight="1" x14ac:dyDescent="0.3">
      <c r="B5" s="1" t="s">
        <v>0</v>
      </c>
      <c r="C5" s="42"/>
      <c r="D5" s="42"/>
      <c r="E5" s="42"/>
      <c r="F5" s="42"/>
      <c r="G5" s="42"/>
      <c r="H5" s="42"/>
      <c r="I5" s="42"/>
      <c r="J5" s="42"/>
      <c r="K5" s="41"/>
      <c r="L5" s="41"/>
      <c r="M5" s="41"/>
      <c r="N5" s="41"/>
      <c r="O5" s="41"/>
      <c r="P5" s="41"/>
      <c r="Q5" s="41"/>
      <c r="R5" s="41"/>
      <c r="S5" s="42"/>
      <c r="T5" s="42"/>
      <c r="U5" s="42"/>
      <c r="V5" s="42"/>
      <c r="W5" s="42"/>
      <c r="X5" s="42"/>
      <c r="Y5" s="42"/>
      <c r="Z5" s="42"/>
      <c r="AA5" s="41"/>
      <c r="AB5" s="41"/>
      <c r="AC5" s="41"/>
      <c r="AD5" s="41"/>
      <c r="AE5" s="41"/>
      <c r="AF5" s="41"/>
      <c r="AG5" s="41"/>
      <c r="AH5" s="41"/>
      <c r="AI5" s="42"/>
      <c r="AJ5" s="42"/>
      <c r="AK5" s="42"/>
      <c r="AL5" s="42"/>
      <c r="AM5" s="42"/>
      <c r="AN5" s="42"/>
      <c r="AO5" s="42"/>
      <c r="AP5" s="42"/>
      <c r="AQ5" s="41"/>
      <c r="AR5" s="41"/>
      <c r="AS5" s="41"/>
      <c r="AT5" s="41"/>
      <c r="AU5" s="41"/>
      <c r="AV5" s="41"/>
      <c r="AW5" s="41"/>
      <c r="AX5" s="41"/>
      <c r="AY5" s="42"/>
      <c r="AZ5" s="42"/>
      <c r="BA5" s="42"/>
      <c r="BB5" s="42"/>
      <c r="BC5" s="42"/>
      <c r="BD5" s="42"/>
    </row>
    <row r="6" spans="2:56" ht="5.0999999999999996" customHeigh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2:56" ht="15" customHeight="1" x14ac:dyDescent="0.3">
      <c r="B7" s="2" t="s">
        <v>1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</row>
    <row r="8" spans="2:56" ht="15" customHeight="1" x14ac:dyDescent="0.3">
      <c r="C8" s="43" t="str">
        <f>"- {{cm_yyyymmdd}} 기준 총 발송건수 "&amp;TEXT(C10, "####,####")&amp;"건 중 응답자 "&amp;TEXT(AJ10, "####,####")&amp;"건으로 응답률 "&amp;AU10&amp;"%"</f>
        <v>- {{cm_yyyymmdd}} 기준 총 발송건수 {{S1_발송건수_1}}건 중 응답자 {{S1_응답완료_1}}건으로 응답률 {{S1_응답률_1}}%</v>
      </c>
      <c r="D8" s="25"/>
      <c r="F8" s="6"/>
      <c r="G8" s="43"/>
      <c r="H8" s="43"/>
      <c r="I8" s="43"/>
      <c r="J8" s="43"/>
      <c r="K8" s="43"/>
      <c r="L8" s="43"/>
      <c r="M8" s="43"/>
      <c r="N8" s="43"/>
    </row>
    <row r="9" spans="2:56" ht="15" customHeight="1" x14ac:dyDescent="0.3">
      <c r="C9" s="34" t="s">
        <v>8</v>
      </c>
      <c r="D9" s="34"/>
      <c r="E9" s="34"/>
      <c r="F9" s="34"/>
      <c r="G9" s="34"/>
      <c r="H9" s="34"/>
      <c r="I9" s="34"/>
      <c r="J9" s="34"/>
      <c r="K9" s="34"/>
      <c r="L9" s="34"/>
      <c r="M9" s="48"/>
      <c r="N9" s="34" t="s">
        <v>9</v>
      </c>
      <c r="O9" s="34"/>
      <c r="P9" s="34"/>
      <c r="Q9" s="34"/>
      <c r="R9" s="34"/>
      <c r="S9" s="34"/>
      <c r="T9" s="34"/>
      <c r="U9" s="34"/>
      <c r="V9" s="34"/>
      <c r="W9" s="34"/>
      <c r="X9" s="48"/>
      <c r="Y9" s="34" t="s">
        <v>10</v>
      </c>
      <c r="Z9" s="34"/>
      <c r="AA9" s="34"/>
      <c r="AB9" s="34"/>
      <c r="AC9" s="34"/>
      <c r="AD9" s="34"/>
      <c r="AE9" s="34"/>
      <c r="AF9" s="34"/>
      <c r="AG9" s="34"/>
      <c r="AH9" s="34"/>
      <c r="AI9" s="48"/>
      <c r="AJ9" s="34" t="s">
        <v>11</v>
      </c>
      <c r="AK9" s="34"/>
      <c r="AL9" s="34"/>
      <c r="AM9" s="34"/>
      <c r="AN9" s="34"/>
      <c r="AO9" s="34"/>
      <c r="AP9" s="34"/>
      <c r="AQ9" s="34"/>
      <c r="AR9" s="34"/>
      <c r="AS9" s="34"/>
      <c r="AT9" s="48"/>
      <c r="AU9" s="34" t="s">
        <v>80</v>
      </c>
      <c r="AV9" s="34"/>
      <c r="AW9" s="34"/>
      <c r="AX9" s="34"/>
      <c r="AY9" s="34"/>
      <c r="AZ9" s="34"/>
      <c r="BA9" s="34"/>
      <c r="BB9" s="34"/>
      <c r="BC9" s="34"/>
      <c r="BD9" s="34"/>
    </row>
    <row r="10" spans="2:56" ht="15" customHeight="1" x14ac:dyDescent="0.3">
      <c r="C10" s="141" t="s">
        <v>62</v>
      </c>
      <c r="D10" s="141"/>
      <c r="E10" s="141"/>
      <c r="F10" s="141"/>
      <c r="G10" s="141"/>
      <c r="H10" s="141"/>
      <c r="I10" s="141"/>
      <c r="J10" s="141"/>
      <c r="K10" s="141"/>
      <c r="L10" s="141"/>
      <c r="M10" s="142"/>
      <c r="N10" s="143" t="s">
        <v>63</v>
      </c>
      <c r="O10" s="141"/>
      <c r="P10" s="141"/>
      <c r="Q10" s="141"/>
      <c r="R10" s="141"/>
      <c r="S10" s="141"/>
      <c r="T10" s="141"/>
      <c r="U10" s="141"/>
      <c r="V10" s="141"/>
      <c r="W10" s="141"/>
      <c r="X10" s="142"/>
      <c r="Y10" s="143" t="s">
        <v>64</v>
      </c>
      <c r="Z10" s="141"/>
      <c r="AA10" s="141"/>
      <c r="AB10" s="141"/>
      <c r="AC10" s="141"/>
      <c r="AD10" s="141"/>
      <c r="AE10" s="141"/>
      <c r="AF10" s="141"/>
      <c r="AG10" s="141"/>
      <c r="AH10" s="141"/>
      <c r="AI10" s="142"/>
      <c r="AJ10" s="143" t="s">
        <v>65</v>
      </c>
      <c r="AK10" s="141"/>
      <c r="AL10" s="141"/>
      <c r="AM10" s="141"/>
      <c r="AN10" s="141"/>
      <c r="AO10" s="141"/>
      <c r="AP10" s="141"/>
      <c r="AQ10" s="141"/>
      <c r="AR10" s="141"/>
      <c r="AS10" s="141"/>
      <c r="AT10" s="142"/>
      <c r="AU10" s="143" t="s">
        <v>66</v>
      </c>
      <c r="AV10" s="141"/>
      <c r="AW10" s="141"/>
      <c r="AX10" s="141"/>
      <c r="AY10" s="141"/>
      <c r="AZ10" s="141"/>
      <c r="BA10" s="141"/>
      <c r="BB10" s="141"/>
      <c r="BC10" s="141"/>
      <c r="BD10" s="141"/>
    </row>
    <row r="11" spans="2:56" ht="15" customHeight="1" x14ac:dyDescent="0.3">
      <c r="B11" s="43"/>
      <c r="C11" s="8" t="s">
        <v>2</v>
      </c>
      <c r="D11" s="43"/>
      <c r="F11" s="43"/>
      <c r="G11" s="43"/>
      <c r="H11" s="43"/>
      <c r="I11" s="43"/>
      <c r="J11" s="43"/>
      <c r="K11" s="43"/>
      <c r="L11" s="43"/>
      <c r="M11" s="43"/>
      <c r="N11" s="43"/>
    </row>
    <row r="12" spans="2:56" ht="9.9499999999999993" customHeight="1" x14ac:dyDescent="0.3">
      <c r="B12" s="43"/>
      <c r="D12" s="43"/>
      <c r="E12" s="8"/>
      <c r="F12" s="43"/>
      <c r="G12" s="43"/>
      <c r="H12" s="43"/>
      <c r="I12" s="43"/>
      <c r="J12" s="43"/>
      <c r="K12" s="43"/>
      <c r="L12" s="43"/>
      <c r="M12" s="43"/>
      <c r="N12" s="43"/>
    </row>
    <row r="13" spans="2:56" ht="15" customHeight="1" x14ac:dyDescent="0.3">
      <c r="B13" s="2" t="s">
        <v>3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</row>
    <row r="14" spans="2:56" ht="15" customHeight="1" x14ac:dyDescent="0.3">
      <c r="B14" s="6"/>
      <c r="C14" s="25" t="s">
        <v>67</v>
      </c>
      <c r="D14" s="43"/>
      <c r="F14" s="43"/>
      <c r="G14" s="43"/>
      <c r="H14" s="43"/>
      <c r="I14" s="43"/>
      <c r="J14" s="43"/>
      <c r="K14" s="43"/>
      <c r="L14" s="43"/>
      <c r="M14" s="43"/>
      <c r="N14" s="43"/>
    </row>
    <row r="15" spans="2:56" ht="15" customHeight="1" x14ac:dyDescent="0.3">
      <c r="B15" s="6"/>
      <c r="C15" s="43"/>
      <c r="D15" s="7"/>
      <c r="F15" s="43"/>
      <c r="G15" s="43"/>
      <c r="H15" s="43"/>
      <c r="I15" s="43"/>
      <c r="J15" s="43"/>
      <c r="K15" s="43"/>
      <c r="L15" s="43"/>
      <c r="M15" s="43"/>
      <c r="N15" s="43"/>
    </row>
    <row r="16" spans="2:56" ht="15" customHeight="1" x14ac:dyDescent="0.3">
      <c r="B16" s="43"/>
      <c r="C16" s="37" t="s">
        <v>6</v>
      </c>
      <c r="D16" s="35"/>
      <c r="E16" s="35"/>
      <c r="F16" s="35"/>
      <c r="G16" s="35"/>
      <c r="H16" s="35"/>
      <c r="I16" s="35"/>
      <c r="J16" s="60"/>
      <c r="K16" s="33" t="s">
        <v>12</v>
      </c>
      <c r="L16" s="30"/>
      <c r="M16" s="32"/>
      <c r="N16" s="33" t="s">
        <v>13</v>
      </c>
      <c r="O16" s="30"/>
      <c r="P16" s="32"/>
      <c r="Q16" s="33" t="s">
        <v>14</v>
      </c>
      <c r="R16" s="30"/>
      <c r="S16" s="32"/>
      <c r="T16" s="33" t="s">
        <v>15</v>
      </c>
      <c r="U16" s="30"/>
      <c r="V16" s="32"/>
      <c r="W16" s="33" t="s">
        <v>16</v>
      </c>
      <c r="X16" s="30"/>
      <c r="Y16" s="32"/>
      <c r="Z16" s="33" t="s">
        <v>17</v>
      </c>
      <c r="AA16" s="30"/>
      <c r="AB16" s="32"/>
      <c r="AC16" s="33" t="s">
        <v>18</v>
      </c>
      <c r="AD16" s="30"/>
      <c r="AE16" s="32"/>
      <c r="AF16" s="33" t="s">
        <v>19</v>
      </c>
      <c r="AG16" s="30"/>
      <c r="AH16" s="32"/>
      <c r="AI16" s="33" t="s">
        <v>20</v>
      </c>
      <c r="AJ16" s="30"/>
      <c r="AK16" s="32"/>
      <c r="AL16" s="33" t="s">
        <v>21</v>
      </c>
      <c r="AM16" s="30"/>
      <c r="AN16" s="32"/>
      <c r="AO16" s="33" t="s">
        <v>22</v>
      </c>
      <c r="AP16" s="30"/>
      <c r="AQ16" s="32"/>
      <c r="AR16" s="67" t="s">
        <v>23</v>
      </c>
      <c r="AS16" s="68"/>
      <c r="AT16" s="68"/>
      <c r="AU16" s="68" t="s">
        <v>41</v>
      </c>
      <c r="AV16" s="68"/>
      <c r="AW16" s="68"/>
      <c r="AX16" s="68"/>
      <c r="AY16" s="68"/>
      <c r="AZ16" s="68" t="s">
        <v>59</v>
      </c>
      <c r="BA16" s="68"/>
      <c r="BB16" s="68"/>
      <c r="BC16" s="68"/>
      <c r="BD16" s="29"/>
    </row>
    <row r="17" spans="2:59" ht="15" customHeight="1" x14ac:dyDescent="0.3">
      <c r="B17" s="43"/>
      <c r="C17" s="16" t="s">
        <v>7</v>
      </c>
      <c r="D17" s="16"/>
      <c r="E17" s="16"/>
      <c r="F17" s="16"/>
      <c r="G17" s="16"/>
      <c r="H17" s="16"/>
      <c r="I17" s="16"/>
      <c r="J17" s="49"/>
      <c r="K17" s="144" t="s">
        <v>1364</v>
      </c>
      <c r="L17" s="145"/>
      <c r="M17" s="146"/>
      <c r="N17" s="144" t="s">
        <v>1365</v>
      </c>
      <c r="O17" s="145"/>
      <c r="P17" s="146"/>
      <c r="Q17" s="144" t="s">
        <v>1366</v>
      </c>
      <c r="R17" s="145"/>
      <c r="S17" s="146"/>
      <c r="T17" s="144" t="s">
        <v>1367</v>
      </c>
      <c r="U17" s="145"/>
      <c r="V17" s="146"/>
      <c r="W17" s="144" t="s">
        <v>1368</v>
      </c>
      <c r="X17" s="145"/>
      <c r="Y17" s="146"/>
      <c r="Z17" s="144" t="s">
        <v>1369</v>
      </c>
      <c r="AA17" s="145"/>
      <c r="AB17" s="146"/>
      <c r="AC17" s="144" t="s">
        <v>1370</v>
      </c>
      <c r="AD17" s="145"/>
      <c r="AE17" s="146"/>
      <c r="AF17" s="144" t="s">
        <v>1371</v>
      </c>
      <c r="AG17" s="145"/>
      <c r="AH17" s="146"/>
      <c r="AI17" s="144" t="s">
        <v>1372</v>
      </c>
      <c r="AJ17" s="145"/>
      <c r="AK17" s="146"/>
      <c r="AL17" s="144" t="s">
        <v>1373</v>
      </c>
      <c r="AM17" s="145"/>
      <c r="AN17" s="146"/>
      <c r="AO17" s="144" t="s">
        <v>1374</v>
      </c>
      <c r="AP17" s="145"/>
      <c r="AQ17" s="146"/>
      <c r="AR17" s="155" t="s">
        <v>1375</v>
      </c>
      <c r="AS17" s="156"/>
      <c r="AT17" s="156"/>
      <c r="AU17" s="156" t="s">
        <v>1377</v>
      </c>
      <c r="AV17" s="156"/>
      <c r="AW17" s="156"/>
      <c r="AX17" s="156"/>
      <c r="AY17" s="156"/>
      <c r="AZ17" s="144" t="s">
        <v>1378</v>
      </c>
      <c r="BA17" s="145"/>
      <c r="BB17" s="145"/>
      <c r="BC17" s="145"/>
      <c r="BD17" s="145"/>
      <c r="BE17" s="39"/>
    </row>
    <row r="18" spans="2:59" ht="15" customHeight="1" x14ac:dyDescent="0.3">
      <c r="B18" s="43"/>
      <c r="C18" s="26" t="s">
        <v>55</v>
      </c>
      <c r="D18" s="10"/>
      <c r="E18" s="10"/>
      <c r="F18" s="10"/>
      <c r="G18" s="10"/>
      <c r="H18" s="10"/>
      <c r="I18" s="10"/>
      <c r="J18" s="50"/>
      <c r="K18" s="147" t="s">
        <v>1379</v>
      </c>
      <c r="L18" s="148"/>
      <c r="M18" s="149"/>
      <c r="N18" s="147" t="s">
        <v>1383</v>
      </c>
      <c r="O18" s="148"/>
      <c r="P18" s="149"/>
      <c r="Q18" s="147" t="s">
        <v>1386</v>
      </c>
      <c r="R18" s="148"/>
      <c r="S18" s="149"/>
      <c r="T18" s="147" t="s">
        <v>1387</v>
      </c>
      <c r="U18" s="148"/>
      <c r="V18" s="149"/>
      <c r="W18" s="147" t="s">
        <v>1388</v>
      </c>
      <c r="X18" s="148"/>
      <c r="Y18" s="149"/>
      <c r="Z18" s="147" t="s">
        <v>1389</v>
      </c>
      <c r="AA18" s="148"/>
      <c r="AB18" s="149"/>
      <c r="AC18" s="147" t="s">
        <v>1390</v>
      </c>
      <c r="AD18" s="148"/>
      <c r="AE18" s="149"/>
      <c r="AF18" s="147" t="s">
        <v>1391</v>
      </c>
      <c r="AG18" s="148"/>
      <c r="AH18" s="149"/>
      <c r="AI18" s="147" t="s">
        <v>1392</v>
      </c>
      <c r="AJ18" s="148"/>
      <c r="AK18" s="149"/>
      <c r="AL18" s="147" t="s">
        <v>1393</v>
      </c>
      <c r="AM18" s="148"/>
      <c r="AN18" s="149"/>
      <c r="AO18" s="147" t="s">
        <v>1394</v>
      </c>
      <c r="AP18" s="148"/>
      <c r="AQ18" s="149"/>
      <c r="AR18" s="153" t="s">
        <v>1395</v>
      </c>
      <c r="AS18" s="154"/>
      <c r="AT18" s="154"/>
      <c r="AU18" s="154" t="s">
        <v>1427</v>
      </c>
      <c r="AV18" s="154"/>
      <c r="AW18" s="154"/>
      <c r="AX18" s="154"/>
      <c r="AY18" s="154"/>
      <c r="AZ18" s="147" t="s">
        <v>1428</v>
      </c>
      <c r="BA18" s="148"/>
      <c r="BB18" s="148"/>
      <c r="BC18" s="148"/>
      <c r="BD18" s="148"/>
      <c r="BE18" s="39"/>
    </row>
    <row r="19" spans="2:59" ht="15" customHeight="1" x14ac:dyDescent="0.3">
      <c r="B19" s="43"/>
      <c r="C19" s="26" t="s">
        <v>56</v>
      </c>
      <c r="D19" s="10"/>
      <c r="E19" s="10"/>
      <c r="F19" s="10"/>
      <c r="G19" s="10"/>
      <c r="H19" s="10"/>
      <c r="I19" s="10"/>
      <c r="J19" s="50"/>
      <c r="K19" s="147" t="s">
        <v>1380</v>
      </c>
      <c r="L19" s="148"/>
      <c r="M19" s="149"/>
      <c r="N19" s="147" t="s">
        <v>1384</v>
      </c>
      <c r="O19" s="148"/>
      <c r="P19" s="149"/>
      <c r="Q19" s="147" t="s">
        <v>1396</v>
      </c>
      <c r="R19" s="148"/>
      <c r="S19" s="149"/>
      <c r="T19" s="147" t="s">
        <v>1397</v>
      </c>
      <c r="U19" s="148"/>
      <c r="V19" s="149"/>
      <c r="W19" s="147" t="s">
        <v>1398</v>
      </c>
      <c r="X19" s="148"/>
      <c r="Y19" s="149"/>
      <c r="Z19" s="147" t="s">
        <v>1399</v>
      </c>
      <c r="AA19" s="148"/>
      <c r="AB19" s="149"/>
      <c r="AC19" s="147" t="s">
        <v>1400</v>
      </c>
      <c r="AD19" s="148"/>
      <c r="AE19" s="149"/>
      <c r="AF19" s="147" t="s">
        <v>1401</v>
      </c>
      <c r="AG19" s="148"/>
      <c r="AH19" s="149"/>
      <c r="AI19" s="147" t="s">
        <v>1402</v>
      </c>
      <c r="AJ19" s="148"/>
      <c r="AK19" s="149"/>
      <c r="AL19" s="147" t="s">
        <v>1403</v>
      </c>
      <c r="AM19" s="148"/>
      <c r="AN19" s="149"/>
      <c r="AO19" s="147" t="s">
        <v>1404</v>
      </c>
      <c r="AP19" s="148"/>
      <c r="AQ19" s="149"/>
      <c r="AR19" s="153" t="s">
        <v>1405</v>
      </c>
      <c r="AS19" s="154"/>
      <c r="AT19" s="154"/>
      <c r="AU19" s="154" t="s">
        <v>1435</v>
      </c>
      <c r="AV19" s="154"/>
      <c r="AW19" s="154"/>
      <c r="AX19" s="154"/>
      <c r="AY19" s="154"/>
      <c r="AZ19" s="147" t="s">
        <v>1430</v>
      </c>
      <c r="BA19" s="148"/>
      <c r="BB19" s="148"/>
      <c r="BC19" s="148"/>
      <c r="BD19" s="148"/>
      <c r="BE19" s="39"/>
    </row>
    <row r="20" spans="2:59" ht="15" customHeight="1" x14ac:dyDescent="0.3">
      <c r="B20" s="43"/>
      <c r="C20" s="26" t="s">
        <v>57</v>
      </c>
      <c r="D20" s="10"/>
      <c r="E20" s="10"/>
      <c r="F20" s="10"/>
      <c r="G20" s="10"/>
      <c r="H20" s="10"/>
      <c r="I20" s="10"/>
      <c r="J20" s="50"/>
      <c r="K20" s="147" t="s">
        <v>1381</v>
      </c>
      <c r="L20" s="148"/>
      <c r="M20" s="149"/>
      <c r="N20" s="147" t="s">
        <v>1385</v>
      </c>
      <c r="O20" s="148"/>
      <c r="P20" s="149"/>
      <c r="Q20" s="147" t="s">
        <v>1406</v>
      </c>
      <c r="R20" s="148"/>
      <c r="S20" s="149"/>
      <c r="T20" s="147" t="s">
        <v>1407</v>
      </c>
      <c r="U20" s="148"/>
      <c r="V20" s="149"/>
      <c r="W20" s="147" t="s">
        <v>1408</v>
      </c>
      <c r="X20" s="148"/>
      <c r="Y20" s="149"/>
      <c r="Z20" s="147" t="s">
        <v>1409</v>
      </c>
      <c r="AA20" s="148"/>
      <c r="AB20" s="149"/>
      <c r="AC20" s="147" t="s">
        <v>1410</v>
      </c>
      <c r="AD20" s="148"/>
      <c r="AE20" s="149"/>
      <c r="AF20" s="147" t="s">
        <v>1411</v>
      </c>
      <c r="AG20" s="148"/>
      <c r="AH20" s="149"/>
      <c r="AI20" s="147" t="s">
        <v>1412</v>
      </c>
      <c r="AJ20" s="148"/>
      <c r="AK20" s="149"/>
      <c r="AL20" s="147" t="s">
        <v>1413</v>
      </c>
      <c r="AM20" s="148"/>
      <c r="AN20" s="149"/>
      <c r="AO20" s="147" t="s">
        <v>1414</v>
      </c>
      <c r="AP20" s="148"/>
      <c r="AQ20" s="149"/>
      <c r="AR20" s="153" t="s">
        <v>1415</v>
      </c>
      <c r="AS20" s="154"/>
      <c r="AT20" s="154"/>
      <c r="AU20" s="154" t="s">
        <v>1436</v>
      </c>
      <c r="AV20" s="154"/>
      <c r="AW20" s="154"/>
      <c r="AX20" s="154"/>
      <c r="AY20" s="154"/>
      <c r="AZ20" s="147" t="s">
        <v>1432</v>
      </c>
      <c r="BA20" s="148"/>
      <c r="BB20" s="148"/>
      <c r="BC20" s="148"/>
      <c r="BD20" s="148"/>
      <c r="BE20" s="39"/>
    </row>
    <row r="21" spans="2:59" ht="15" customHeight="1" x14ac:dyDescent="0.3">
      <c r="B21" s="43"/>
      <c r="C21" s="27" t="s">
        <v>58</v>
      </c>
      <c r="D21" s="11"/>
      <c r="E21" s="11"/>
      <c r="F21" s="11"/>
      <c r="G21" s="11"/>
      <c r="H21" s="11"/>
      <c r="I21" s="11"/>
      <c r="J21" s="51"/>
      <c r="K21" s="150" t="s">
        <v>1382</v>
      </c>
      <c r="L21" s="151"/>
      <c r="M21" s="152"/>
      <c r="N21" s="150" t="s">
        <v>1416</v>
      </c>
      <c r="O21" s="151"/>
      <c r="P21" s="152"/>
      <c r="Q21" s="150" t="s">
        <v>1417</v>
      </c>
      <c r="R21" s="151"/>
      <c r="S21" s="152"/>
      <c r="T21" s="150" t="s">
        <v>1418</v>
      </c>
      <c r="U21" s="151"/>
      <c r="V21" s="152"/>
      <c r="W21" s="150" t="s">
        <v>1419</v>
      </c>
      <c r="X21" s="151"/>
      <c r="Y21" s="152"/>
      <c r="Z21" s="150" t="s">
        <v>1420</v>
      </c>
      <c r="AA21" s="151"/>
      <c r="AB21" s="152"/>
      <c r="AC21" s="150" t="s">
        <v>1421</v>
      </c>
      <c r="AD21" s="151"/>
      <c r="AE21" s="152"/>
      <c r="AF21" s="150" t="s">
        <v>1422</v>
      </c>
      <c r="AG21" s="151"/>
      <c r="AH21" s="152"/>
      <c r="AI21" s="150" t="s">
        <v>1423</v>
      </c>
      <c r="AJ21" s="151"/>
      <c r="AK21" s="152"/>
      <c r="AL21" s="150" t="s">
        <v>1424</v>
      </c>
      <c r="AM21" s="151"/>
      <c r="AN21" s="152"/>
      <c r="AO21" s="150" t="s">
        <v>1425</v>
      </c>
      <c r="AP21" s="151"/>
      <c r="AQ21" s="152"/>
      <c r="AR21" s="158" t="s">
        <v>1426</v>
      </c>
      <c r="AS21" s="157"/>
      <c r="AT21" s="157"/>
      <c r="AU21" s="157" t="s">
        <v>1437</v>
      </c>
      <c r="AV21" s="157"/>
      <c r="AW21" s="157"/>
      <c r="AX21" s="157"/>
      <c r="AY21" s="157"/>
      <c r="AZ21" s="150" t="s">
        <v>1434</v>
      </c>
      <c r="BA21" s="151"/>
      <c r="BB21" s="151"/>
      <c r="BC21" s="151"/>
      <c r="BD21" s="151"/>
      <c r="BE21" s="39"/>
    </row>
    <row r="22" spans="2:59" ht="9.9499999999999993" customHeight="1" x14ac:dyDescent="0.3">
      <c r="B22" s="43"/>
      <c r="M22" s="43"/>
      <c r="N22" s="43"/>
      <c r="O22" s="43"/>
      <c r="P22" s="43"/>
      <c r="BE22" s="39"/>
      <c r="BF22" s="39"/>
      <c r="BG22" s="39"/>
    </row>
    <row r="23" spans="2:59" ht="15" customHeight="1" x14ac:dyDescent="0.3">
      <c r="B23" s="2" t="s">
        <v>4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44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6"/>
      <c r="Z23" s="44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6"/>
      <c r="AL23" s="44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6"/>
      <c r="AX23" s="44"/>
      <c r="AY23" s="45"/>
      <c r="AZ23" s="45"/>
      <c r="BA23" s="45"/>
      <c r="BB23" s="45"/>
      <c r="BC23" s="45"/>
      <c r="BD23" s="45"/>
      <c r="BE23" s="39"/>
      <c r="BF23" s="39"/>
      <c r="BG23" s="39"/>
    </row>
    <row r="24" spans="2:59" ht="15" customHeight="1" x14ac:dyDescent="0.3">
      <c r="B24" s="14"/>
      <c r="C24" s="7" t="s">
        <v>1361</v>
      </c>
      <c r="D24" s="43"/>
      <c r="E24" s="43"/>
      <c r="F24" s="43"/>
      <c r="G24" s="43"/>
      <c r="H24" s="43"/>
    </row>
    <row r="25" spans="2:59" ht="15" customHeight="1" x14ac:dyDescent="0.3">
      <c r="B25" s="43"/>
      <c r="C25" s="37" t="s">
        <v>6</v>
      </c>
      <c r="D25" s="35"/>
      <c r="E25" s="35"/>
      <c r="F25" s="35"/>
      <c r="G25" s="35"/>
      <c r="H25" s="35"/>
      <c r="I25" s="35"/>
      <c r="J25" s="60"/>
      <c r="K25" s="33" t="s">
        <v>12</v>
      </c>
      <c r="L25" s="30"/>
      <c r="M25" s="32"/>
      <c r="N25" s="33" t="s">
        <v>13</v>
      </c>
      <c r="O25" s="30"/>
      <c r="P25" s="32"/>
      <c r="Q25" s="33" t="s">
        <v>14</v>
      </c>
      <c r="R25" s="30"/>
      <c r="S25" s="32"/>
      <c r="T25" s="33" t="s">
        <v>15</v>
      </c>
      <c r="U25" s="30"/>
      <c r="V25" s="32"/>
      <c r="W25" s="33" t="s">
        <v>16</v>
      </c>
      <c r="X25" s="30"/>
      <c r="Y25" s="32"/>
      <c r="Z25" s="33" t="s">
        <v>17</v>
      </c>
      <c r="AA25" s="30"/>
      <c r="AB25" s="32"/>
      <c r="AC25" s="33" t="s">
        <v>18</v>
      </c>
      <c r="AD25" s="30"/>
      <c r="AE25" s="32"/>
      <c r="AF25" s="33" t="s">
        <v>19</v>
      </c>
      <c r="AG25" s="30"/>
      <c r="AH25" s="32"/>
      <c r="AI25" s="33" t="s">
        <v>20</v>
      </c>
      <c r="AJ25" s="30"/>
      <c r="AK25" s="32"/>
      <c r="AL25" s="33" t="s">
        <v>21</v>
      </c>
      <c r="AM25" s="30"/>
      <c r="AN25" s="32"/>
      <c r="AO25" s="33" t="s">
        <v>22</v>
      </c>
      <c r="AP25" s="30"/>
      <c r="AQ25" s="32"/>
      <c r="AR25" s="67" t="s">
        <v>23</v>
      </c>
      <c r="AS25" s="68"/>
      <c r="AT25" s="68"/>
      <c r="AU25" s="68" t="s">
        <v>41</v>
      </c>
      <c r="AV25" s="68"/>
      <c r="AW25" s="68"/>
      <c r="AX25" s="68"/>
      <c r="AY25" s="68"/>
      <c r="AZ25" s="68" t="s">
        <v>59</v>
      </c>
      <c r="BA25" s="68"/>
      <c r="BB25" s="68"/>
      <c r="BC25" s="68"/>
      <c r="BD25" s="29"/>
    </row>
    <row r="26" spans="2:59" ht="15" customHeight="1" x14ac:dyDescent="0.3">
      <c r="B26" s="43"/>
      <c r="C26" s="16" t="s">
        <v>24</v>
      </c>
      <c r="D26" s="16"/>
      <c r="E26" s="16"/>
      <c r="F26" s="16"/>
      <c r="G26" s="16"/>
      <c r="H26" s="16"/>
      <c r="I26" s="16"/>
      <c r="J26" s="49"/>
      <c r="K26" s="144" t="s">
        <v>1438</v>
      </c>
      <c r="L26" s="145"/>
      <c r="M26" s="146"/>
      <c r="N26" s="144" t="s">
        <v>1439</v>
      </c>
      <c r="O26" s="145"/>
      <c r="P26" s="146"/>
      <c r="Q26" s="144" t="s">
        <v>1440</v>
      </c>
      <c r="R26" s="145"/>
      <c r="S26" s="146"/>
      <c r="T26" s="144" t="s">
        <v>1441</v>
      </c>
      <c r="U26" s="145"/>
      <c r="V26" s="146"/>
      <c r="W26" s="144" t="s">
        <v>1442</v>
      </c>
      <c r="X26" s="145"/>
      <c r="Y26" s="146"/>
      <c r="Z26" s="144" t="s">
        <v>1443</v>
      </c>
      <c r="AA26" s="145"/>
      <c r="AB26" s="146"/>
      <c r="AC26" s="144" t="s">
        <v>1444</v>
      </c>
      <c r="AD26" s="145"/>
      <c r="AE26" s="146"/>
      <c r="AF26" s="144" t="s">
        <v>1445</v>
      </c>
      <c r="AG26" s="145"/>
      <c r="AH26" s="146"/>
      <c r="AI26" s="144" t="s">
        <v>1446</v>
      </c>
      <c r="AJ26" s="145"/>
      <c r="AK26" s="146"/>
      <c r="AL26" s="144" t="s">
        <v>1447</v>
      </c>
      <c r="AM26" s="145"/>
      <c r="AN26" s="146"/>
      <c r="AO26" s="144" t="s">
        <v>1448</v>
      </c>
      <c r="AP26" s="145"/>
      <c r="AQ26" s="146"/>
      <c r="AR26" s="155" t="s">
        <v>1449</v>
      </c>
      <c r="AS26" s="156"/>
      <c r="AT26" s="156"/>
      <c r="AU26" s="156" t="s">
        <v>1450</v>
      </c>
      <c r="AV26" s="156"/>
      <c r="AW26" s="156"/>
      <c r="AX26" s="156"/>
      <c r="AY26" s="156"/>
      <c r="AZ26" s="144" t="s">
        <v>1451</v>
      </c>
      <c r="BA26" s="145"/>
      <c r="BB26" s="145"/>
      <c r="BC26" s="145"/>
      <c r="BD26" s="145"/>
    </row>
    <row r="27" spans="2:59" ht="15" customHeight="1" x14ac:dyDescent="0.3">
      <c r="B27" s="43"/>
      <c r="C27" s="26" t="s">
        <v>55</v>
      </c>
      <c r="D27" s="10"/>
      <c r="E27" s="10"/>
      <c r="F27" s="10"/>
      <c r="G27" s="10"/>
      <c r="H27" s="10"/>
      <c r="I27" s="10"/>
      <c r="J27" s="50"/>
      <c r="K27" s="147" t="s">
        <v>1452</v>
      </c>
      <c r="L27" s="148"/>
      <c r="M27" s="149"/>
      <c r="N27" s="147" t="s">
        <v>1453</v>
      </c>
      <c r="O27" s="148"/>
      <c r="P27" s="149"/>
      <c r="Q27" s="147" t="s">
        <v>1454</v>
      </c>
      <c r="R27" s="148"/>
      <c r="S27" s="149"/>
      <c r="T27" s="147" t="s">
        <v>1455</v>
      </c>
      <c r="U27" s="148"/>
      <c r="V27" s="149"/>
      <c r="W27" s="147" t="s">
        <v>1456</v>
      </c>
      <c r="X27" s="148"/>
      <c r="Y27" s="149"/>
      <c r="Z27" s="147" t="s">
        <v>1457</v>
      </c>
      <c r="AA27" s="148"/>
      <c r="AB27" s="149"/>
      <c r="AC27" s="147" t="s">
        <v>1458</v>
      </c>
      <c r="AD27" s="148"/>
      <c r="AE27" s="149"/>
      <c r="AF27" s="147" t="s">
        <v>1459</v>
      </c>
      <c r="AG27" s="148"/>
      <c r="AH27" s="149"/>
      <c r="AI27" s="147" t="s">
        <v>1460</v>
      </c>
      <c r="AJ27" s="148"/>
      <c r="AK27" s="149"/>
      <c r="AL27" s="147" t="s">
        <v>1461</v>
      </c>
      <c r="AM27" s="148"/>
      <c r="AN27" s="149"/>
      <c r="AO27" s="147" t="s">
        <v>1462</v>
      </c>
      <c r="AP27" s="148"/>
      <c r="AQ27" s="149"/>
      <c r="AR27" s="153" t="s">
        <v>1463</v>
      </c>
      <c r="AS27" s="154"/>
      <c r="AT27" s="154"/>
      <c r="AU27" s="154" t="s">
        <v>1464</v>
      </c>
      <c r="AV27" s="154"/>
      <c r="AW27" s="154"/>
      <c r="AX27" s="154"/>
      <c r="AY27" s="154"/>
      <c r="AZ27" s="147" t="s">
        <v>1465</v>
      </c>
      <c r="BA27" s="148"/>
      <c r="BB27" s="148"/>
      <c r="BC27" s="148"/>
      <c r="BD27" s="148"/>
    </row>
    <row r="28" spans="2:59" ht="15" customHeight="1" x14ac:dyDescent="0.3">
      <c r="B28" s="43"/>
      <c r="C28" s="26" t="s">
        <v>56</v>
      </c>
      <c r="D28" s="10"/>
      <c r="E28" s="10"/>
      <c r="F28" s="10"/>
      <c r="G28" s="10"/>
      <c r="H28" s="10"/>
      <c r="I28" s="10"/>
      <c r="J28" s="50"/>
      <c r="K28" s="147" t="s">
        <v>1466</v>
      </c>
      <c r="L28" s="148"/>
      <c r="M28" s="149"/>
      <c r="N28" s="147" t="s">
        <v>1467</v>
      </c>
      <c r="O28" s="148"/>
      <c r="P28" s="149"/>
      <c r="Q28" s="147" t="s">
        <v>1468</v>
      </c>
      <c r="R28" s="148"/>
      <c r="S28" s="149"/>
      <c r="T28" s="147" t="s">
        <v>1469</v>
      </c>
      <c r="U28" s="148"/>
      <c r="V28" s="149"/>
      <c r="W28" s="147" t="s">
        <v>1470</v>
      </c>
      <c r="X28" s="148"/>
      <c r="Y28" s="149"/>
      <c r="Z28" s="147" t="s">
        <v>1471</v>
      </c>
      <c r="AA28" s="148"/>
      <c r="AB28" s="149"/>
      <c r="AC28" s="147" t="s">
        <v>1472</v>
      </c>
      <c r="AD28" s="148"/>
      <c r="AE28" s="149"/>
      <c r="AF28" s="147" t="s">
        <v>1473</v>
      </c>
      <c r="AG28" s="148"/>
      <c r="AH28" s="149"/>
      <c r="AI28" s="147" t="s">
        <v>1474</v>
      </c>
      <c r="AJ28" s="148"/>
      <c r="AK28" s="149"/>
      <c r="AL28" s="147" t="s">
        <v>1475</v>
      </c>
      <c r="AM28" s="148"/>
      <c r="AN28" s="149"/>
      <c r="AO28" s="147" t="s">
        <v>1476</v>
      </c>
      <c r="AP28" s="148"/>
      <c r="AQ28" s="149"/>
      <c r="AR28" s="153" t="s">
        <v>1477</v>
      </c>
      <c r="AS28" s="154"/>
      <c r="AT28" s="154"/>
      <c r="AU28" s="154" t="s">
        <v>1478</v>
      </c>
      <c r="AV28" s="154"/>
      <c r="AW28" s="154"/>
      <c r="AX28" s="154"/>
      <c r="AY28" s="154"/>
      <c r="AZ28" s="147" t="s">
        <v>1479</v>
      </c>
      <c r="BA28" s="148"/>
      <c r="BB28" s="148"/>
      <c r="BC28" s="148"/>
      <c r="BD28" s="148"/>
    </row>
    <row r="29" spans="2:59" ht="15" customHeight="1" x14ac:dyDescent="0.3">
      <c r="C29" s="26" t="s">
        <v>57</v>
      </c>
      <c r="D29" s="10"/>
      <c r="E29" s="10"/>
      <c r="F29" s="10"/>
      <c r="G29" s="10"/>
      <c r="H29" s="10"/>
      <c r="I29" s="10"/>
      <c r="J29" s="50"/>
      <c r="K29" s="147" t="s">
        <v>1480</v>
      </c>
      <c r="L29" s="148"/>
      <c r="M29" s="149"/>
      <c r="N29" s="147" t="s">
        <v>1481</v>
      </c>
      <c r="O29" s="148"/>
      <c r="P29" s="149"/>
      <c r="Q29" s="147" t="s">
        <v>1482</v>
      </c>
      <c r="R29" s="148"/>
      <c r="S29" s="149"/>
      <c r="T29" s="147" t="s">
        <v>1483</v>
      </c>
      <c r="U29" s="148"/>
      <c r="V29" s="149"/>
      <c r="W29" s="147" t="s">
        <v>1484</v>
      </c>
      <c r="X29" s="148"/>
      <c r="Y29" s="149"/>
      <c r="Z29" s="147" t="s">
        <v>1485</v>
      </c>
      <c r="AA29" s="148"/>
      <c r="AB29" s="149"/>
      <c r="AC29" s="147" t="s">
        <v>1486</v>
      </c>
      <c r="AD29" s="148"/>
      <c r="AE29" s="149"/>
      <c r="AF29" s="147" t="s">
        <v>1487</v>
      </c>
      <c r="AG29" s="148"/>
      <c r="AH29" s="149"/>
      <c r="AI29" s="147" t="s">
        <v>1488</v>
      </c>
      <c r="AJ29" s="148"/>
      <c r="AK29" s="149"/>
      <c r="AL29" s="147" t="s">
        <v>1489</v>
      </c>
      <c r="AM29" s="148"/>
      <c r="AN29" s="149"/>
      <c r="AO29" s="147" t="s">
        <v>1490</v>
      </c>
      <c r="AP29" s="148"/>
      <c r="AQ29" s="149"/>
      <c r="AR29" s="153" t="s">
        <v>1491</v>
      </c>
      <c r="AS29" s="154"/>
      <c r="AT29" s="154"/>
      <c r="AU29" s="154" t="s">
        <v>1492</v>
      </c>
      <c r="AV29" s="154"/>
      <c r="AW29" s="154"/>
      <c r="AX29" s="154"/>
      <c r="AY29" s="154"/>
      <c r="AZ29" s="147" t="s">
        <v>1493</v>
      </c>
      <c r="BA29" s="148"/>
      <c r="BB29" s="148"/>
      <c r="BC29" s="148"/>
      <c r="BD29" s="148"/>
    </row>
    <row r="30" spans="2:59" ht="15" customHeight="1" x14ac:dyDescent="0.3">
      <c r="C30" s="27" t="s">
        <v>58</v>
      </c>
      <c r="D30" s="11"/>
      <c r="E30" s="11"/>
      <c r="F30" s="11"/>
      <c r="G30" s="11"/>
      <c r="H30" s="11"/>
      <c r="I30" s="11"/>
      <c r="J30" s="51"/>
      <c r="K30" s="150" t="s">
        <v>1494</v>
      </c>
      <c r="L30" s="151"/>
      <c r="M30" s="152"/>
      <c r="N30" s="150" t="s">
        <v>1495</v>
      </c>
      <c r="O30" s="151"/>
      <c r="P30" s="152"/>
      <c r="Q30" s="150" t="s">
        <v>1496</v>
      </c>
      <c r="R30" s="151"/>
      <c r="S30" s="152"/>
      <c r="T30" s="150" t="s">
        <v>1497</v>
      </c>
      <c r="U30" s="151"/>
      <c r="V30" s="152"/>
      <c r="W30" s="150" t="s">
        <v>1498</v>
      </c>
      <c r="X30" s="151"/>
      <c r="Y30" s="152"/>
      <c r="Z30" s="150" t="s">
        <v>1499</v>
      </c>
      <c r="AA30" s="151"/>
      <c r="AB30" s="152"/>
      <c r="AC30" s="150" t="s">
        <v>1500</v>
      </c>
      <c r="AD30" s="151"/>
      <c r="AE30" s="152"/>
      <c r="AF30" s="150" t="s">
        <v>1501</v>
      </c>
      <c r="AG30" s="151"/>
      <c r="AH30" s="152"/>
      <c r="AI30" s="150" t="s">
        <v>1502</v>
      </c>
      <c r="AJ30" s="151"/>
      <c r="AK30" s="152"/>
      <c r="AL30" s="150" t="s">
        <v>1503</v>
      </c>
      <c r="AM30" s="151"/>
      <c r="AN30" s="152"/>
      <c r="AO30" s="150" t="s">
        <v>1504</v>
      </c>
      <c r="AP30" s="151"/>
      <c r="AQ30" s="152"/>
      <c r="AR30" s="158" t="s">
        <v>1505</v>
      </c>
      <c r="AS30" s="157"/>
      <c r="AT30" s="157"/>
      <c r="AU30" s="157" t="s">
        <v>1506</v>
      </c>
      <c r="AV30" s="157"/>
      <c r="AW30" s="157"/>
      <c r="AX30" s="157"/>
      <c r="AY30" s="157"/>
      <c r="AZ30" s="150" t="s">
        <v>1507</v>
      </c>
      <c r="BA30" s="151"/>
      <c r="BB30" s="151"/>
      <c r="BC30" s="151"/>
      <c r="BD30" s="151"/>
    </row>
    <row r="31" spans="2:59" ht="9.9499999999999993" customHeight="1" x14ac:dyDescent="0.3">
      <c r="B31" s="43"/>
      <c r="C31" s="3"/>
      <c r="D31" s="3"/>
      <c r="E31" s="3"/>
      <c r="F31" s="3"/>
      <c r="G31" s="3"/>
      <c r="H31" s="3"/>
      <c r="I31" s="3"/>
      <c r="J31" s="3"/>
      <c r="K31" s="3"/>
      <c r="L31" s="3"/>
      <c r="M31" s="43"/>
      <c r="N31" s="43"/>
    </row>
    <row r="32" spans="2:59" ht="15" customHeight="1" x14ac:dyDescent="0.3">
      <c r="B32" s="43"/>
      <c r="C32" s="7" t="s">
        <v>1362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spans="2:56" ht="15" customHeight="1" x14ac:dyDescent="0.3">
      <c r="B33" s="43"/>
      <c r="C33" s="37" t="s">
        <v>6</v>
      </c>
      <c r="D33" s="35"/>
      <c r="E33" s="35"/>
      <c r="F33" s="35"/>
      <c r="G33" s="35"/>
      <c r="H33" s="35"/>
      <c r="I33" s="35"/>
      <c r="J33" s="60"/>
      <c r="K33" s="33" t="s">
        <v>12</v>
      </c>
      <c r="L33" s="30"/>
      <c r="M33" s="32"/>
      <c r="N33" s="33" t="s">
        <v>13</v>
      </c>
      <c r="O33" s="30"/>
      <c r="P33" s="32"/>
      <c r="Q33" s="33" t="s">
        <v>14</v>
      </c>
      <c r="R33" s="30"/>
      <c r="S33" s="32"/>
      <c r="T33" s="33" t="s">
        <v>15</v>
      </c>
      <c r="U33" s="30"/>
      <c r="V33" s="32"/>
      <c r="W33" s="33" t="s">
        <v>16</v>
      </c>
      <c r="X33" s="30"/>
      <c r="Y33" s="32"/>
      <c r="Z33" s="33" t="s">
        <v>17</v>
      </c>
      <c r="AA33" s="30"/>
      <c r="AB33" s="32"/>
      <c r="AC33" s="33" t="s">
        <v>18</v>
      </c>
      <c r="AD33" s="30"/>
      <c r="AE33" s="32"/>
      <c r="AF33" s="33" t="s">
        <v>19</v>
      </c>
      <c r="AG33" s="30"/>
      <c r="AH33" s="32"/>
      <c r="AI33" s="33" t="s">
        <v>20</v>
      </c>
      <c r="AJ33" s="30"/>
      <c r="AK33" s="32"/>
      <c r="AL33" s="33" t="s">
        <v>21</v>
      </c>
      <c r="AM33" s="30"/>
      <c r="AN33" s="32"/>
      <c r="AO33" s="33" t="s">
        <v>22</v>
      </c>
      <c r="AP33" s="30"/>
      <c r="AQ33" s="32"/>
      <c r="AR33" s="67" t="s">
        <v>23</v>
      </c>
      <c r="AS33" s="68"/>
      <c r="AT33" s="68"/>
      <c r="AU33" s="68" t="s">
        <v>41</v>
      </c>
      <c r="AV33" s="68"/>
      <c r="AW33" s="68"/>
      <c r="AX33" s="68"/>
      <c r="AY33" s="68"/>
      <c r="AZ33" s="68" t="s">
        <v>59</v>
      </c>
      <c r="BA33" s="68"/>
      <c r="BB33" s="68"/>
      <c r="BC33" s="68"/>
      <c r="BD33" s="29"/>
    </row>
    <row r="34" spans="2:56" ht="15" customHeight="1" x14ac:dyDescent="0.3">
      <c r="B34" s="43"/>
      <c r="C34" s="16" t="s">
        <v>25</v>
      </c>
      <c r="D34" s="16"/>
      <c r="E34" s="16"/>
      <c r="F34" s="16"/>
      <c r="G34" s="16"/>
      <c r="H34" s="16"/>
      <c r="I34" s="16"/>
      <c r="J34" s="49"/>
      <c r="K34" s="144" t="s">
        <v>1508</v>
      </c>
      <c r="L34" s="145"/>
      <c r="M34" s="146"/>
      <c r="N34" s="144" t="s">
        <v>1509</v>
      </c>
      <c r="O34" s="145"/>
      <c r="P34" s="146"/>
      <c r="Q34" s="144" t="s">
        <v>1510</v>
      </c>
      <c r="R34" s="145"/>
      <c r="S34" s="146"/>
      <c r="T34" s="144" t="s">
        <v>1511</v>
      </c>
      <c r="U34" s="145"/>
      <c r="V34" s="146"/>
      <c r="W34" s="144" t="s">
        <v>1512</v>
      </c>
      <c r="X34" s="145"/>
      <c r="Y34" s="146"/>
      <c r="Z34" s="144" t="s">
        <v>1513</v>
      </c>
      <c r="AA34" s="145"/>
      <c r="AB34" s="146"/>
      <c r="AC34" s="144" t="s">
        <v>1514</v>
      </c>
      <c r="AD34" s="145"/>
      <c r="AE34" s="146"/>
      <c r="AF34" s="144" t="s">
        <v>1515</v>
      </c>
      <c r="AG34" s="145"/>
      <c r="AH34" s="146"/>
      <c r="AI34" s="144" t="s">
        <v>1516</v>
      </c>
      <c r="AJ34" s="145"/>
      <c r="AK34" s="146"/>
      <c r="AL34" s="144" t="s">
        <v>1517</v>
      </c>
      <c r="AM34" s="145"/>
      <c r="AN34" s="146"/>
      <c r="AO34" s="144" t="s">
        <v>1518</v>
      </c>
      <c r="AP34" s="145"/>
      <c r="AQ34" s="146"/>
      <c r="AR34" s="155" t="s">
        <v>1519</v>
      </c>
      <c r="AS34" s="156"/>
      <c r="AT34" s="156"/>
      <c r="AU34" s="156" t="s">
        <v>1520</v>
      </c>
      <c r="AV34" s="156"/>
      <c r="AW34" s="156"/>
      <c r="AX34" s="156"/>
      <c r="AY34" s="156"/>
      <c r="AZ34" s="144" t="s">
        <v>1521</v>
      </c>
      <c r="BA34" s="145"/>
      <c r="BB34" s="145"/>
      <c r="BC34" s="145"/>
      <c r="BD34" s="145"/>
    </row>
    <row r="35" spans="2:56" ht="15" customHeight="1" x14ac:dyDescent="0.3">
      <c r="B35" s="43"/>
      <c r="C35" s="26" t="s">
        <v>55</v>
      </c>
      <c r="D35" s="10"/>
      <c r="E35" s="10"/>
      <c r="F35" s="10"/>
      <c r="G35" s="10"/>
      <c r="H35" s="10"/>
      <c r="I35" s="10"/>
      <c r="J35" s="50"/>
      <c r="K35" s="147" t="s">
        <v>1522</v>
      </c>
      <c r="L35" s="148"/>
      <c r="M35" s="149"/>
      <c r="N35" s="147" t="s">
        <v>1523</v>
      </c>
      <c r="O35" s="148"/>
      <c r="P35" s="149"/>
      <c r="Q35" s="147" t="s">
        <v>1524</v>
      </c>
      <c r="R35" s="148"/>
      <c r="S35" s="149"/>
      <c r="T35" s="147" t="s">
        <v>1525</v>
      </c>
      <c r="U35" s="148"/>
      <c r="V35" s="149"/>
      <c r="W35" s="147" t="s">
        <v>1526</v>
      </c>
      <c r="X35" s="148"/>
      <c r="Y35" s="149"/>
      <c r="Z35" s="147" t="s">
        <v>1527</v>
      </c>
      <c r="AA35" s="148"/>
      <c r="AB35" s="149"/>
      <c r="AC35" s="147" t="s">
        <v>1528</v>
      </c>
      <c r="AD35" s="148"/>
      <c r="AE35" s="149"/>
      <c r="AF35" s="147" t="s">
        <v>1529</v>
      </c>
      <c r="AG35" s="148"/>
      <c r="AH35" s="149"/>
      <c r="AI35" s="147" t="s">
        <v>1530</v>
      </c>
      <c r="AJ35" s="148"/>
      <c r="AK35" s="149"/>
      <c r="AL35" s="147" t="s">
        <v>1531</v>
      </c>
      <c r="AM35" s="148"/>
      <c r="AN35" s="149"/>
      <c r="AO35" s="147" t="s">
        <v>1532</v>
      </c>
      <c r="AP35" s="148"/>
      <c r="AQ35" s="149"/>
      <c r="AR35" s="153" t="s">
        <v>1533</v>
      </c>
      <c r="AS35" s="154"/>
      <c r="AT35" s="154"/>
      <c r="AU35" s="154" t="s">
        <v>1534</v>
      </c>
      <c r="AV35" s="154"/>
      <c r="AW35" s="154"/>
      <c r="AX35" s="154"/>
      <c r="AY35" s="154"/>
      <c r="AZ35" s="147" t="s">
        <v>1535</v>
      </c>
      <c r="BA35" s="148"/>
      <c r="BB35" s="148"/>
      <c r="BC35" s="148"/>
      <c r="BD35" s="148"/>
    </row>
    <row r="36" spans="2:56" ht="15" customHeight="1" x14ac:dyDescent="0.3">
      <c r="B36" s="43"/>
      <c r="C36" s="26" t="s">
        <v>56</v>
      </c>
      <c r="D36" s="10"/>
      <c r="E36" s="10"/>
      <c r="F36" s="10"/>
      <c r="G36" s="10"/>
      <c r="H36" s="10"/>
      <c r="I36" s="10"/>
      <c r="J36" s="50"/>
      <c r="K36" s="147" t="s">
        <v>1536</v>
      </c>
      <c r="L36" s="148"/>
      <c r="M36" s="149"/>
      <c r="N36" s="147" t="s">
        <v>1537</v>
      </c>
      <c r="O36" s="148"/>
      <c r="P36" s="149"/>
      <c r="Q36" s="147" t="s">
        <v>1538</v>
      </c>
      <c r="R36" s="148"/>
      <c r="S36" s="149"/>
      <c r="T36" s="147" t="s">
        <v>1539</v>
      </c>
      <c r="U36" s="148"/>
      <c r="V36" s="149"/>
      <c r="W36" s="147" t="s">
        <v>1540</v>
      </c>
      <c r="X36" s="148"/>
      <c r="Y36" s="149"/>
      <c r="Z36" s="147" t="s">
        <v>1541</v>
      </c>
      <c r="AA36" s="148"/>
      <c r="AB36" s="149"/>
      <c r="AC36" s="147" t="s">
        <v>1542</v>
      </c>
      <c r="AD36" s="148"/>
      <c r="AE36" s="149"/>
      <c r="AF36" s="147" t="s">
        <v>1543</v>
      </c>
      <c r="AG36" s="148"/>
      <c r="AH36" s="149"/>
      <c r="AI36" s="147" t="s">
        <v>1544</v>
      </c>
      <c r="AJ36" s="148"/>
      <c r="AK36" s="149"/>
      <c r="AL36" s="147" t="s">
        <v>1545</v>
      </c>
      <c r="AM36" s="148"/>
      <c r="AN36" s="149"/>
      <c r="AO36" s="147" t="s">
        <v>1546</v>
      </c>
      <c r="AP36" s="148"/>
      <c r="AQ36" s="149"/>
      <c r="AR36" s="153" t="s">
        <v>1547</v>
      </c>
      <c r="AS36" s="154"/>
      <c r="AT36" s="154"/>
      <c r="AU36" s="154" t="s">
        <v>1548</v>
      </c>
      <c r="AV36" s="154"/>
      <c r="AW36" s="154"/>
      <c r="AX36" s="154"/>
      <c r="AY36" s="154"/>
      <c r="AZ36" s="147" t="s">
        <v>1549</v>
      </c>
      <c r="BA36" s="148"/>
      <c r="BB36" s="148"/>
      <c r="BC36" s="148"/>
      <c r="BD36" s="148"/>
    </row>
    <row r="37" spans="2:56" ht="15" customHeight="1" x14ac:dyDescent="0.3">
      <c r="B37" s="43"/>
      <c r="C37" s="26" t="s">
        <v>57</v>
      </c>
      <c r="D37" s="10"/>
      <c r="E37" s="10"/>
      <c r="F37" s="10"/>
      <c r="G37" s="10"/>
      <c r="H37" s="10"/>
      <c r="I37" s="10"/>
      <c r="J37" s="50"/>
      <c r="K37" s="147" t="s">
        <v>1550</v>
      </c>
      <c r="L37" s="148"/>
      <c r="M37" s="149"/>
      <c r="N37" s="147" t="s">
        <v>1551</v>
      </c>
      <c r="O37" s="148"/>
      <c r="P37" s="149"/>
      <c r="Q37" s="147" t="s">
        <v>1552</v>
      </c>
      <c r="R37" s="148"/>
      <c r="S37" s="149"/>
      <c r="T37" s="147" t="s">
        <v>1553</v>
      </c>
      <c r="U37" s="148"/>
      <c r="V37" s="149"/>
      <c r="W37" s="147" t="s">
        <v>1554</v>
      </c>
      <c r="X37" s="148"/>
      <c r="Y37" s="149"/>
      <c r="Z37" s="147" t="s">
        <v>1555</v>
      </c>
      <c r="AA37" s="148"/>
      <c r="AB37" s="149"/>
      <c r="AC37" s="147" t="s">
        <v>1556</v>
      </c>
      <c r="AD37" s="148"/>
      <c r="AE37" s="149"/>
      <c r="AF37" s="147" t="s">
        <v>1557</v>
      </c>
      <c r="AG37" s="148"/>
      <c r="AH37" s="149"/>
      <c r="AI37" s="147" t="s">
        <v>1558</v>
      </c>
      <c r="AJ37" s="148"/>
      <c r="AK37" s="149"/>
      <c r="AL37" s="147" t="s">
        <v>1559</v>
      </c>
      <c r="AM37" s="148"/>
      <c r="AN37" s="149"/>
      <c r="AO37" s="147" t="s">
        <v>1560</v>
      </c>
      <c r="AP37" s="148"/>
      <c r="AQ37" s="149"/>
      <c r="AR37" s="153" t="s">
        <v>1561</v>
      </c>
      <c r="AS37" s="154"/>
      <c r="AT37" s="154"/>
      <c r="AU37" s="154" t="s">
        <v>1562</v>
      </c>
      <c r="AV37" s="154"/>
      <c r="AW37" s="154"/>
      <c r="AX37" s="154"/>
      <c r="AY37" s="154"/>
      <c r="AZ37" s="147" t="s">
        <v>1563</v>
      </c>
      <c r="BA37" s="148"/>
      <c r="BB37" s="148"/>
      <c r="BC37" s="148"/>
      <c r="BD37" s="148"/>
    </row>
    <row r="38" spans="2:56" ht="15" customHeight="1" x14ac:dyDescent="0.3">
      <c r="B38" s="4"/>
      <c r="C38" s="27" t="s">
        <v>58</v>
      </c>
      <c r="D38" s="11"/>
      <c r="E38" s="11"/>
      <c r="F38" s="11"/>
      <c r="G38" s="11"/>
      <c r="H38" s="11"/>
      <c r="I38" s="11"/>
      <c r="J38" s="51"/>
      <c r="K38" s="150" t="s">
        <v>1564</v>
      </c>
      <c r="L38" s="151"/>
      <c r="M38" s="152"/>
      <c r="N38" s="150" t="s">
        <v>1565</v>
      </c>
      <c r="O38" s="151"/>
      <c r="P38" s="152"/>
      <c r="Q38" s="150" t="s">
        <v>1566</v>
      </c>
      <c r="R38" s="151"/>
      <c r="S38" s="152"/>
      <c r="T38" s="150" t="s">
        <v>1567</v>
      </c>
      <c r="U38" s="151"/>
      <c r="V38" s="152"/>
      <c r="W38" s="150" t="s">
        <v>1568</v>
      </c>
      <c r="X38" s="151"/>
      <c r="Y38" s="152"/>
      <c r="Z38" s="150" t="s">
        <v>1569</v>
      </c>
      <c r="AA38" s="151"/>
      <c r="AB38" s="152"/>
      <c r="AC38" s="150" t="s">
        <v>1570</v>
      </c>
      <c r="AD38" s="151"/>
      <c r="AE38" s="152"/>
      <c r="AF38" s="150" t="s">
        <v>1571</v>
      </c>
      <c r="AG38" s="151"/>
      <c r="AH38" s="152"/>
      <c r="AI38" s="150" t="s">
        <v>1572</v>
      </c>
      <c r="AJ38" s="151"/>
      <c r="AK38" s="152"/>
      <c r="AL38" s="150" t="s">
        <v>1573</v>
      </c>
      <c r="AM38" s="151"/>
      <c r="AN38" s="152"/>
      <c r="AO38" s="150" t="s">
        <v>1574</v>
      </c>
      <c r="AP38" s="151"/>
      <c r="AQ38" s="152"/>
      <c r="AR38" s="158" t="s">
        <v>1575</v>
      </c>
      <c r="AS38" s="157"/>
      <c r="AT38" s="157"/>
      <c r="AU38" s="157" t="s">
        <v>1576</v>
      </c>
      <c r="AV38" s="157"/>
      <c r="AW38" s="157"/>
      <c r="AX38" s="157"/>
      <c r="AY38" s="157"/>
      <c r="AZ38" s="150" t="s">
        <v>1577</v>
      </c>
      <c r="BA38" s="151"/>
      <c r="BB38" s="151"/>
      <c r="BC38" s="151"/>
      <c r="BD38" s="151"/>
    </row>
    <row r="39" spans="2:56" ht="9.9499999999999993" customHeight="1" x14ac:dyDescent="0.3">
      <c r="B39" s="43"/>
      <c r="C39" s="3"/>
      <c r="D39" s="3"/>
      <c r="E39" s="3"/>
      <c r="F39" s="3"/>
      <c r="G39" s="3"/>
      <c r="H39" s="3"/>
      <c r="I39" s="3"/>
      <c r="J39" s="3"/>
      <c r="K39" s="3"/>
      <c r="L39" s="3"/>
      <c r="M39" s="43"/>
      <c r="N39" s="43"/>
    </row>
    <row r="40" spans="2:56" ht="15" customHeight="1" x14ac:dyDescent="0.3">
      <c r="B40" s="2" t="s">
        <v>5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6"/>
      <c r="N40" s="44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6"/>
      <c r="Z40" s="44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6"/>
      <c r="AL40" s="44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6"/>
      <c r="AX40" s="44"/>
      <c r="AY40" s="45"/>
      <c r="AZ40" s="45"/>
      <c r="BA40" s="45"/>
      <c r="BB40" s="45"/>
      <c r="BC40" s="45"/>
      <c r="BD40" s="45"/>
    </row>
    <row r="41" spans="2:56" ht="15" customHeight="1" x14ac:dyDescent="0.3">
      <c r="B41" s="6" t="s">
        <v>34</v>
      </c>
      <c r="C41" s="25" t="s">
        <v>1363</v>
      </c>
      <c r="D41" s="43"/>
      <c r="F41" s="43"/>
      <c r="G41" s="43"/>
      <c r="H41" s="43"/>
      <c r="I41" s="43"/>
      <c r="J41" s="43"/>
      <c r="K41" s="43"/>
      <c r="L41" s="43"/>
      <c r="M41" s="43"/>
      <c r="N41" s="43"/>
    </row>
    <row r="42" spans="2:56" ht="15" customHeight="1" x14ac:dyDescent="0.3">
      <c r="B42" s="9"/>
      <c r="C42" s="7"/>
      <c r="D42" s="7"/>
      <c r="F42" s="43"/>
      <c r="G42" s="43"/>
      <c r="H42" s="43"/>
      <c r="I42" s="43"/>
      <c r="J42" s="43"/>
      <c r="K42" s="43"/>
      <c r="L42" s="43"/>
      <c r="M42" s="43"/>
      <c r="N42" s="43"/>
    </row>
    <row r="43" spans="2:56" ht="15" customHeight="1" x14ac:dyDescent="0.3">
      <c r="B43" s="43"/>
      <c r="C43" s="38" t="s">
        <v>6</v>
      </c>
      <c r="D43" s="38"/>
      <c r="E43" s="38"/>
      <c r="F43" s="38"/>
      <c r="G43" s="38"/>
      <c r="H43" s="38"/>
      <c r="I43" s="38"/>
      <c r="J43" s="38"/>
      <c r="K43" s="52"/>
      <c r="L43" s="53" t="s">
        <v>27</v>
      </c>
      <c r="M43" s="37"/>
      <c r="N43" s="37"/>
      <c r="O43" s="37"/>
      <c r="P43" s="55"/>
      <c r="Q43" s="53" t="s">
        <v>29</v>
      </c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55"/>
      <c r="AK43" s="53" t="s">
        <v>30</v>
      </c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2:56" ht="15" customHeight="1" x14ac:dyDescent="0.3">
      <c r="B44" s="43"/>
      <c r="C44" s="61"/>
      <c r="D44" s="61"/>
      <c r="E44" s="61"/>
      <c r="F44" s="61"/>
      <c r="G44" s="61"/>
      <c r="H44" s="61"/>
      <c r="I44" s="61"/>
      <c r="J44" s="61"/>
      <c r="K44" s="62"/>
      <c r="L44" s="54"/>
      <c r="M44" s="36"/>
      <c r="N44" s="36"/>
      <c r="O44" s="36"/>
      <c r="P44" s="56"/>
      <c r="Q44" s="57" t="s">
        <v>28</v>
      </c>
      <c r="R44" s="58"/>
      <c r="S44" s="58"/>
      <c r="T44" s="58"/>
      <c r="U44" s="59"/>
      <c r="V44" s="57" t="s">
        <v>31</v>
      </c>
      <c r="W44" s="58"/>
      <c r="X44" s="58"/>
      <c r="Y44" s="58"/>
      <c r="Z44" s="59"/>
      <c r="AA44" s="57" t="s">
        <v>32</v>
      </c>
      <c r="AB44" s="58"/>
      <c r="AC44" s="58"/>
      <c r="AD44" s="58"/>
      <c r="AE44" s="59"/>
      <c r="AF44" s="57" t="s">
        <v>33</v>
      </c>
      <c r="AG44" s="58"/>
      <c r="AH44" s="58"/>
      <c r="AI44" s="58"/>
      <c r="AJ44" s="59"/>
      <c r="AK44" s="57" t="s">
        <v>28</v>
      </c>
      <c r="AL44" s="58"/>
      <c r="AM44" s="58"/>
      <c r="AN44" s="58"/>
      <c r="AO44" s="59"/>
      <c r="AP44" s="57" t="s">
        <v>31</v>
      </c>
      <c r="AQ44" s="58"/>
      <c r="AR44" s="58"/>
      <c r="AS44" s="58"/>
      <c r="AT44" s="59"/>
      <c r="AU44" s="57" t="s">
        <v>32</v>
      </c>
      <c r="AV44" s="58"/>
      <c r="AW44" s="58"/>
      <c r="AX44" s="58"/>
      <c r="AY44" s="59"/>
      <c r="AZ44" s="57" t="s">
        <v>33</v>
      </c>
      <c r="BA44" s="58"/>
      <c r="BB44" s="58"/>
      <c r="BC44" s="58"/>
      <c r="BD44" s="58"/>
    </row>
    <row r="45" spans="2:56" ht="15" customHeight="1" x14ac:dyDescent="0.3">
      <c r="B45" s="43"/>
      <c r="C45" s="16" t="s">
        <v>26</v>
      </c>
      <c r="D45" s="16"/>
      <c r="E45" s="16"/>
      <c r="F45" s="16"/>
      <c r="G45" s="16"/>
      <c r="H45" s="16"/>
      <c r="I45" s="16"/>
      <c r="J45" s="16"/>
      <c r="K45" s="49"/>
      <c r="L45" s="144" t="s">
        <v>2716</v>
      </c>
      <c r="M45" s="159"/>
      <c r="N45" s="159"/>
      <c r="O45" s="159"/>
      <c r="P45" s="159"/>
      <c r="Q45" s="144" t="s">
        <v>2717</v>
      </c>
      <c r="R45" s="159"/>
      <c r="S45" s="159"/>
      <c r="T45" s="159"/>
      <c r="U45" s="159"/>
      <c r="V45" s="144" t="s">
        <v>2718</v>
      </c>
      <c r="W45" s="159"/>
      <c r="X45" s="159"/>
      <c r="Y45" s="159"/>
      <c r="Z45" s="159"/>
      <c r="AA45" s="144" t="s">
        <v>2719</v>
      </c>
      <c r="AB45" s="159"/>
      <c r="AC45" s="159"/>
      <c r="AD45" s="159"/>
      <c r="AE45" s="159"/>
      <c r="AF45" s="144" t="s">
        <v>2720</v>
      </c>
      <c r="AG45" s="159"/>
      <c r="AH45" s="159"/>
      <c r="AI45" s="159"/>
      <c r="AJ45" s="159"/>
      <c r="AK45" s="144" t="s">
        <v>2721</v>
      </c>
      <c r="AL45" s="159"/>
      <c r="AM45" s="159"/>
      <c r="AN45" s="159"/>
      <c r="AO45" s="159"/>
      <c r="AP45" s="144" t="s">
        <v>2722</v>
      </c>
      <c r="AQ45" s="159"/>
      <c r="AR45" s="159"/>
      <c r="AS45" s="159"/>
      <c r="AT45" s="159"/>
      <c r="AU45" s="144" t="s">
        <v>2723</v>
      </c>
      <c r="AV45" s="159"/>
      <c r="AW45" s="159"/>
      <c r="AX45" s="159"/>
      <c r="AY45" s="159"/>
      <c r="AZ45" s="144" t="s">
        <v>2724</v>
      </c>
      <c r="BA45" s="159"/>
      <c r="BB45" s="159"/>
      <c r="BC45" s="159"/>
      <c r="BD45" s="159"/>
    </row>
    <row r="46" spans="2:56" ht="15" customHeight="1" x14ac:dyDescent="0.3">
      <c r="C46" s="26" t="s">
        <v>55</v>
      </c>
      <c r="D46" s="10"/>
      <c r="E46" s="22"/>
      <c r="F46" s="10"/>
      <c r="G46" s="10"/>
      <c r="H46" s="10"/>
      <c r="I46" s="10"/>
      <c r="J46" s="10"/>
      <c r="K46" s="50"/>
      <c r="L46" s="160" t="s">
        <v>2725</v>
      </c>
      <c r="M46" s="161"/>
      <c r="N46" s="161"/>
      <c r="O46" s="161"/>
      <c r="P46" s="161"/>
      <c r="Q46" s="160" t="s">
        <v>2726</v>
      </c>
      <c r="R46" s="161"/>
      <c r="S46" s="161"/>
      <c r="T46" s="161"/>
      <c r="U46" s="161"/>
      <c r="V46" s="160" t="s">
        <v>2727</v>
      </c>
      <c r="W46" s="161"/>
      <c r="X46" s="161"/>
      <c r="Y46" s="161"/>
      <c r="Z46" s="161"/>
      <c r="AA46" s="160" t="s">
        <v>2728</v>
      </c>
      <c r="AB46" s="161"/>
      <c r="AC46" s="161"/>
      <c r="AD46" s="161"/>
      <c r="AE46" s="161"/>
      <c r="AF46" s="160" t="s">
        <v>2729</v>
      </c>
      <c r="AG46" s="161"/>
      <c r="AH46" s="161"/>
      <c r="AI46" s="161"/>
      <c r="AJ46" s="161"/>
      <c r="AK46" s="160" t="s">
        <v>2730</v>
      </c>
      <c r="AL46" s="161"/>
      <c r="AM46" s="161"/>
      <c r="AN46" s="161"/>
      <c r="AO46" s="161"/>
      <c r="AP46" s="160" t="s">
        <v>2731</v>
      </c>
      <c r="AQ46" s="161"/>
      <c r="AR46" s="161"/>
      <c r="AS46" s="161"/>
      <c r="AT46" s="161"/>
      <c r="AU46" s="160" t="s">
        <v>2732</v>
      </c>
      <c r="AV46" s="161"/>
      <c r="AW46" s="161"/>
      <c r="AX46" s="161"/>
      <c r="AY46" s="161"/>
      <c r="AZ46" s="160" t="s">
        <v>2733</v>
      </c>
      <c r="BA46" s="161"/>
      <c r="BB46" s="161"/>
      <c r="BC46" s="161"/>
      <c r="BD46" s="161"/>
    </row>
    <row r="47" spans="2:56" ht="15" customHeight="1" x14ac:dyDescent="0.3">
      <c r="C47" s="26" t="s">
        <v>56</v>
      </c>
      <c r="D47" s="10"/>
      <c r="E47" s="22"/>
      <c r="F47" s="10"/>
      <c r="G47" s="10"/>
      <c r="H47" s="10"/>
      <c r="I47" s="10"/>
      <c r="J47" s="10"/>
      <c r="K47" s="50"/>
      <c r="L47" s="160" t="s">
        <v>2734</v>
      </c>
      <c r="M47" s="161"/>
      <c r="N47" s="161"/>
      <c r="O47" s="161"/>
      <c r="P47" s="161"/>
      <c r="Q47" s="160" t="s">
        <v>2735</v>
      </c>
      <c r="R47" s="161"/>
      <c r="S47" s="161"/>
      <c r="T47" s="161"/>
      <c r="U47" s="161"/>
      <c r="V47" s="160" t="s">
        <v>2736</v>
      </c>
      <c r="W47" s="161"/>
      <c r="X47" s="161"/>
      <c r="Y47" s="161"/>
      <c r="Z47" s="161"/>
      <c r="AA47" s="160" t="s">
        <v>2737</v>
      </c>
      <c r="AB47" s="161"/>
      <c r="AC47" s="161"/>
      <c r="AD47" s="161"/>
      <c r="AE47" s="161"/>
      <c r="AF47" s="160" t="s">
        <v>2738</v>
      </c>
      <c r="AG47" s="161"/>
      <c r="AH47" s="161"/>
      <c r="AI47" s="161"/>
      <c r="AJ47" s="161"/>
      <c r="AK47" s="160" t="s">
        <v>2739</v>
      </c>
      <c r="AL47" s="161"/>
      <c r="AM47" s="161"/>
      <c r="AN47" s="161"/>
      <c r="AO47" s="161"/>
      <c r="AP47" s="160" t="s">
        <v>2740</v>
      </c>
      <c r="AQ47" s="161"/>
      <c r="AR47" s="161"/>
      <c r="AS47" s="161"/>
      <c r="AT47" s="161"/>
      <c r="AU47" s="160" t="s">
        <v>2741</v>
      </c>
      <c r="AV47" s="161"/>
      <c r="AW47" s="161"/>
      <c r="AX47" s="161"/>
      <c r="AY47" s="161"/>
      <c r="AZ47" s="160" t="s">
        <v>2742</v>
      </c>
      <c r="BA47" s="161"/>
      <c r="BB47" s="161"/>
      <c r="BC47" s="161"/>
      <c r="BD47" s="161"/>
    </row>
    <row r="48" spans="2:56" ht="15" customHeight="1" x14ac:dyDescent="0.3">
      <c r="C48" s="26" t="s">
        <v>57</v>
      </c>
      <c r="D48" s="10"/>
      <c r="E48" s="22"/>
      <c r="F48" s="10"/>
      <c r="G48" s="10"/>
      <c r="H48" s="10"/>
      <c r="I48" s="10"/>
      <c r="J48" s="10"/>
      <c r="K48" s="50"/>
      <c r="L48" s="160" t="s">
        <v>2743</v>
      </c>
      <c r="M48" s="161"/>
      <c r="N48" s="161"/>
      <c r="O48" s="161"/>
      <c r="P48" s="161"/>
      <c r="Q48" s="160" t="s">
        <v>2744</v>
      </c>
      <c r="R48" s="161"/>
      <c r="S48" s="161"/>
      <c r="T48" s="161"/>
      <c r="U48" s="161"/>
      <c r="V48" s="160" t="s">
        <v>2745</v>
      </c>
      <c r="W48" s="161"/>
      <c r="X48" s="161"/>
      <c r="Y48" s="161"/>
      <c r="Z48" s="161"/>
      <c r="AA48" s="160" t="s">
        <v>2746</v>
      </c>
      <c r="AB48" s="161"/>
      <c r="AC48" s="161"/>
      <c r="AD48" s="161"/>
      <c r="AE48" s="161"/>
      <c r="AF48" s="160" t="s">
        <v>2747</v>
      </c>
      <c r="AG48" s="161"/>
      <c r="AH48" s="161"/>
      <c r="AI48" s="161"/>
      <c r="AJ48" s="161"/>
      <c r="AK48" s="160" t="s">
        <v>2748</v>
      </c>
      <c r="AL48" s="161"/>
      <c r="AM48" s="161"/>
      <c r="AN48" s="161"/>
      <c r="AO48" s="161"/>
      <c r="AP48" s="160" t="s">
        <v>2749</v>
      </c>
      <c r="AQ48" s="161"/>
      <c r="AR48" s="161"/>
      <c r="AS48" s="161"/>
      <c r="AT48" s="161"/>
      <c r="AU48" s="160" t="s">
        <v>2750</v>
      </c>
      <c r="AV48" s="161"/>
      <c r="AW48" s="161"/>
      <c r="AX48" s="161"/>
      <c r="AY48" s="161"/>
      <c r="AZ48" s="160" t="s">
        <v>2751</v>
      </c>
      <c r="BA48" s="161"/>
      <c r="BB48" s="161"/>
      <c r="BC48" s="161"/>
      <c r="BD48" s="161"/>
    </row>
    <row r="49" spans="2:56" ht="15" customHeight="1" x14ac:dyDescent="0.3">
      <c r="B49" s="43"/>
      <c r="C49" s="27" t="s">
        <v>58</v>
      </c>
      <c r="D49" s="11"/>
      <c r="E49" s="23"/>
      <c r="F49" s="11"/>
      <c r="G49" s="11"/>
      <c r="H49" s="11"/>
      <c r="I49" s="11"/>
      <c r="J49" s="11"/>
      <c r="K49" s="51"/>
      <c r="L49" s="162" t="s">
        <v>2752</v>
      </c>
      <c r="M49" s="163"/>
      <c r="N49" s="163"/>
      <c r="O49" s="163"/>
      <c r="P49" s="163"/>
      <c r="Q49" s="162" t="s">
        <v>2753</v>
      </c>
      <c r="R49" s="163"/>
      <c r="S49" s="163"/>
      <c r="T49" s="163"/>
      <c r="U49" s="163"/>
      <c r="V49" s="162" t="s">
        <v>2754</v>
      </c>
      <c r="W49" s="163"/>
      <c r="X49" s="163"/>
      <c r="Y49" s="163"/>
      <c r="Z49" s="163"/>
      <c r="AA49" s="162" t="s">
        <v>2755</v>
      </c>
      <c r="AB49" s="163"/>
      <c r="AC49" s="163"/>
      <c r="AD49" s="163"/>
      <c r="AE49" s="163"/>
      <c r="AF49" s="162" t="s">
        <v>2756</v>
      </c>
      <c r="AG49" s="163"/>
      <c r="AH49" s="163"/>
      <c r="AI49" s="163"/>
      <c r="AJ49" s="163"/>
      <c r="AK49" s="162" t="s">
        <v>2757</v>
      </c>
      <c r="AL49" s="163"/>
      <c r="AM49" s="163"/>
      <c r="AN49" s="163"/>
      <c r="AO49" s="163"/>
      <c r="AP49" s="162" t="s">
        <v>2758</v>
      </c>
      <c r="AQ49" s="163"/>
      <c r="AR49" s="163"/>
      <c r="AS49" s="163"/>
      <c r="AT49" s="163"/>
      <c r="AU49" s="162" t="s">
        <v>2759</v>
      </c>
      <c r="AV49" s="163"/>
      <c r="AW49" s="163"/>
      <c r="AX49" s="163"/>
      <c r="AY49" s="163"/>
      <c r="AZ49" s="162" t="s">
        <v>2760</v>
      </c>
      <c r="BA49" s="163"/>
      <c r="BB49" s="163"/>
      <c r="BC49" s="163"/>
      <c r="BD49" s="163"/>
    </row>
    <row r="50" spans="2:56" ht="15" customHeight="1" x14ac:dyDescent="0.3">
      <c r="B50" s="43"/>
      <c r="C50" s="5"/>
      <c r="D50" s="5"/>
      <c r="E50" s="3"/>
      <c r="F50" s="3"/>
      <c r="G50" s="3"/>
      <c r="H50" s="3"/>
      <c r="I50" s="3"/>
      <c r="J50" s="3"/>
      <c r="K50" s="3"/>
      <c r="L50" s="3"/>
      <c r="M50" s="43"/>
      <c r="N50" s="43"/>
    </row>
  </sheetData>
  <mergeCells count="260">
    <mergeCell ref="AP46:AT46"/>
    <mergeCell ref="AU49:AY49"/>
    <mergeCell ref="AZ49:BD49"/>
    <mergeCell ref="Q49:U49"/>
    <mergeCell ref="V49:Z49"/>
    <mergeCell ref="AA49:AE49"/>
    <mergeCell ref="AF49:AJ49"/>
    <mergeCell ref="AK49:AO49"/>
    <mergeCell ref="AP49:AT49"/>
    <mergeCell ref="AU47:AY47"/>
    <mergeCell ref="AZ47:BD47"/>
    <mergeCell ref="Q48:U48"/>
    <mergeCell ref="V48:Z48"/>
    <mergeCell ref="AA48:AE48"/>
    <mergeCell ref="AF48:AJ48"/>
    <mergeCell ref="AK48:AO48"/>
    <mergeCell ref="AP48:AT48"/>
    <mergeCell ref="AU48:AY48"/>
    <mergeCell ref="AZ48:BD48"/>
    <mergeCell ref="AU46:AY46"/>
    <mergeCell ref="AZ46:BD46"/>
    <mergeCell ref="AK47:AO47"/>
    <mergeCell ref="AP47:AT47"/>
    <mergeCell ref="AK46:AO46"/>
    <mergeCell ref="L48:P48"/>
    <mergeCell ref="L49:P49"/>
    <mergeCell ref="Q45:U45"/>
    <mergeCell ref="V45:Z45"/>
    <mergeCell ref="AA45:AE45"/>
    <mergeCell ref="AF45:AJ45"/>
    <mergeCell ref="Q46:U46"/>
    <mergeCell ref="V46:Z46"/>
    <mergeCell ref="AA46:AE46"/>
    <mergeCell ref="AF46:AJ46"/>
    <mergeCell ref="Q47:U47"/>
    <mergeCell ref="V47:Z47"/>
    <mergeCell ref="AA47:AE47"/>
    <mergeCell ref="AF47:AJ47"/>
    <mergeCell ref="L46:P46"/>
    <mergeCell ref="L47:P47"/>
    <mergeCell ref="K38:M38"/>
    <mergeCell ref="N38:P38"/>
    <mergeCell ref="Q38:S38"/>
    <mergeCell ref="T38:V38"/>
    <mergeCell ref="W38:Y38"/>
    <mergeCell ref="AR38:AT38"/>
    <mergeCell ref="AU38:AY38"/>
    <mergeCell ref="AZ38:BD38"/>
    <mergeCell ref="L45:P45"/>
    <mergeCell ref="AK45:AO45"/>
    <mergeCell ref="AP45:AT45"/>
    <mergeCell ref="AU45:AY45"/>
    <mergeCell ref="AZ45:BD45"/>
    <mergeCell ref="Z38:AB38"/>
    <mergeCell ref="AC38:AE38"/>
    <mergeCell ref="AF38:AH38"/>
    <mergeCell ref="AI38:AK38"/>
    <mergeCell ref="AL38:AN38"/>
    <mergeCell ref="AO38:AQ38"/>
    <mergeCell ref="AL36:AN36"/>
    <mergeCell ref="AO36:AQ36"/>
    <mergeCell ref="AR36:AT36"/>
    <mergeCell ref="AU36:AY36"/>
    <mergeCell ref="AL37:AN37"/>
    <mergeCell ref="AO37:AQ37"/>
    <mergeCell ref="AR37:AT37"/>
    <mergeCell ref="AU37:AY37"/>
    <mergeCell ref="AZ37:BD37"/>
    <mergeCell ref="K37:M37"/>
    <mergeCell ref="N37:P37"/>
    <mergeCell ref="Q37:S37"/>
    <mergeCell ref="T37:V37"/>
    <mergeCell ref="W37:Y37"/>
    <mergeCell ref="Z37:AB37"/>
    <mergeCell ref="AC37:AE37"/>
    <mergeCell ref="AF37:AH37"/>
    <mergeCell ref="AI37:AK37"/>
    <mergeCell ref="K35:M35"/>
    <mergeCell ref="N35:P35"/>
    <mergeCell ref="Q35:S35"/>
    <mergeCell ref="T35:V35"/>
    <mergeCell ref="W35:Y35"/>
    <mergeCell ref="AR35:AT35"/>
    <mergeCell ref="AU35:AY35"/>
    <mergeCell ref="AZ35:BD35"/>
    <mergeCell ref="K36:M36"/>
    <mergeCell ref="N36:P36"/>
    <mergeCell ref="Q36:S36"/>
    <mergeCell ref="T36:V36"/>
    <mergeCell ref="W36:Y36"/>
    <mergeCell ref="Z36:AB36"/>
    <mergeCell ref="AC36:AE36"/>
    <mergeCell ref="Z35:AB35"/>
    <mergeCell ref="AC35:AE35"/>
    <mergeCell ref="AF35:AH35"/>
    <mergeCell ref="AI35:AK35"/>
    <mergeCell ref="AL35:AN35"/>
    <mergeCell ref="AO35:AQ35"/>
    <mergeCell ref="AZ36:BD36"/>
    <mergeCell ref="AF36:AH36"/>
    <mergeCell ref="AI36:AK36"/>
    <mergeCell ref="AZ30:BD30"/>
    <mergeCell ref="K34:M34"/>
    <mergeCell ref="N34:P34"/>
    <mergeCell ref="Q34:S34"/>
    <mergeCell ref="T34:V34"/>
    <mergeCell ref="W34:Y34"/>
    <mergeCell ref="Z34:AB34"/>
    <mergeCell ref="AC34:AE34"/>
    <mergeCell ref="AF34:AH34"/>
    <mergeCell ref="AI34:AK34"/>
    <mergeCell ref="AF30:AH30"/>
    <mergeCell ref="AI30:AK30"/>
    <mergeCell ref="AL30:AN30"/>
    <mergeCell ref="AO30:AQ30"/>
    <mergeCell ref="AR30:AT30"/>
    <mergeCell ref="AU30:AY30"/>
    <mergeCell ref="AL34:AN34"/>
    <mergeCell ref="AO34:AQ34"/>
    <mergeCell ref="AR34:AT34"/>
    <mergeCell ref="AU34:AY34"/>
    <mergeCell ref="AZ34:BD34"/>
    <mergeCell ref="K30:M30"/>
    <mergeCell ref="N30:P30"/>
    <mergeCell ref="Q30:S30"/>
    <mergeCell ref="T30:V30"/>
    <mergeCell ref="W30:Y30"/>
    <mergeCell ref="Z30:AB30"/>
    <mergeCell ref="AC30:AE30"/>
    <mergeCell ref="Z29:AB29"/>
    <mergeCell ref="AC29:AE29"/>
    <mergeCell ref="AL28:AN28"/>
    <mergeCell ref="AO28:AQ28"/>
    <mergeCell ref="AR28:AT28"/>
    <mergeCell ref="AU28:AY28"/>
    <mergeCell ref="AZ28:BD28"/>
    <mergeCell ref="K29:M29"/>
    <mergeCell ref="N29:P29"/>
    <mergeCell ref="Q29:S29"/>
    <mergeCell ref="T29:V29"/>
    <mergeCell ref="W29:Y29"/>
    <mergeCell ref="AR29:AT29"/>
    <mergeCell ref="AU29:AY29"/>
    <mergeCell ref="AZ29:BD29"/>
    <mergeCell ref="AF29:AH29"/>
    <mergeCell ref="AI29:AK29"/>
    <mergeCell ref="AL29:AN29"/>
    <mergeCell ref="AO29:AQ29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R26:AT26"/>
    <mergeCell ref="AU26:AY26"/>
    <mergeCell ref="AZ26:BD26"/>
    <mergeCell ref="K27:M27"/>
    <mergeCell ref="N27:P27"/>
    <mergeCell ref="Q27:S27"/>
    <mergeCell ref="T27:V27"/>
    <mergeCell ref="W27:Y27"/>
    <mergeCell ref="Z27:AB27"/>
    <mergeCell ref="AC27:AE27"/>
    <mergeCell ref="Z26:AB26"/>
    <mergeCell ref="AC26:AE26"/>
    <mergeCell ref="AF26:AH26"/>
    <mergeCell ref="AI26:AK26"/>
    <mergeCell ref="AL26:AN26"/>
    <mergeCell ref="AO26:AQ26"/>
    <mergeCell ref="AZ27:BD27"/>
    <mergeCell ref="AF27:AH27"/>
    <mergeCell ref="AI27:AK27"/>
    <mergeCell ref="AL27:AN27"/>
    <mergeCell ref="AO27:AQ27"/>
    <mergeCell ref="AR27:AT27"/>
    <mergeCell ref="AU27:AY27"/>
    <mergeCell ref="AC21:AE21"/>
    <mergeCell ref="AZ17:BD17"/>
    <mergeCell ref="AZ18:BD18"/>
    <mergeCell ref="AZ19:BD19"/>
    <mergeCell ref="AZ20:BD20"/>
    <mergeCell ref="AZ21:BD21"/>
    <mergeCell ref="K26:M26"/>
    <mergeCell ref="N26:P26"/>
    <mergeCell ref="Q26:S26"/>
    <mergeCell ref="T26:V26"/>
    <mergeCell ref="W26:Y26"/>
    <mergeCell ref="AU19:AY19"/>
    <mergeCell ref="AU20:AY20"/>
    <mergeCell ref="AU21:AY21"/>
    <mergeCell ref="AU17:AY17"/>
    <mergeCell ref="AU18:AY18"/>
    <mergeCell ref="AF21:AH21"/>
    <mergeCell ref="AI21:AK21"/>
    <mergeCell ref="AL21:AN21"/>
    <mergeCell ref="AO21:AQ21"/>
    <mergeCell ref="AR21:AT21"/>
    <mergeCell ref="N17:P17"/>
    <mergeCell ref="Q17:S17"/>
    <mergeCell ref="N19:P19"/>
    <mergeCell ref="AL19:AN19"/>
    <mergeCell ref="AO19:AQ19"/>
    <mergeCell ref="AR19:AT19"/>
    <mergeCell ref="N20:P20"/>
    <mergeCell ref="Q20:S20"/>
    <mergeCell ref="T20:V20"/>
    <mergeCell ref="W20:Y20"/>
    <mergeCell ref="Z20:AB20"/>
    <mergeCell ref="AC20:AE20"/>
    <mergeCell ref="AF20:AH20"/>
    <mergeCell ref="T19:V19"/>
    <mergeCell ref="W19:Y19"/>
    <mergeCell ref="Z19:AB19"/>
    <mergeCell ref="AC19:AE19"/>
    <mergeCell ref="AF19:AH19"/>
    <mergeCell ref="AI19:AK19"/>
    <mergeCell ref="AI20:AK20"/>
    <mergeCell ref="AL20:AN20"/>
    <mergeCell ref="AO20:AQ20"/>
    <mergeCell ref="AR20:AT20"/>
    <mergeCell ref="Q19:S19"/>
    <mergeCell ref="AC18:AE18"/>
    <mergeCell ref="AF18:AH18"/>
    <mergeCell ref="AI18:AK18"/>
    <mergeCell ref="AL18:AN18"/>
    <mergeCell ref="AO18:AQ18"/>
    <mergeCell ref="AR18:AT18"/>
    <mergeCell ref="AF17:AH17"/>
    <mergeCell ref="AI17:AK17"/>
    <mergeCell ref="AL17:AN17"/>
    <mergeCell ref="AO17:AQ17"/>
    <mergeCell ref="AR17:AT17"/>
    <mergeCell ref="N18:P18"/>
    <mergeCell ref="Q18:S18"/>
    <mergeCell ref="T18:V18"/>
    <mergeCell ref="W18:Y18"/>
    <mergeCell ref="Z18:AB18"/>
    <mergeCell ref="K18:M18"/>
    <mergeCell ref="K19:M19"/>
    <mergeCell ref="K20:M20"/>
    <mergeCell ref="K21:M21"/>
    <mergeCell ref="N21:P21"/>
    <mergeCell ref="Q21:S21"/>
    <mergeCell ref="T21:V21"/>
    <mergeCell ref="W21:Y21"/>
    <mergeCell ref="Z21:AB21"/>
    <mergeCell ref="C10:M10"/>
    <mergeCell ref="N10:X10"/>
    <mergeCell ref="Y10:AI10"/>
    <mergeCell ref="AJ10:AT10"/>
    <mergeCell ref="AU10:BD10"/>
    <mergeCell ref="K17:M17"/>
    <mergeCell ref="T17:V17"/>
    <mergeCell ref="W17:Y17"/>
    <mergeCell ref="Z17:AB17"/>
    <mergeCell ref="AC17:AE17"/>
  </mergeCells>
  <phoneticPr fontId="2" type="noConversion"/>
  <pageMargins left="0.25" right="0.25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7F5E-ACFE-4084-B584-51A396E9B6F5}">
  <dimension ref="B1:BM44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1" t="s">
        <v>35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</row>
    <row r="3" spans="2:64" ht="4.5" customHeight="1" x14ac:dyDescent="0.3">
      <c r="N3" s="43"/>
    </row>
    <row r="4" spans="2:64" ht="15" customHeight="1" x14ac:dyDescent="0.3">
      <c r="B4" s="2" t="s">
        <v>36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</row>
    <row r="5" spans="2:64" ht="5.25" customHeight="1" x14ac:dyDescent="0.3"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2:64" ht="15" customHeight="1" x14ac:dyDescent="0.3">
      <c r="B6" s="21"/>
      <c r="D6" s="5" t="s">
        <v>1947</v>
      </c>
      <c r="E6" s="43"/>
      <c r="F6" s="43"/>
      <c r="H6" s="43"/>
    </row>
    <row r="7" spans="2:64" ht="15" customHeight="1" x14ac:dyDescent="0.3">
      <c r="D7" s="25" t="s">
        <v>1948</v>
      </c>
      <c r="E7" s="25"/>
      <c r="F7" s="43"/>
      <c r="G7" s="43"/>
      <c r="H7" s="43"/>
      <c r="I7" s="43"/>
      <c r="J7" s="43"/>
      <c r="K7" s="43"/>
      <c r="L7" s="43"/>
      <c r="M7" s="43"/>
      <c r="N7" s="43"/>
    </row>
    <row r="8" spans="2:64" ht="15" customHeight="1" x14ac:dyDescent="0.3">
      <c r="D8" s="15" t="s">
        <v>37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</row>
    <row r="9" spans="2:64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42</v>
      </c>
      <c r="BH9" s="24" t="s">
        <v>135</v>
      </c>
      <c r="BI9" s="24" t="s">
        <v>136</v>
      </c>
      <c r="BJ9" s="24" t="s">
        <v>137</v>
      </c>
      <c r="BK9" s="24" t="s">
        <v>124</v>
      </c>
      <c r="BL9" s="24" t="s">
        <v>138</v>
      </c>
    </row>
    <row r="10" spans="2:64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43</v>
      </c>
      <c r="BH10" s="73" t="s">
        <v>2426</v>
      </c>
      <c r="BI10" s="73" t="s">
        <v>2452</v>
      </c>
      <c r="BJ10" s="73" t="s">
        <v>2427</v>
      </c>
      <c r="BK10" s="73" t="s">
        <v>140</v>
      </c>
      <c r="BL10" s="73" t="s">
        <v>81</v>
      </c>
    </row>
    <row r="11" spans="2:64" ht="15" customHeight="1" x14ac:dyDescent="0.3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BG11" s="24" t="s">
        <v>44</v>
      </c>
      <c r="BH11" s="73" t="s">
        <v>2428</v>
      </c>
      <c r="BI11" s="73" t="s">
        <v>2453</v>
      </c>
      <c r="BJ11" s="73" t="s">
        <v>2429</v>
      </c>
      <c r="BK11" s="73" t="s">
        <v>68</v>
      </c>
      <c r="BL11" s="73" t="s">
        <v>82</v>
      </c>
    </row>
    <row r="12" spans="2:64" ht="15" customHeight="1" x14ac:dyDescent="0.3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BG12" s="24" t="s">
        <v>45</v>
      </c>
      <c r="BH12" s="73" t="s">
        <v>2430</v>
      </c>
      <c r="BI12" s="73" t="s">
        <v>2454</v>
      </c>
      <c r="BJ12" s="73" t="s">
        <v>2431</v>
      </c>
      <c r="BK12" s="73" t="s">
        <v>69</v>
      </c>
      <c r="BL12" s="73" t="s">
        <v>83</v>
      </c>
    </row>
    <row r="13" spans="2:64" ht="15" customHeight="1" x14ac:dyDescent="0.3">
      <c r="B13" s="43"/>
      <c r="C13" s="43"/>
      <c r="D13" s="43"/>
      <c r="E13" s="43"/>
      <c r="F13" s="43"/>
      <c r="G13" s="43"/>
      <c r="H13" s="43"/>
      <c r="I13" s="3" t="s">
        <v>94</v>
      </c>
      <c r="J13" s="43"/>
      <c r="K13" s="43"/>
      <c r="L13" s="43"/>
      <c r="M13" s="43"/>
      <c r="N13" s="43"/>
      <c r="BG13" s="24" t="s">
        <v>46</v>
      </c>
      <c r="BH13" s="73" t="s">
        <v>2432</v>
      </c>
      <c r="BI13" s="73" t="s">
        <v>2455</v>
      </c>
      <c r="BJ13" s="73" t="s">
        <v>2433</v>
      </c>
      <c r="BK13" s="73" t="s">
        <v>70</v>
      </c>
      <c r="BL13" s="73" t="s">
        <v>84</v>
      </c>
    </row>
    <row r="14" spans="2:64" ht="15" customHeight="1" x14ac:dyDescent="0.3">
      <c r="B14" s="43"/>
      <c r="C14" s="43"/>
      <c r="D14" s="43"/>
      <c r="E14" s="43"/>
      <c r="F14" s="164" t="s">
        <v>95</v>
      </c>
      <c r="G14" s="164"/>
      <c r="H14" s="164"/>
      <c r="I14" s="164"/>
      <c r="J14" s="164"/>
      <c r="K14" s="164"/>
      <c r="L14" s="164"/>
      <c r="M14" s="43"/>
      <c r="N14" s="43"/>
      <c r="BG14" s="24" t="s">
        <v>47</v>
      </c>
      <c r="BH14" s="73" t="s">
        <v>2434</v>
      </c>
      <c r="BI14" s="73" t="s">
        <v>2456</v>
      </c>
      <c r="BJ14" s="73" t="s">
        <v>2435</v>
      </c>
      <c r="BK14" s="73" t="s">
        <v>71</v>
      </c>
      <c r="BL14" s="73" t="s">
        <v>85</v>
      </c>
    </row>
    <row r="15" spans="2:64" ht="15" customHeight="1" x14ac:dyDescent="0.3"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BG15" s="24" t="s">
        <v>48</v>
      </c>
      <c r="BH15" s="73" t="s">
        <v>2436</v>
      </c>
      <c r="BI15" s="73" t="s">
        <v>2457</v>
      </c>
      <c r="BJ15" s="73" t="s">
        <v>2437</v>
      </c>
      <c r="BK15" s="73" t="s">
        <v>72</v>
      </c>
      <c r="BL15" s="73" t="s">
        <v>86</v>
      </c>
    </row>
    <row r="16" spans="2:64" ht="15" customHeight="1" x14ac:dyDescent="0.3">
      <c r="BG16" s="24" t="s">
        <v>49</v>
      </c>
      <c r="BH16" s="73" t="s">
        <v>2438</v>
      </c>
      <c r="BI16" s="73" t="s">
        <v>2458</v>
      </c>
      <c r="BJ16" s="73" t="s">
        <v>2439</v>
      </c>
      <c r="BK16" s="73" t="s">
        <v>73</v>
      </c>
      <c r="BL16" s="73" t="s">
        <v>87</v>
      </c>
    </row>
    <row r="17" spans="4:64" ht="15" customHeight="1" x14ac:dyDescent="0.3">
      <c r="BG17" s="24" t="s">
        <v>50</v>
      </c>
      <c r="BH17" s="73" t="s">
        <v>2440</v>
      </c>
      <c r="BI17" s="73" t="s">
        <v>2459</v>
      </c>
      <c r="BJ17" s="73" t="s">
        <v>2441</v>
      </c>
      <c r="BK17" s="73" t="s">
        <v>74</v>
      </c>
      <c r="BL17" s="73" t="s">
        <v>88</v>
      </c>
    </row>
    <row r="18" spans="4:64" ht="15" customHeight="1" x14ac:dyDescent="0.3">
      <c r="BG18" s="24" t="s">
        <v>51</v>
      </c>
      <c r="BH18" s="73" t="s">
        <v>2442</v>
      </c>
      <c r="BI18" s="73" t="s">
        <v>2460</v>
      </c>
      <c r="BJ18" s="73" t="s">
        <v>2443</v>
      </c>
      <c r="BK18" s="73" t="s">
        <v>75</v>
      </c>
      <c r="BL18" s="73" t="s">
        <v>89</v>
      </c>
    </row>
    <row r="19" spans="4:64" ht="15" customHeight="1" x14ac:dyDescent="0.3">
      <c r="BG19" s="24" t="s">
        <v>52</v>
      </c>
      <c r="BH19" s="73" t="s">
        <v>2444</v>
      </c>
      <c r="BI19" s="73" t="s">
        <v>2461</v>
      </c>
      <c r="BJ19" s="73" t="s">
        <v>2445</v>
      </c>
      <c r="BK19" s="73" t="s">
        <v>76</v>
      </c>
      <c r="BL19" s="73" t="s">
        <v>90</v>
      </c>
    </row>
    <row r="20" spans="4:64" ht="15" customHeight="1" x14ac:dyDescent="0.3">
      <c r="BG20" s="24" t="s">
        <v>53</v>
      </c>
      <c r="BH20" s="73" t="s">
        <v>2446</v>
      </c>
      <c r="BI20" s="73" t="s">
        <v>2462</v>
      </c>
      <c r="BJ20" s="73" t="s">
        <v>2447</v>
      </c>
      <c r="BK20" s="73" t="s">
        <v>77</v>
      </c>
      <c r="BL20" s="73" t="s">
        <v>91</v>
      </c>
    </row>
    <row r="21" spans="4:64" ht="15" customHeight="1" x14ac:dyDescent="0.3">
      <c r="D21" s="15" t="s">
        <v>39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G21" s="24" t="s">
        <v>54</v>
      </c>
      <c r="BH21" s="73" t="s">
        <v>2448</v>
      </c>
      <c r="BI21" s="73" t="s">
        <v>2463</v>
      </c>
      <c r="BJ21" s="73" t="s">
        <v>2449</v>
      </c>
      <c r="BK21" s="73" t="s">
        <v>78</v>
      </c>
      <c r="BL21" s="73" t="s">
        <v>92</v>
      </c>
    </row>
    <row r="22" spans="4:64" ht="15" customHeight="1" x14ac:dyDescent="0.3">
      <c r="BG22" s="24" t="s">
        <v>1583</v>
      </c>
      <c r="BH22" s="73" t="s">
        <v>2450</v>
      </c>
      <c r="BI22" s="73" t="s">
        <v>2464</v>
      </c>
      <c r="BJ22" s="73" t="s">
        <v>2451</v>
      </c>
      <c r="BK22" s="73" t="s">
        <v>79</v>
      </c>
      <c r="BL22" s="73" t="s">
        <v>93</v>
      </c>
    </row>
    <row r="27" spans="4:64" ht="15" customHeight="1" x14ac:dyDescent="0.3">
      <c r="G27" s="65"/>
    </row>
    <row r="28" spans="4:64" ht="15" customHeight="1" x14ac:dyDescent="0.3">
      <c r="T28" s="65"/>
    </row>
    <row r="36" spans="4:65" ht="15" customHeight="1" x14ac:dyDescent="0.3">
      <c r="D36" s="5" t="s">
        <v>1949</v>
      </c>
      <c r="K36" s="43"/>
    </row>
    <row r="37" spans="4:65" ht="15" customHeight="1" x14ac:dyDescent="0.3">
      <c r="D37" s="15" t="s">
        <v>38</v>
      </c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</row>
    <row r="38" spans="4:65" ht="3" customHeight="1" x14ac:dyDescent="0.3"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G38"/>
      <c r="BL38" s="82"/>
      <c r="BM38" s="82"/>
    </row>
    <row r="39" spans="4:65" ht="15" customHeight="1" x14ac:dyDescent="0.3">
      <c r="D39" s="28" t="s">
        <v>40</v>
      </c>
      <c r="E39" s="28"/>
      <c r="F39" s="28"/>
      <c r="G39" s="28"/>
      <c r="H39" s="28"/>
      <c r="I39" s="28"/>
      <c r="J39" s="28"/>
      <c r="K39" s="29" t="s">
        <v>12</v>
      </c>
      <c r="L39" s="30"/>
      <c r="M39" s="32"/>
      <c r="N39" s="33" t="s">
        <v>13</v>
      </c>
      <c r="O39" s="30"/>
      <c r="P39" s="32"/>
      <c r="Q39" s="33" t="s">
        <v>14</v>
      </c>
      <c r="R39" s="30"/>
      <c r="S39" s="32"/>
      <c r="T39" s="33" t="s">
        <v>15</v>
      </c>
      <c r="U39" s="30"/>
      <c r="V39" s="32"/>
      <c r="W39" s="33" t="s">
        <v>16</v>
      </c>
      <c r="X39" s="30"/>
      <c r="Y39" s="32"/>
      <c r="Z39" s="33" t="s">
        <v>17</v>
      </c>
      <c r="AA39" s="30"/>
      <c r="AB39" s="32"/>
      <c r="AC39" s="33" t="s">
        <v>18</v>
      </c>
      <c r="AD39" s="30"/>
      <c r="AE39" s="32"/>
      <c r="AF39" s="33" t="s">
        <v>19</v>
      </c>
      <c r="AG39" s="30"/>
      <c r="AH39" s="32"/>
      <c r="AI39" s="33" t="s">
        <v>20</v>
      </c>
      <c r="AJ39" s="30"/>
      <c r="AK39" s="32"/>
      <c r="AL39" s="33" t="s">
        <v>21</v>
      </c>
      <c r="AM39" s="30"/>
      <c r="AN39" s="32"/>
      <c r="AO39" s="33" t="s">
        <v>22</v>
      </c>
      <c r="AP39" s="30"/>
      <c r="AQ39" s="32"/>
      <c r="AR39" s="33" t="s">
        <v>23</v>
      </c>
      <c r="AS39" s="30"/>
      <c r="AT39" s="30"/>
      <c r="AU39" s="29" t="s">
        <v>41</v>
      </c>
      <c r="AV39" s="30"/>
      <c r="AW39" s="30"/>
      <c r="AX39" s="31"/>
      <c r="AY39" s="29" t="s">
        <v>59</v>
      </c>
      <c r="AZ39" s="30"/>
      <c r="BA39" s="30"/>
      <c r="BB39" s="30"/>
    </row>
    <row r="40" spans="4:65" ht="15" customHeight="1" x14ac:dyDescent="0.3">
      <c r="D40" s="16" t="s">
        <v>26</v>
      </c>
      <c r="E40" s="16"/>
      <c r="F40" s="16"/>
      <c r="G40" s="16"/>
      <c r="H40" s="16"/>
      <c r="I40" s="16"/>
      <c r="J40" s="17"/>
      <c r="K40" s="168" t="s">
        <v>1364</v>
      </c>
      <c r="L40" s="169"/>
      <c r="M40" s="170"/>
      <c r="N40" s="168" t="s">
        <v>1365</v>
      </c>
      <c r="O40" s="169"/>
      <c r="P40" s="170"/>
      <c r="Q40" s="168" t="s">
        <v>1366</v>
      </c>
      <c r="R40" s="169"/>
      <c r="S40" s="170"/>
      <c r="T40" s="168" t="s">
        <v>1367</v>
      </c>
      <c r="U40" s="169"/>
      <c r="V40" s="170"/>
      <c r="W40" s="168" t="s">
        <v>1368</v>
      </c>
      <c r="X40" s="169"/>
      <c r="Y40" s="170"/>
      <c r="Z40" s="168" t="s">
        <v>1369</v>
      </c>
      <c r="AA40" s="169"/>
      <c r="AB40" s="170"/>
      <c r="AC40" s="168" t="s">
        <v>1370</v>
      </c>
      <c r="AD40" s="169"/>
      <c r="AE40" s="170"/>
      <c r="AF40" s="168" t="s">
        <v>1371</v>
      </c>
      <c r="AG40" s="169"/>
      <c r="AH40" s="170"/>
      <c r="AI40" s="168" t="s">
        <v>1372</v>
      </c>
      <c r="AJ40" s="169"/>
      <c r="AK40" s="170"/>
      <c r="AL40" s="168" t="s">
        <v>1373</v>
      </c>
      <c r="AM40" s="169"/>
      <c r="AN40" s="170"/>
      <c r="AO40" s="168" t="s">
        <v>1374</v>
      </c>
      <c r="AP40" s="169"/>
      <c r="AQ40" s="170"/>
      <c r="AR40" s="165" t="s">
        <v>1375</v>
      </c>
      <c r="AS40" s="166"/>
      <c r="AT40" s="167"/>
      <c r="AU40" s="166" t="s">
        <v>1376</v>
      </c>
      <c r="AV40" s="166"/>
      <c r="AW40" s="166"/>
      <c r="AX40" s="166"/>
      <c r="AY40" s="167" t="s">
        <v>1578</v>
      </c>
      <c r="AZ40" s="169"/>
      <c r="BA40" s="169"/>
      <c r="BB40" s="169"/>
    </row>
    <row r="41" spans="4:65" ht="15" customHeight="1" x14ac:dyDescent="0.3">
      <c r="D41" s="69" t="s">
        <v>55</v>
      </c>
      <c r="E41" s="70"/>
      <c r="F41" s="71"/>
      <c r="G41" s="71"/>
      <c r="H41" s="71"/>
      <c r="I41" s="71"/>
      <c r="J41" s="12"/>
      <c r="K41" s="160" t="s">
        <v>1379</v>
      </c>
      <c r="L41" s="174"/>
      <c r="M41" s="175"/>
      <c r="N41" s="160" t="s">
        <v>1383</v>
      </c>
      <c r="O41" s="174"/>
      <c r="P41" s="175"/>
      <c r="Q41" s="160" t="s">
        <v>1386</v>
      </c>
      <c r="R41" s="174"/>
      <c r="S41" s="175"/>
      <c r="T41" s="160" t="s">
        <v>1387</v>
      </c>
      <c r="U41" s="174"/>
      <c r="V41" s="175"/>
      <c r="W41" s="160" t="s">
        <v>1388</v>
      </c>
      <c r="X41" s="174"/>
      <c r="Y41" s="175"/>
      <c r="Z41" s="160" t="s">
        <v>1389</v>
      </c>
      <c r="AA41" s="174"/>
      <c r="AB41" s="175"/>
      <c r="AC41" s="160" t="s">
        <v>1390</v>
      </c>
      <c r="AD41" s="174"/>
      <c r="AE41" s="175"/>
      <c r="AF41" s="160" t="s">
        <v>1391</v>
      </c>
      <c r="AG41" s="174"/>
      <c r="AH41" s="175"/>
      <c r="AI41" s="160" t="s">
        <v>1392</v>
      </c>
      <c r="AJ41" s="174"/>
      <c r="AK41" s="175"/>
      <c r="AL41" s="160" t="s">
        <v>1393</v>
      </c>
      <c r="AM41" s="174"/>
      <c r="AN41" s="175"/>
      <c r="AO41" s="160" t="s">
        <v>1394</v>
      </c>
      <c r="AP41" s="174"/>
      <c r="AQ41" s="175"/>
      <c r="AR41" s="171" t="s">
        <v>1395</v>
      </c>
      <c r="AS41" s="172"/>
      <c r="AT41" s="173"/>
      <c r="AU41" s="172" t="s">
        <v>1427</v>
      </c>
      <c r="AV41" s="172"/>
      <c r="AW41" s="172"/>
      <c r="AX41" s="172"/>
      <c r="AY41" s="181" t="s">
        <v>1579</v>
      </c>
      <c r="AZ41" s="148"/>
      <c r="BA41" s="148"/>
      <c r="BB41" s="148"/>
    </row>
    <row r="42" spans="4:65" ht="15" customHeight="1" x14ac:dyDescent="0.3">
      <c r="D42" s="69" t="s">
        <v>56</v>
      </c>
      <c r="E42" s="70"/>
      <c r="F42" s="71"/>
      <c r="G42" s="71"/>
      <c r="H42" s="71"/>
      <c r="I42" s="71"/>
      <c r="J42" s="12"/>
      <c r="K42" s="160" t="s">
        <v>1380</v>
      </c>
      <c r="L42" s="174"/>
      <c r="M42" s="175"/>
      <c r="N42" s="160" t="s">
        <v>1384</v>
      </c>
      <c r="O42" s="174"/>
      <c r="P42" s="175"/>
      <c r="Q42" s="160" t="s">
        <v>1396</v>
      </c>
      <c r="R42" s="174"/>
      <c r="S42" s="175"/>
      <c r="T42" s="160" t="s">
        <v>1397</v>
      </c>
      <c r="U42" s="174"/>
      <c r="V42" s="175"/>
      <c r="W42" s="160" t="s">
        <v>1398</v>
      </c>
      <c r="X42" s="174"/>
      <c r="Y42" s="175"/>
      <c r="Z42" s="160" t="s">
        <v>1399</v>
      </c>
      <c r="AA42" s="174"/>
      <c r="AB42" s="175"/>
      <c r="AC42" s="160" t="s">
        <v>1400</v>
      </c>
      <c r="AD42" s="174"/>
      <c r="AE42" s="175"/>
      <c r="AF42" s="160" t="s">
        <v>1401</v>
      </c>
      <c r="AG42" s="174"/>
      <c r="AH42" s="175"/>
      <c r="AI42" s="160" t="s">
        <v>1402</v>
      </c>
      <c r="AJ42" s="174"/>
      <c r="AK42" s="175"/>
      <c r="AL42" s="160" t="s">
        <v>1403</v>
      </c>
      <c r="AM42" s="174"/>
      <c r="AN42" s="175"/>
      <c r="AO42" s="160" t="s">
        <v>1404</v>
      </c>
      <c r="AP42" s="174"/>
      <c r="AQ42" s="175"/>
      <c r="AR42" s="171" t="s">
        <v>1405</v>
      </c>
      <c r="AS42" s="172"/>
      <c r="AT42" s="173"/>
      <c r="AU42" s="172" t="s">
        <v>1429</v>
      </c>
      <c r="AV42" s="172"/>
      <c r="AW42" s="172"/>
      <c r="AX42" s="172"/>
      <c r="AY42" s="181" t="s">
        <v>1580</v>
      </c>
      <c r="AZ42" s="148"/>
      <c r="BA42" s="148"/>
      <c r="BB42" s="148"/>
    </row>
    <row r="43" spans="4:65" ht="15" customHeight="1" x14ac:dyDescent="0.3">
      <c r="D43" s="69" t="s">
        <v>57</v>
      </c>
      <c r="E43" s="70"/>
      <c r="F43" s="71"/>
      <c r="G43" s="71"/>
      <c r="H43" s="71"/>
      <c r="I43" s="71"/>
      <c r="J43" s="12"/>
      <c r="K43" s="160" t="s">
        <v>1381</v>
      </c>
      <c r="L43" s="174"/>
      <c r="M43" s="175"/>
      <c r="N43" s="160" t="s">
        <v>1385</v>
      </c>
      <c r="O43" s="174"/>
      <c r="P43" s="175"/>
      <c r="Q43" s="160" t="s">
        <v>1406</v>
      </c>
      <c r="R43" s="174"/>
      <c r="S43" s="175"/>
      <c r="T43" s="160" t="s">
        <v>1407</v>
      </c>
      <c r="U43" s="174"/>
      <c r="V43" s="175"/>
      <c r="W43" s="160" t="s">
        <v>1408</v>
      </c>
      <c r="X43" s="174"/>
      <c r="Y43" s="175"/>
      <c r="Z43" s="160" t="s">
        <v>1409</v>
      </c>
      <c r="AA43" s="174"/>
      <c r="AB43" s="175"/>
      <c r="AC43" s="160" t="s">
        <v>1410</v>
      </c>
      <c r="AD43" s="174"/>
      <c r="AE43" s="175"/>
      <c r="AF43" s="160" t="s">
        <v>1411</v>
      </c>
      <c r="AG43" s="174"/>
      <c r="AH43" s="175"/>
      <c r="AI43" s="160" t="s">
        <v>1412</v>
      </c>
      <c r="AJ43" s="174"/>
      <c r="AK43" s="175"/>
      <c r="AL43" s="160" t="s">
        <v>1413</v>
      </c>
      <c r="AM43" s="174"/>
      <c r="AN43" s="175"/>
      <c r="AO43" s="160" t="s">
        <v>1414</v>
      </c>
      <c r="AP43" s="174"/>
      <c r="AQ43" s="175"/>
      <c r="AR43" s="171" t="s">
        <v>1415</v>
      </c>
      <c r="AS43" s="172"/>
      <c r="AT43" s="173"/>
      <c r="AU43" s="172" t="s">
        <v>1431</v>
      </c>
      <c r="AV43" s="172"/>
      <c r="AW43" s="172"/>
      <c r="AX43" s="172"/>
      <c r="AY43" s="181" t="s">
        <v>1581</v>
      </c>
      <c r="AZ43" s="148"/>
      <c r="BA43" s="148"/>
      <c r="BB43" s="148"/>
    </row>
    <row r="44" spans="4:65" ht="15" customHeight="1" x14ac:dyDescent="0.3">
      <c r="D44" s="27" t="s">
        <v>58</v>
      </c>
      <c r="E44" s="72"/>
      <c r="F44" s="11"/>
      <c r="G44" s="11"/>
      <c r="H44" s="11"/>
      <c r="I44" s="11"/>
      <c r="J44" s="13"/>
      <c r="K44" s="162" t="s">
        <v>1382</v>
      </c>
      <c r="L44" s="179"/>
      <c r="M44" s="180"/>
      <c r="N44" s="162" t="s">
        <v>1416</v>
      </c>
      <c r="O44" s="179"/>
      <c r="P44" s="180"/>
      <c r="Q44" s="162" t="s">
        <v>1417</v>
      </c>
      <c r="R44" s="179"/>
      <c r="S44" s="180"/>
      <c r="T44" s="162" t="s">
        <v>1418</v>
      </c>
      <c r="U44" s="179"/>
      <c r="V44" s="180"/>
      <c r="W44" s="162" t="s">
        <v>1419</v>
      </c>
      <c r="X44" s="179"/>
      <c r="Y44" s="180"/>
      <c r="Z44" s="162" t="s">
        <v>1420</v>
      </c>
      <c r="AA44" s="179"/>
      <c r="AB44" s="180"/>
      <c r="AC44" s="162" t="s">
        <v>1421</v>
      </c>
      <c r="AD44" s="179"/>
      <c r="AE44" s="180"/>
      <c r="AF44" s="162" t="s">
        <v>1422</v>
      </c>
      <c r="AG44" s="179"/>
      <c r="AH44" s="180"/>
      <c r="AI44" s="162" t="s">
        <v>1423</v>
      </c>
      <c r="AJ44" s="179"/>
      <c r="AK44" s="180"/>
      <c r="AL44" s="162" t="s">
        <v>1424</v>
      </c>
      <c r="AM44" s="179"/>
      <c r="AN44" s="180"/>
      <c r="AO44" s="162" t="s">
        <v>1425</v>
      </c>
      <c r="AP44" s="179"/>
      <c r="AQ44" s="180"/>
      <c r="AR44" s="176" t="s">
        <v>1426</v>
      </c>
      <c r="AS44" s="177"/>
      <c r="AT44" s="178"/>
      <c r="AU44" s="177" t="s">
        <v>1433</v>
      </c>
      <c r="AV44" s="177"/>
      <c r="AW44" s="177"/>
      <c r="AX44" s="177"/>
      <c r="AY44" s="182" t="s">
        <v>1582</v>
      </c>
      <c r="AZ44" s="151"/>
      <c r="BA44" s="151"/>
      <c r="BB44" s="151"/>
    </row>
  </sheetData>
  <mergeCells count="71">
    <mergeCell ref="AY43:BB43"/>
    <mergeCell ref="AY44:BB44"/>
    <mergeCell ref="AU40:AX40"/>
    <mergeCell ref="AU41:AX41"/>
    <mergeCell ref="AU42:AX42"/>
    <mergeCell ref="AU43:AX43"/>
    <mergeCell ref="AU44:AX44"/>
    <mergeCell ref="AY40:BB40"/>
    <mergeCell ref="AY41:BB41"/>
    <mergeCell ref="AY42:BB42"/>
    <mergeCell ref="AR44:AT44"/>
    <mergeCell ref="K44:M44"/>
    <mergeCell ref="N44:P44"/>
    <mergeCell ref="Q44:S44"/>
    <mergeCell ref="T44:V44"/>
    <mergeCell ref="W44:Y44"/>
    <mergeCell ref="Z44:AB44"/>
    <mergeCell ref="AC44:AE44"/>
    <mergeCell ref="AF44:AH44"/>
    <mergeCell ref="AI44:AK44"/>
    <mergeCell ref="AL44:AN44"/>
    <mergeCell ref="AO44:AQ44"/>
    <mergeCell ref="AR43:AT43"/>
    <mergeCell ref="K43:M43"/>
    <mergeCell ref="N43:P43"/>
    <mergeCell ref="Q43:S43"/>
    <mergeCell ref="T43:V43"/>
    <mergeCell ref="W43:Y43"/>
    <mergeCell ref="Z43:AB43"/>
    <mergeCell ref="AC43:AE43"/>
    <mergeCell ref="AF43:AH43"/>
    <mergeCell ref="AI43:AK43"/>
    <mergeCell ref="AL43:AN43"/>
    <mergeCell ref="AO43:AQ43"/>
    <mergeCell ref="AR42:AT42"/>
    <mergeCell ref="K42:M42"/>
    <mergeCell ref="N42:P42"/>
    <mergeCell ref="Q42:S42"/>
    <mergeCell ref="T42:V42"/>
    <mergeCell ref="W42:Y42"/>
    <mergeCell ref="Z42:AB42"/>
    <mergeCell ref="AC42:AE42"/>
    <mergeCell ref="AF42:AH42"/>
    <mergeCell ref="AI42:AK42"/>
    <mergeCell ref="AL42:AN42"/>
    <mergeCell ref="AO42:AQ42"/>
    <mergeCell ref="AR41:AT41"/>
    <mergeCell ref="K41:M41"/>
    <mergeCell ref="N41:P41"/>
    <mergeCell ref="Q41:S41"/>
    <mergeCell ref="T41:V41"/>
    <mergeCell ref="W41:Y41"/>
    <mergeCell ref="Z41:AB41"/>
    <mergeCell ref="AC41:AE41"/>
    <mergeCell ref="AF41:AH41"/>
    <mergeCell ref="AI41:AK41"/>
    <mergeCell ref="AL41:AN41"/>
    <mergeCell ref="AO41:AQ41"/>
    <mergeCell ref="F14:L14"/>
    <mergeCell ref="AR40:AT40"/>
    <mergeCell ref="K40:M40"/>
    <mergeCell ref="N40:P40"/>
    <mergeCell ref="Q40:S40"/>
    <mergeCell ref="T40:V40"/>
    <mergeCell ref="W40:Y40"/>
    <mergeCell ref="Z40:AB40"/>
    <mergeCell ref="AC40:AE40"/>
    <mergeCell ref="AF40:AH40"/>
    <mergeCell ref="AI40:AK40"/>
    <mergeCell ref="AL40:AN40"/>
    <mergeCell ref="AO40:AQ40"/>
  </mergeCells>
  <phoneticPr fontId="2" type="noConversion"/>
  <pageMargins left="0.25" right="0.25" top="0.75" bottom="0.75" header="0.3" footer="0.3"/>
  <pageSetup paperSize="9" scale="9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8138-44BF-43E6-821F-4950EEC9681A}">
  <dimension ref="B1:BL60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2" t="s">
        <v>141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</row>
    <row r="3" spans="2:64" ht="5.25" customHeight="1" x14ac:dyDescent="0.3"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2:64" ht="15" customHeight="1" x14ac:dyDescent="0.3">
      <c r="B4" s="21"/>
      <c r="D4" s="5" t="s">
        <v>1945</v>
      </c>
      <c r="E4" s="43"/>
      <c r="F4" s="43"/>
      <c r="H4" s="43"/>
    </row>
    <row r="5" spans="2:64" ht="15" customHeight="1" x14ac:dyDescent="0.3">
      <c r="D5" s="20" t="s">
        <v>1946</v>
      </c>
      <c r="E5" s="20"/>
      <c r="F5" s="43"/>
      <c r="G5" s="43"/>
      <c r="H5" s="43"/>
      <c r="I5" s="43"/>
      <c r="J5" s="43"/>
      <c r="K5" s="43"/>
      <c r="L5" s="43"/>
      <c r="M5" s="43"/>
      <c r="N5" s="43"/>
    </row>
    <row r="6" spans="2:64" ht="15" customHeight="1" x14ac:dyDescent="0.3">
      <c r="D6" s="15" t="s">
        <v>122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</row>
    <row r="7" spans="2:64" ht="15" customHeigh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BG7" s="24" t="s">
        <v>42</v>
      </c>
      <c r="BH7" s="24" t="s">
        <v>135</v>
      </c>
      <c r="BI7" s="24" t="s">
        <v>136</v>
      </c>
      <c r="BJ7" s="24" t="s">
        <v>137</v>
      </c>
      <c r="BK7" s="24" t="s">
        <v>124</v>
      </c>
      <c r="BL7" s="24" t="s">
        <v>138</v>
      </c>
    </row>
    <row r="8" spans="2:64" ht="15" customHeight="1" x14ac:dyDescent="0.3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BG8" s="24" t="s">
        <v>43</v>
      </c>
      <c r="BH8" s="73" t="s">
        <v>2469</v>
      </c>
      <c r="BI8" s="73" t="s">
        <v>2495</v>
      </c>
      <c r="BJ8" s="73" t="s">
        <v>2470</v>
      </c>
      <c r="BK8" s="73" t="s">
        <v>96</v>
      </c>
      <c r="BL8" s="73" t="s">
        <v>97</v>
      </c>
    </row>
    <row r="9" spans="2:64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44</v>
      </c>
      <c r="BH9" s="73" t="s">
        <v>2471</v>
      </c>
      <c r="BI9" s="73" t="s">
        <v>2496</v>
      </c>
      <c r="BJ9" s="73" t="s">
        <v>2472</v>
      </c>
      <c r="BK9" s="73" t="s">
        <v>98</v>
      </c>
      <c r="BL9" s="73" t="s">
        <v>99</v>
      </c>
    </row>
    <row r="10" spans="2:64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45</v>
      </c>
      <c r="BH10" s="73" t="s">
        <v>2473</v>
      </c>
      <c r="BI10" s="73" t="s">
        <v>2497</v>
      </c>
      <c r="BJ10" s="73" t="s">
        <v>2474</v>
      </c>
      <c r="BK10" s="73" t="s">
        <v>100</v>
      </c>
      <c r="BL10" s="73" t="s">
        <v>101</v>
      </c>
    </row>
    <row r="11" spans="2:64" ht="15" customHeight="1" x14ac:dyDescent="0.3">
      <c r="B11" s="43"/>
      <c r="C11" s="43"/>
      <c r="D11" s="43"/>
      <c r="E11" s="43"/>
      <c r="F11" s="43"/>
      <c r="G11" s="43"/>
      <c r="H11" s="43"/>
      <c r="I11" s="74" t="s">
        <v>94</v>
      </c>
      <c r="J11" s="43"/>
      <c r="K11" s="43"/>
      <c r="L11" s="43"/>
      <c r="M11" s="43"/>
      <c r="N11" s="43"/>
      <c r="BG11" s="24" t="s">
        <v>46</v>
      </c>
      <c r="BH11" s="73" t="s">
        <v>2475</v>
      </c>
      <c r="BI11" s="73" t="s">
        <v>2498</v>
      </c>
      <c r="BJ11" s="73" t="s">
        <v>2476</v>
      </c>
      <c r="BK11" s="73" t="s">
        <v>102</v>
      </c>
      <c r="BL11" s="73" t="s">
        <v>103</v>
      </c>
    </row>
    <row r="12" spans="2:64" ht="15" customHeight="1" x14ac:dyDescent="0.3">
      <c r="B12" s="43"/>
      <c r="C12" s="43"/>
      <c r="D12" s="43"/>
      <c r="E12" s="43"/>
      <c r="F12" s="164" t="s">
        <v>143</v>
      </c>
      <c r="G12" s="164"/>
      <c r="H12" s="164"/>
      <c r="I12" s="164"/>
      <c r="J12" s="164"/>
      <c r="K12" s="164"/>
      <c r="L12" s="164"/>
      <c r="M12" s="43"/>
      <c r="N12" s="43"/>
      <c r="BG12" s="24" t="s">
        <v>47</v>
      </c>
      <c r="BH12" s="73" t="s">
        <v>2477</v>
      </c>
      <c r="BI12" s="73" t="s">
        <v>2499</v>
      </c>
      <c r="BJ12" s="73" t="s">
        <v>2478</v>
      </c>
      <c r="BK12" s="73" t="s">
        <v>105</v>
      </c>
      <c r="BL12" s="73" t="s">
        <v>106</v>
      </c>
    </row>
    <row r="13" spans="2:64" ht="1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BG13" s="24" t="s">
        <v>48</v>
      </c>
      <c r="BH13" s="73" t="s">
        <v>2479</v>
      </c>
      <c r="BI13" s="73" t="s">
        <v>2500</v>
      </c>
      <c r="BJ13" s="73" t="s">
        <v>2480</v>
      </c>
      <c r="BK13" s="73" t="s">
        <v>107</v>
      </c>
      <c r="BL13" s="73" t="s">
        <v>108</v>
      </c>
    </row>
    <row r="14" spans="2:64" ht="15" customHeight="1" x14ac:dyDescent="0.3">
      <c r="BG14" s="24" t="s">
        <v>49</v>
      </c>
      <c r="BH14" s="73" t="s">
        <v>2481</v>
      </c>
      <c r="BI14" s="73" t="s">
        <v>2501</v>
      </c>
      <c r="BJ14" s="73" t="s">
        <v>2482</v>
      </c>
      <c r="BK14" s="73" t="s">
        <v>109</v>
      </c>
      <c r="BL14" s="73" t="s">
        <v>110</v>
      </c>
    </row>
    <row r="15" spans="2:64" ht="15" customHeight="1" x14ac:dyDescent="0.3">
      <c r="BG15" s="24" t="s">
        <v>50</v>
      </c>
      <c r="BH15" s="73" t="s">
        <v>2483</v>
      </c>
      <c r="BI15" s="73" t="s">
        <v>2502</v>
      </c>
      <c r="BJ15" s="73" t="s">
        <v>2484</v>
      </c>
      <c r="BK15" s="73" t="s">
        <v>111</v>
      </c>
      <c r="BL15" s="73" t="s">
        <v>112</v>
      </c>
    </row>
    <row r="16" spans="2:64" ht="15" customHeight="1" x14ac:dyDescent="0.3">
      <c r="BG16" s="24" t="s">
        <v>51</v>
      </c>
      <c r="BH16" s="73" t="s">
        <v>2485</v>
      </c>
      <c r="BI16" s="73" t="s">
        <v>2503</v>
      </c>
      <c r="BJ16" s="73" t="s">
        <v>2486</v>
      </c>
      <c r="BK16" s="73" t="s">
        <v>113</v>
      </c>
      <c r="BL16" s="73" t="s">
        <v>114</v>
      </c>
    </row>
    <row r="17" spans="4:64" ht="15" customHeight="1" x14ac:dyDescent="0.3">
      <c r="BG17" s="24" t="s">
        <v>52</v>
      </c>
      <c r="BH17" s="73" t="s">
        <v>2487</v>
      </c>
      <c r="BI17" s="73" t="s">
        <v>2504</v>
      </c>
      <c r="BJ17" s="73" t="s">
        <v>2488</v>
      </c>
      <c r="BK17" s="73" t="s">
        <v>115</v>
      </c>
      <c r="BL17" s="73" t="s">
        <v>116</v>
      </c>
    </row>
    <row r="18" spans="4:64" ht="15" customHeight="1" x14ac:dyDescent="0.3">
      <c r="BG18" s="24" t="s">
        <v>53</v>
      </c>
      <c r="BH18" s="73" t="s">
        <v>2489</v>
      </c>
      <c r="BI18" s="73" t="s">
        <v>2505</v>
      </c>
      <c r="BJ18" s="73" t="s">
        <v>2490</v>
      </c>
      <c r="BK18" s="73" t="s">
        <v>117</v>
      </c>
      <c r="BL18" s="73" t="s">
        <v>118</v>
      </c>
    </row>
    <row r="19" spans="4:64" ht="15" customHeight="1" x14ac:dyDescent="0.3">
      <c r="D19" s="15" t="s">
        <v>39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G19" s="24" t="s">
        <v>54</v>
      </c>
      <c r="BH19" s="73" t="s">
        <v>2491</v>
      </c>
      <c r="BI19" s="73" t="s">
        <v>2506</v>
      </c>
      <c r="BJ19" s="73" t="s">
        <v>2492</v>
      </c>
      <c r="BK19" s="73" t="s">
        <v>119</v>
      </c>
      <c r="BL19" s="73" t="s">
        <v>120</v>
      </c>
    </row>
    <row r="20" spans="4:64" ht="15" customHeight="1" x14ac:dyDescent="0.3">
      <c r="BG20" s="24" t="s">
        <v>139</v>
      </c>
      <c r="BH20" s="73" t="s">
        <v>2493</v>
      </c>
      <c r="BI20" s="73" t="s">
        <v>2507</v>
      </c>
      <c r="BJ20" s="73" t="s">
        <v>2494</v>
      </c>
      <c r="BK20" s="73" t="s">
        <v>104</v>
      </c>
      <c r="BL20" s="73" t="s">
        <v>121</v>
      </c>
    </row>
    <row r="25" spans="4:64" ht="15" customHeight="1" x14ac:dyDescent="0.3">
      <c r="G25" s="65"/>
    </row>
    <row r="26" spans="4:64" ht="15" customHeight="1" x14ac:dyDescent="0.3">
      <c r="T26" s="65"/>
    </row>
    <row r="34" spans="4:56" ht="15" customHeight="1" x14ac:dyDescent="0.3">
      <c r="D34" s="5" t="s">
        <v>1944</v>
      </c>
      <c r="K34" s="43"/>
    </row>
    <row r="36" spans="4:56" ht="15" customHeight="1" x14ac:dyDescent="0.3">
      <c r="D36" s="15" t="s">
        <v>123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</row>
    <row r="37" spans="4:56" ht="5.0999999999999996" customHeight="1" x14ac:dyDescent="0.3"/>
    <row r="38" spans="4:56" ht="15" customHeight="1" x14ac:dyDescent="0.3">
      <c r="D38" s="28" t="s">
        <v>40</v>
      </c>
      <c r="E38" s="28"/>
      <c r="F38" s="28"/>
      <c r="G38" s="28"/>
      <c r="H38" s="28"/>
      <c r="I38" s="28"/>
      <c r="J38" s="28"/>
      <c r="K38" s="29" t="s">
        <v>12</v>
      </c>
      <c r="L38" s="30"/>
      <c r="M38" s="32"/>
      <c r="N38" s="33" t="s">
        <v>13</v>
      </c>
      <c r="O38" s="30"/>
      <c r="P38" s="32"/>
      <c r="Q38" s="33" t="s">
        <v>14</v>
      </c>
      <c r="R38" s="30"/>
      <c r="S38" s="32"/>
      <c r="T38" s="33" t="s">
        <v>15</v>
      </c>
      <c r="U38" s="30"/>
      <c r="V38" s="32"/>
      <c r="W38" s="33" t="s">
        <v>16</v>
      </c>
      <c r="X38" s="30"/>
      <c r="Y38" s="32"/>
      <c r="Z38" s="33" t="s">
        <v>17</v>
      </c>
      <c r="AA38" s="30"/>
      <c r="AB38" s="32"/>
      <c r="AC38" s="33" t="s">
        <v>18</v>
      </c>
      <c r="AD38" s="30"/>
      <c r="AE38" s="32"/>
      <c r="AF38" s="33" t="s">
        <v>19</v>
      </c>
      <c r="AG38" s="30"/>
      <c r="AH38" s="32"/>
      <c r="AI38" s="33" t="s">
        <v>20</v>
      </c>
      <c r="AJ38" s="30"/>
      <c r="AK38" s="32"/>
      <c r="AL38" s="33" t="s">
        <v>21</v>
      </c>
      <c r="AM38" s="30"/>
      <c r="AN38" s="32"/>
      <c r="AO38" s="33" t="s">
        <v>22</v>
      </c>
      <c r="AP38" s="30"/>
      <c r="AQ38" s="32"/>
      <c r="AR38" s="33" t="s">
        <v>23</v>
      </c>
      <c r="AS38" s="30"/>
      <c r="AT38" s="30"/>
      <c r="AU38" s="29" t="s">
        <v>41</v>
      </c>
      <c r="AV38" s="30"/>
      <c r="AW38" s="30"/>
      <c r="AX38" s="31"/>
      <c r="AY38" s="29" t="s">
        <v>59</v>
      </c>
      <c r="AZ38" s="30"/>
      <c r="BA38" s="30"/>
      <c r="BB38" s="30"/>
    </row>
    <row r="39" spans="4:56" ht="15" customHeight="1" x14ac:dyDescent="0.3">
      <c r="D39" s="16" t="s">
        <v>94</v>
      </c>
      <c r="E39" s="16"/>
      <c r="F39" s="16"/>
      <c r="G39" s="16"/>
      <c r="H39" s="16"/>
      <c r="I39" s="16"/>
      <c r="J39" s="17"/>
      <c r="K39" s="184" t="s">
        <v>96</v>
      </c>
      <c r="L39" s="183"/>
      <c r="M39" s="183"/>
      <c r="N39" s="183" t="s">
        <v>98</v>
      </c>
      <c r="O39" s="183"/>
      <c r="P39" s="183"/>
      <c r="Q39" s="183" t="s">
        <v>100</v>
      </c>
      <c r="R39" s="183"/>
      <c r="S39" s="183"/>
      <c r="T39" s="183" t="s">
        <v>102</v>
      </c>
      <c r="U39" s="183"/>
      <c r="V39" s="183"/>
      <c r="W39" s="183" t="s">
        <v>105</v>
      </c>
      <c r="X39" s="183"/>
      <c r="Y39" s="183"/>
      <c r="Z39" s="183" t="s">
        <v>107</v>
      </c>
      <c r="AA39" s="183"/>
      <c r="AB39" s="183"/>
      <c r="AC39" s="183" t="s">
        <v>109</v>
      </c>
      <c r="AD39" s="183"/>
      <c r="AE39" s="183"/>
      <c r="AF39" s="183" t="s">
        <v>111</v>
      </c>
      <c r="AG39" s="183"/>
      <c r="AH39" s="183"/>
      <c r="AI39" s="183" t="s">
        <v>113</v>
      </c>
      <c r="AJ39" s="183"/>
      <c r="AK39" s="183"/>
      <c r="AL39" s="183" t="s">
        <v>115</v>
      </c>
      <c r="AM39" s="183"/>
      <c r="AN39" s="183"/>
      <c r="AO39" s="183" t="s">
        <v>117</v>
      </c>
      <c r="AP39" s="183"/>
      <c r="AQ39" s="183"/>
      <c r="AR39" s="183" t="s">
        <v>119</v>
      </c>
      <c r="AS39" s="183"/>
      <c r="AT39" s="185"/>
      <c r="AU39" s="184" t="s">
        <v>104</v>
      </c>
      <c r="AV39" s="183"/>
      <c r="AW39" s="183"/>
      <c r="AX39" s="186"/>
      <c r="AY39" s="187" t="s">
        <v>2465</v>
      </c>
      <c r="AZ39" s="188"/>
      <c r="BA39" s="188"/>
      <c r="BB39" s="188"/>
    </row>
    <row r="40" spans="4:56" ht="15" customHeight="1" x14ac:dyDescent="0.3">
      <c r="D40" s="26" t="s">
        <v>125</v>
      </c>
      <c r="E40" s="22"/>
      <c r="F40" s="10"/>
      <c r="G40" s="10"/>
      <c r="H40" s="10"/>
      <c r="I40" s="10"/>
      <c r="J40" s="12"/>
      <c r="K40" s="181" t="s">
        <v>1600</v>
      </c>
      <c r="L40" s="148"/>
      <c r="M40" s="149"/>
      <c r="N40" s="147" t="s">
        <v>1601</v>
      </c>
      <c r="O40" s="148"/>
      <c r="P40" s="149"/>
      <c r="Q40" s="147" t="s">
        <v>1602</v>
      </c>
      <c r="R40" s="148"/>
      <c r="S40" s="149"/>
      <c r="T40" s="147" t="s">
        <v>1603</v>
      </c>
      <c r="U40" s="148"/>
      <c r="V40" s="149"/>
      <c r="W40" s="147" t="s">
        <v>1604</v>
      </c>
      <c r="X40" s="148"/>
      <c r="Y40" s="149"/>
      <c r="Z40" s="147" t="s">
        <v>1605</v>
      </c>
      <c r="AA40" s="148"/>
      <c r="AB40" s="149"/>
      <c r="AC40" s="147" t="s">
        <v>1606</v>
      </c>
      <c r="AD40" s="148"/>
      <c r="AE40" s="149"/>
      <c r="AF40" s="147" t="s">
        <v>1607</v>
      </c>
      <c r="AG40" s="148"/>
      <c r="AH40" s="149"/>
      <c r="AI40" s="147" t="s">
        <v>1608</v>
      </c>
      <c r="AJ40" s="148"/>
      <c r="AK40" s="149"/>
      <c r="AL40" s="147" t="s">
        <v>1609</v>
      </c>
      <c r="AM40" s="148"/>
      <c r="AN40" s="149"/>
      <c r="AO40" s="147" t="s">
        <v>1610</v>
      </c>
      <c r="AP40" s="148"/>
      <c r="AQ40" s="149"/>
      <c r="AR40" s="147" t="s">
        <v>1611</v>
      </c>
      <c r="AS40" s="148"/>
      <c r="AT40" s="189"/>
      <c r="AU40" s="181" t="s">
        <v>1584</v>
      </c>
      <c r="AV40" s="148"/>
      <c r="AW40" s="148"/>
      <c r="AX40" s="189"/>
      <c r="AY40" s="181" t="s">
        <v>1592</v>
      </c>
      <c r="AZ40" s="148"/>
      <c r="BA40" s="148"/>
      <c r="BB40" s="148"/>
    </row>
    <row r="41" spans="4:56" ht="15" customHeight="1" x14ac:dyDescent="0.3">
      <c r="D41" s="26" t="s">
        <v>126</v>
      </c>
      <c r="E41" s="22"/>
      <c r="F41" s="10"/>
      <c r="G41" s="10"/>
      <c r="H41" s="10"/>
      <c r="I41" s="10"/>
      <c r="J41" s="12"/>
      <c r="K41" s="181" t="s">
        <v>1612</v>
      </c>
      <c r="L41" s="148"/>
      <c r="M41" s="149"/>
      <c r="N41" s="147" t="s">
        <v>1613</v>
      </c>
      <c r="O41" s="148"/>
      <c r="P41" s="149"/>
      <c r="Q41" s="147" t="s">
        <v>1614</v>
      </c>
      <c r="R41" s="148"/>
      <c r="S41" s="149"/>
      <c r="T41" s="147" t="s">
        <v>1615</v>
      </c>
      <c r="U41" s="148"/>
      <c r="V41" s="149"/>
      <c r="W41" s="147" t="s">
        <v>1616</v>
      </c>
      <c r="X41" s="148"/>
      <c r="Y41" s="149"/>
      <c r="Z41" s="147" t="s">
        <v>1617</v>
      </c>
      <c r="AA41" s="148"/>
      <c r="AB41" s="149"/>
      <c r="AC41" s="147" t="s">
        <v>1618</v>
      </c>
      <c r="AD41" s="148"/>
      <c r="AE41" s="149"/>
      <c r="AF41" s="147" t="s">
        <v>1619</v>
      </c>
      <c r="AG41" s="148"/>
      <c r="AH41" s="149"/>
      <c r="AI41" s="147" t="s">
        <v>1620</v>
      </c>
      <c r="AJ41" s="148"/>
      <c r="AK41" s="149"/>
      <c r="AL41" s="147" t="s">
        <v>1621</v>
      </c>
      <c r="AM41" s="148"/>
      <c r="AN41" s="149"/>
      <c r="AO41" s="147" t="s">
        <v>1622</v>
      </c>
      <c r="AP41" s="148"/>
      <c r="AQ41" s="149"/>
      <c r="AR41" s="147" t="s">
        <v>1623</v>
      </c>
      <c r="AS41" s="148"/>
      <c r="AT41" s="189"/>
      <c r="AU41" s="181" t="s">
        <v>1585</v>
      </c>
      <c r="AV41" s="148"/>
      <c r="AW41" s="148"/>
      <c r="AX41" s="189"/>
      <c r="AY41" s="181" t="s">
        <v>1593</v>
      </c>
      <c r="AZ41" s="148"/>
      <c r="BA41" s="148"/>
      <c r="BB41" s="148"/>
    </row>
    <row r="42" spans="4:56" ht="15" customHeight="1" x14ac:dyDescent="0.3">
      <c r="D42" s="26" t="s">
        <v>127</v>
      </c>
      <c r="E42" s="22"/>
      <c r="F42" s="10"/>
      <c r="G42" s="10"/>
      <c r="H42" s="10"/>
      <c r="I42" s="10"/>
      <c r="J42" s="12"/>
      <c r="K42" s="181" t="s">
        <v>1624</v>
      </c>
      <c r="L42" s="148"/>
      <c r="M42" s="149"/>
      <c r="N42" s="147" t="s">
        <v>1625</v>
      </c>
      <c r="O42" s="148"/>
      <c r="P42" s="149"/>
      <c r="Q42" s="147" t="s">
        <v>1626</v>
      </c>
      <c r="R42" s="148"/>
      <c r="S42" s="149"/>
      <c r="T42" s="147" t="s">
        <v>1627</v>
      </c>
      <c r="U42" s="148"/>
      <c r="V42" s="149"/>
      <c r="W42" s="147" t="s">
        <v>1628</v>
      </c>
      <c r="X42" s="148"/>
      <c r="Y42" s="149"/>
      <c r="Z42" s="147" t="s">
        <v>1629</v>
      </c>
      <c r="AA42" s="148"/>
      <c r="AB42" s="149"/>
      <c r="AC42" s="147" t="s">
        <v>1630</v>
      </c>
      <c r="AD42" s="148"/>
      <c r="AE42" s="149"/>
      <c r="AF42" s="147" t="s">
        <v>1631</v>
      </c>
      <c r="AG42" s="148"/>
      <c r="AH42" s="149"/>
      <c r="AI42" s="147" t="s">
        <v>1632</v>
      </c>
      <c r="AJ42" s="148"/>
      <c r="AK42" s="149"/>
      <c r="AL42" s="147" t="s">
        <v>1633</v>
      </c>
      <c r="AM42" s="148"/>
      <c r="AN42" s="149"/>
      <c r="AO42" s="147" t="s">
        <v>1634</v>
      </c>
      <c r="AP42" s="148"/>
      <c r="AQ42" s="149"/>
      <c r="AR42" s="147" t="s">
        <v>1635</v>
      </c>
      <c r="AS42" s="148"/>
      <c r="AT42" s="189"/>
      <c r="AU42" s="181" t="s">
        <v>1586</v>
      </c>
      <c r="AV42" s="148"/>
      <c r="AW42" s="148"/>
      <c r="AX42" s="189"/>
      <c r="AY42" s="181" t="s">
        <v>1594</v>
      </c>
      <c r="AZ42" s="148"/>
      <c r="BA42" s="148"/>
      <c r="BB42" s="148"/>
    </row>
    <row r="43" spans="4:56" ht="15" customHeight="1" x14ac:dyDescent="0.3">
      <c r="D43" s="26" t="s">
        <v>128</v>
      </c>
      <c r="E43" s="22"/>
      <c r="F43" s="10"/>
      <c r="G43" s="10"/>
      <c r="H43" s="10"/>
      <c r="I43" s="10"/>
      <c r="J43" s="12"/>
      <c r="K43" s="181" t="s">
        <v>1636</v>
      </c>
      <c r="L43" s="148"/>
      <c r="M43" s="149"/>
      <c r="N43" s="147" t="s">
        <v>1637</v>
      </c>
      <c r="O43" s="148"/>
      <c r="P43" s="149"/>
      <c r="Q43" s="147" t="s">
        <v>1638</v>
      </c>
      <c r="R43" s="148"/>
      <c r="S43" s="149"/>
      <c r="T43" s="147" t="s">
        <v>1639</v>
      </c>
      <c r="U43" s="148"/>
      <c r="V43" s="149"/>
      <c r="W43" s="147" t="s">
        <v>1640</v>
      </c>
      <c r="X43" s="148"/>
      <c r="Y43" s="149"/>
      <c r="Z43" s="147" t="s">
        <v>1641</v>
      </c>
      <c r="AA43" s="148"/>
      <c r="AB43" s="149"/>
      <c r="AC43" s="147" t="s">
        <v>1642</v>
      </c>
      <c r="AD43" s="148"/>
      <c r="AE43" s="149"/>
      <c r="AF43" s="147" t="s">
        <v>1643</v>
      </c>
      <c r="AG43" s="148"/>
      <c r="AH43" s="149"/>
      <c r="AI43" s="147" t="s">
        <v>1644</v>
      </c>
      <c r="AJ43" s="148"/>
      <c r="AK43" s="149"/>
      <c r="AL43" s="147" t="s">
        <v>1645</v>
      </c>
      <c r="AM43" s="148"/>
      <c r="AN43" s="149"/>
      <c r="AO43" s="147" t="s">
        <v>1646</v>
      </c>
      <c r="AP43" s="148"/>
      <c r="AQ43" s="149"/>
      <c r="AR43" s="147" t="s">
        <v>1647</v>
      </c>
      <c r="AS43" s="148"/>
      <c r="AT43" s="189"/>
      <c r="AU43" s="181" t="s">
        <v>1587</v>
      </c>
      <c r="AV43" s="148"/>
      <c r="AW43" s="148"/>
      <c r="AX43" s="189"/>
      <c r="AY43" s="181" t="s">
        <v>1595</v>
      </c>
      <c r="AZ43" s="148"/>
      <c r="BA43" s="148"/>
      <c r="BB43" s="148"/>
    </row>
    <row r="44" spans="4:56" ht="15" customHeight="1" x14ac:dyDescent="0.3">
      <c r="D44" s="26" t="s">
        <v>129</v>
      </c>
      <c r="E44" s="22"/>
      <c r="F44" s="10"/>
      <c r="G44" s="10"/>
      <c r="H44" s="10"/>
      <c r="I44" s="10"/>
      <c r="J44" s="12"/>
      <c r="K44" s="181" t="s">
        <v>1648</v>
      </c>
      <c r="L44" s="148"/>
      <c r="M44" s="149"/>
      <c r="N44" s="147" t="s">
        <v>1649</v>
      </c>
      <c r="O44" s="148"/>
      <c r="P44" s="149"/>
      <c r="Q44" s="147" t="s">
        <v>1650</v>
      </c>
      <c r="R44" s="148"/>
      <c r="S44" s="149"/>
      <c r="T44" s="147" t="s">
        <v>1651</v>
      </c>
      <c r="U44" s="148"/>
      <c r="V44" s="149"/>
      <c r="W44" s="147" t="s">
        <v>1652</v>
      </c>
      <c r="X44" s="148"/>
      <c r="Y44" s="149"/>
      <c r="Z44" s="147" t="s">
        <v>1653</v>
      </c>
      <c r="AA44" s="148"/>
      <c r="AB44" s="149"/>
      <c r="AC44" s="147" t="s">
        <v>1654</v>
      </c>
      <c r="AD44" s="148"/>
      <c r="AE44" s="149"/>
      <c r="AF44" s="147" t="s">
        <v>1655</v>
      </c>
      <c r="AG44" s="148"/>
      <c r="AH44" s="149"/>
      <c r="AI44" s="147" t="s">
        <v>1656</v>
      </c>
      <c r="AJ44" s="148"/>
      <c r="AK44" s="149"/>
      <c r="AL44" s="147" t="s">
        <v>1657</v>
      </c>
      <c r="AM44" s="148"/>
      <c r="AN44" s="149"/>
      <c r="AO44" s="147" t="s">
        <v>1658</v>
      </c>
      <c r="AP44" s="148"/>
      <c r="AQ44" s="149"/>
      <c r="AR44" s="147" t="s">
        <v>1659</v>
      </c>
      <c r="AS44" s="148"/>
      <c r="AT44" s="189"/>
      <c r="AU44" s="181" t="s">
        <v>1588</v>
      </c>
      <c r="AV44" s="148"/>
      <c r="AW44" s="148"/>
      <c r="AX44" s="189"/>
      <c r="AY44" s="181" t="s">
        <v>1596</v>
      </c>
      <c r="AZ44" s="148"/>
      <c r="BA44" s="148"/>
      <c r="BB44" s="148"/>
    </row>
    <row r="45" spans="4:56" ht="15" customHeight="1" x14ac:dyDescent="0.3">
      <c r="D45" s="26" t="s">
        <v>130</v>
      </c>
      <c r="E45" s="22"/>
      <c r="F45" s="10"/>
      <c r="G45" s="10"/>
      <c r="H45" s="10"/>
      <c r="I45" s="10"/>
      <c r="J45" s="12"/>
      <c r="K45" s="181" t="s">
        <v>1660</v>
      </c>
      <c r="L45" s="148"/>
      <c r="M45" s="149"/>
      <c r="N45" s="147" t="s">
        <v>1661</v>
      </c>
      <c r="O45" s="148"/>
      <c r="P45" s="149"/>
      <c r="Q45" s="147" t="s">
        <v>1662</v>
      </c>
      <c r="R45" s="148"/>
      <c r="S45" s="149"/>
      <c r="T45" s="147" t="s">
        <v>1663</v>
      </c>
      <c r="U45" s="148"/>
      <c r="V45" s="149"/>
      <c r="W45" s="147" t="s">
        <v>1664</v>
      </c>
      <c r="X45" s="148"/>
      <c r="Y45" s="149"/>
      <c r="Z45" s="147" t="s">
        <v>1665</v>
      </c>
      <c r="AA45" s="148"/>
      <c r="AB45" s="149"/>
      <c r="AC45" s="147" t="s">
        <v>1666</v>
      </c>
      <c r="AD45" s="148"/>
      <c r="AE45" s="149"/>
      <c r="AF45" s="147" t="s">
        <v>1667</v>
      </c>
      <c r="AG45" s="148"/>
      <c r="AH45" s="149"/>
      <c r="AI45" s="147" t="s">
        <v>1668</v>
      </c>
      <c r="AJ45" s="148"/>
      <c r="AK45" s="149"/>
      <c r="AL45" s="147" t="s">
        <v>1669</v>
      </c>
      <c r="AM45" s="148"/>
      <c r="AN45" s="149"/>
      <c r="AO45" s="147" t="s">
        <v>1670</v>
      </c>
      <c r="AP45" s="148"/>
      <c r="AQ45" s="149"/>
      <c r="AR45" s="147" t="s">
        <v>1671</v>
      </c>
      <c r="AS45" s="148"/>
      <c r="AT45" s="189"/>
      <c r="AU45" s="181" t="s">
        <v>1589</v>
      </c>
      <c r="AV45" s="148"/>
      <c r="AW45" s="148"/>
      <c r="AX45" s="189"/>
      <c r="AY45" s="181" t="s">
        <v>1597</v>
      </c>
      <c r="AZ45" s="148"/>
      <c r="BA45" s="148"/>
      <c r="BB45" s="148"/>
    </row>
    <row r="46" spans="4:56" ht="15" customHeight="1" x14ac:dyDescent="0.3">
      <c r="D46" s="26" t="s">
        <v>131</v>
      </c>
      <c r="E46" s="22"/>
      <c r="F46" s="10"/>
      <c r="G46" s="10"/>
      <c r="H46" s="10"/>
      <c r="I46" s="10"/>
      <c r="J46" s="12"/>
      <c r="K46" s="181" t="s">
        <v>1672</v>
      </c>
      <c r="L46" s="148"/>
      <c r="M46" s="149"/>
      <c r="N46" s="147" t="s">
        <v>1673</v>
      </c>
      <c r="O46" s="148"/>
      <c r="P46" s="149"/>
      <c r="Q46" s="147" t="s">
        <v>1674</v>
      </c>
      <c r="R46" s="148"/>
      <c r="S46" s="149"/>
      <c r="T46" s="147" t="s">
        <v>1675</v>
      </c>
      <c r="U46" s="148"/>
      <c r="V46" s="149"/>
      <c r="W46" s="147" t="s">
        <v>1676</v>
      </c>
      <c r="X46" s="148"/>
      <c r="Y46" s="149"/>
      <c r="Z46" s="147" t="s">
        <v>1677</v>
      </c>
      <c r="AA46" s="148"/>
      <c r="AB46" s="149"/>
      <c r="AC46" s="147" t="s">
        <v>1678</v>
      </c>
      <c r="AD46" s="148"/>
      <c r="AE46" s="149"/>
      <c r="AF46" s="147" t="s">
        <v>1679</v>
      </c>
      <c r="AG46" s="148"/>
      <c r="AH46" s="149"/>
      <c r="AI46" s="147" t="s">
        <v>1680</v>
      </c>
      <c r="AJ46" s="148"/>
      <c r="AK46" s="149"/>
      <c r="AL46" s="147" t="s">
        <v>1681</v>
      </c>
      <c r="AM46" s="148"/>
      <c r="AN46" s="149"/>
      <c r="AO46" s="147" t="s">
        <v>1682</v>
      </c>
      <c r="AP46" s="148"/>
      <c r="AQ46" s="149"/>
      <c r="AR46" s="147" t="s">
        <v>1683</v>
      </c>
      <c r="AS46" s="148"/>
      <c r="AT46" s="189"/>
      <c r="AU46" s="181" t="s">
        <v>1590</v>
      </c>
      <c r="AV46" s="148"/>
      <c r="AW46" s="148"/>
      <c r="AX46" s="189"/>
      <c r="AY46" s="181" t="s">
        <v>1598</v>
      </c>
      <c r="AZ46" s="148"/>
      <c r="BA46" s="148"/>
      <c r="BB46" s="148"/>
    </row>
    <row r="47" spans="4:56" ht="15" customHeight="1" x14ac:dyDescent="0.3">
      <c r="D47" s="27" t="s">
        <v>132</v>
      </c>
      <c r="E47" s="23"/>
      <c r="F47" s="11"/>
      <c r="G47" s="11"/>
      <c r="H47" s="11"/>
      <c r="I47" s="11"/>
      <c r="J47" s="13"/>
      <c r="K47" s="182" t="s">
        <v>1684</v>
      </c>
      <c r="L47" s="151"/>
      <c r="M47" s="152"/>
      <c r="N47" s="150" t="s">
        <v>1685</v>
      </c>
      <c r="O47" s="151"/>
      <c r="P47" s="152"/>
      <c r="Q47" s="150" t="s">
        <v>1686</v>
      </c>
      <c r="R47" s="151"/>
      <c r="S47" s="152"/>
      <c r="T47" s="150" t="s">
        <v>1687</v>
      </c>
      <c r="U47" s="151"/>
      <c r="V47" s="152"/>
      <c r="W47" s="150" t="s">
        <v>1688</v>
      </c>
      <c r="X47" s="151"/>
      <c r="Y47" s="152"/>
      <c r="Z47" s="150" t="s">
        <v>1689</v>
      </c>
      <c r="AA47" s="151"/>
      <c r="AB47" s="152"/>
      <c r="AC47" s="150" t="s">
        <v>1690</v>
      </c>
      <c r="AD47" s="151"/>
      <c r="AE47" s="152"/>
      <c r="AF47" s="150" t="s">
        <v>1691</v>
      </c>
      <c r="AG47" s="151"/>
      <c r="AH47" s="152"/>
      <c r="AI47" s="150" t="s">
        <v>1692</v>
      </c>
      <c r="AJ47" s="151"/>
      <c r="AK47" s="152"/>
      <c r="AL47" s="150" t="s">
        <v>1693</v>
      </c>
      <c r="AM47" s="151"/>
      <c r="AN47" s="152"/>
      <c r="AO47" s="150" t="s">
        <v>1694</v>
      </c>
      <c r="AP47" s="151"/>
      <c r="AQ47" s="152"/>
      <c r="AR47" s="150" t="s">
        <v>1695</v>
      </c>
      <c r="AS47" s="151"/>
      <c r="AT47" s="193"/>
      <c r="AU47" s="182" t="s">
        <v>1591</v>
      </c>
      <c r="AV47" s="151"/>
      <c r="AW47" s="151"/>
      <c r="AX47" s="193"/>
      <c r="AY47" s="182" t="s">
        <v>1599</v>
      </c>
      <c r="AZ47" s="151"/>
      <c r="BA47" s="151"/>
      <c r="BB47" s="151"/>
    </row>
    <row r="49" spans="4:56" ht="15" customHeight="1" x14ac:dyDescent="0.3">
      <c r="D49" s="15" t="s">
        <v>133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</row>
    <row r="50" spans="4:56" ht="5.0999999999999996" customHeight="1" x14ac:dyDescent="0.3"/>
    <row r="51" spans="4:56" ht="15" customHeight="1" x14ac:dyDescent="0.3">
      <c r="D51" s="28" t="s">
        <v>134</v>
      </c>
      <c r="E51" s="28"/>
      <c r="F51" s="28"/>
      <c r="G51" s="28"/>
      <c r="H51" s="28"/>
      <c r="I51" s="28"/>
      <c r="J51" s="28"/>
      <c r="K51" s="29" t="s">
        <v>12</v>
      </c>
      <c r="L51" s="30"/>
      <c r="M51" s="32"/>
      <c r="N51" s="33" t="s">
        <v>13</v>
      </c>
      <c r="O51" s="30"/>
      <c r="P51" s="32"/>
      <c r="Q51" s="33" t="s">
        <v>14</v>
      </c>
      <c r="R51" s="30"/>
      <c r="S51" s="32"/>
      <c r="T51" s="33" t="s">
        <v>15</v>
      </c>
      <c r="U51" s="30"/>
      <c r="V51" s="32"/>
      <c r="W51" s="33" t="s">
        <v>16</v>
      </c>
      <c r="X51" s="30"/>
      <c r="Y51" s="32"/>
      <c r="Z51" s="33" t="s">
        <v>17</v>
      </c>
      <c r="AA51" s="30"/>
      <c r="AB51" s="32"/>
      <c r="AC51" s="33" t="s">
        <v>18</v>
      </c>
      <c r="AD51" s="30"/>
      <c r="AE51" s="32"/>
      <c r="AF51" s="33" t="s">
        <v>19</v>
      </c>
      <c r="AG51" s="30"/>
      <c r="AH51" s="32"/>
      <c r="AI51" s="33" t="s">
        <v>20</v>
      </c>
      <c r="AJ51" s="30"/>
      <c r="AK51" s="32"/>
      <c r="AL51" s="33" t="s">
        <v>21</v>
      </c>
      <c r="AM51" s="30"/>
      <c r="AN51" s="32"/>
      <c r="AO51" s="33" t="s">
        <v>22</v>
      </c>
      <c r="AP51" s="30"/>
      <c r="AQ51" s="32"/>
      <c r="AR51" s="33" t="s">
        <v>23</v>
      </c>
      <c r="AS51" s="30"/>
      <c r="AT51" s="30"/>
      <c r="AU51" s="29" t="s">
        <v>41</v>
      </c>
      <c r="AV51" s="30"/>
      <c r="AW51" s="30"/>
      <c r="AX51" s="31"/>
      <c r="AY51" s="29" t="s">
        <v>59</v>
      </c>
      <c r="AZ51" s="30"/>
      <c r="BA51" s="30"/>
      <c r="BB51" s="30"/>
    </row>
    <row r="52" spans="4:56" ht="15" customHeight="1" x14ac:dyDescent="0.3">
      <c r="D52" s="16" t="s">
        <v>94</v>
      </c>
      <c r="E52" s="16"/>
      <c r="F52" s="16"/>
      <c r="G52" s="16"/>
      <c r="H52" s="16"/>
      <c r="I52" s="16"/>
      <c r="J52" s="17"/>
      <c r="K52" s="192">
        <f>IF(K53="", "", 100)</f>
        <v>100</v>
      </c>
      <c r="L52" s="159"/>
      <c r="M52" s="191"/>
      <c r="N52" s="190">
        <f t="shared" ref="N52" si="0">IF(N53="", "", 100)</f>
        <v>100</v>
      </c>
      <c r="O52" s="159"/>
      <c r="P52" s="191"/>
      <c r="Q52" s="190">
        <f t="shared" ref="Q52" si="1">IF(Q53="", "", 100)</f>
        <v>100</v>
      </c>
      <c r="R52" s="159"/>
      <c r="S52" s="191"/>
      <c r="T52" s="190">
        <f t="shared" ref="T52" si="2">IF(T53="", "", 100)</f>
        <v>100</v>
      </c>
      <c r="U52" s="159"/>
      <c r="V52" s="191"/>
      <c r="W52" s="190">
        <f t="shared" ref="W52" si="3">IF(W53="", "", 100)</f>
        <v>100</v>
      </c>
      <c r="X52" s="159"/>
      <c r="Y52" s="191"/>
      <c r="Z52" s="190">
        <f t="shared" ref="Z52" si="4">IF(Z53="", "", 100)</f>
        <v>100</v>
      </c>
      <c r="AA52" s="159"/>
      <c r="AB52" s="191"/>
      <c r="AC52" s="190">
        <f t="shared" ref="AC52" si="5">IF(AC53="", "", 100)</f>
        <v>100</v>
      </c>
      <c r="AD52" s="159"/>
      <c r="AE52" s="191"/>
      <c r="AF52" s="190">
        <f t="shared" ref="AF52" si="6">IF(AF53="", "", 100)</f>
        <v>100</v>
      </c>
      <c r="AG52" s="159"/>
      <c r="AH52" s="191"/>
      <c r="AI52" s="190">
        <f t="shared" ref="AI52" si="7">IF(AI53="", "", 100)</f>
        <v>100</v>
      </c>
      <c r="AJ52" s="159"/>
      <c r="AK52" s="191"/>
      <c r="AL52" s="190">
        <f t="shared" ref="AL52" si="8">IF(AL53="", "", 100)</f>
        <v>100</v>
      </c>
      <c r="AM52" s="159"/>
      <c r="AN52" s="191"/>
      <c r="AO52" s="190">
        <f t="shared" ref="AO52" si="9">IF(AO53="", "", 100)</f>
        <v>100</v>
      </c>
      <c r="AP52" s="159"/>
      <c r="AQ52" s="191"/>
      <c r="AR52" s="190">
        <f t="shared" ref="AR52" si="10">IF(AR53="", "", 100)</f>
        <v>100</v>
      </c>
      <c r="AS52" s="159"/>
      <c r="AT52" s="191"/>
      <c r="AU52" s="194">
        <v>100</v>
      </c>
      <c r="AV52" s="195"/>
      <c r="AW52" s="195"/>
      <c r="AX52" s="196"/>
      <c r="AY52" s="197" t="s">
        <v>142</v>
      </c>
      <c r="AZ52" s="198"/>
      <c r="BA52" s="198"/>
      <c r="BB52" s="198"/>
    </row>
    <row r="53" spans="4:56" ht="15" customHeight="1" x14ac:dyDescent="0.3">
      <c r="D53" s="26" t="s">
        <v>125</v>
      </c>
      <c r="E53" s="22"/>
      <c r="F53" s="10"/>
      <c r="G53" s="10"/>
      <c r="H53" s="10"/>
      <c r="I53" s="10"/>
      <c r="J53" s="12"/>
      <c r="K53" s="181" t="s">
        <v>1696</v>
      </c>
      <c r="L53" s="148"/>
      <c r="M53" s="149"/>
      <c r="N53" s="147" t="s">
        <v>1697</v>
      </c>
      <c r="O53" s="148"/>
      <c r="P53" s="149"/>
      <c r="Q53" s="147" t="s">
        <v>1698</v>
      </c>
      <c r="R53" s="148"/>
      <c r="S53" s="149"/>
      <c r="T53" s="147" t="s">
        <v>1699</v>
      </c>
      <c r="U53" s="148"/>
      <c r="V53" s="149"/>
      <c r="W53" s="147" t="s">
        <v>1700</v>
      </c>
      <c r="X53" s="148"/>
      <c r="Y53" s="149"/>
      <c r="Z53" s="147" t="s">
        <v>1701</v>
      </c>
      <c r="AA53" s="148"/>
      <c r="AB53" s="149"/>
      <c r="AC53" s="147" t="s">
        <v>1702</v>
      </c>
      <c r="AD53" s="148"/>
      <c r="AE53" s="149"/>
      <c r="AF53" s="147" t="s">
        <v>1703</v>
      </c>
      <c r="AG53" s="148"/>
      <c r="AH53" s="149"/>
      <c r="AI53" s="147" t="s">
        <v>1704</v>
      </c>
      <c r="AJ53" s="148"/>
      <c r="AK53" s="149"/>
      <c r="AL53" s="147" t="s">
        <v>1705</v>
      </c>
      <c r="AM53" s="148"/>
      <c r="AN53" s="149"/>
      <c r="AO53" s="147" t="s">
        <v>1706</v>
      </c>
      <c r="AP53" s="148"/>
      <c r="AQ53" s="149"/>
      <c r="AR53" s="147" t="s">
        <v>1707</v>
      </c>
      <c r="AS53" s="148"/>
      <c r="AT53" s="189"/>
      <c r="AU53" s="181" t="s">
        <v>1708</v>
      </c>
      <c r="AV53" s="148"/>
      <c r="AW53" s="148"/>
      <c r="AX53" s="189"/>
      <c r="AY53" s="181" t="s">
        <v>1709</v>
      </c>
      <c r="AZ53" s="148"/>
      <c r="BA53" s="148"/>
      <c r="BB53" s="148"/>
    </row>
    <row r="54" spans="4:56" ht="15" customHeight="1" x14ac:dyDescent="0.3">
      <c r="D54" s="26" t="s">
        <v>126</v>
      </c>
      <c r="E54" s="22"/>
      <c r="F54" s="10"/>
      <c r="G54" s="10"/>
      <c r="H54" s="10"/>
      <c r="I54" s="10"/>
      <c r="J54" s="12"/>
      <c r="K54" s="181" t="s">
        <v>1710</v>
      </c>
      <c r="L54" s="148"/>
      <c r="M54" s="149"/>
      <c r="N54" s="147" t="s">
        <v>1711</v>
      </c>
      <c r="O54" s="148"/>
      <c r="P54" s="149"/>
      <c r="Q54" s="147" t="s">
        <v>1712</v>
      </c>
      <c r="R54" s="148"/>
      <c r="S54" s="149"/>
      <c r="T54" s="147" t="s">
        <v>1713</v>
      </c>
      <c r="U54" s="148"/>
      <c r="V54" s="149"/>
      <c r="W54" s="147" t="s">
        <v>1714</v>
      </c>
      <c r="X54" s="148"/>
      <c r="Y54" s="149"/>
      <c r="Z54" s="147" t="s">
        <v>1715</v>
      </c>
      <c r="AA54" s="148"/>
      <c r="AB54" s="149"/>
      <c r="AC54" s="147" t="s">
        <v>1716</v>
      </c>
      <c r="AD54" s="148"/>
      <c r="AE54" s="149"/>
      <c r="AF54" s="147" t="s">
        <v>1717</v>
      </c>
      <c r="AG54" s="148"/>
      <c r="AH54" s="149"/>
      <c r="AI54" s="147" t="s">
        <v>1718</v>
      </c>
      <c r="AJ54" s="148"/>
      <c r="AK54" s="149"/>
      <c r="AL54" s="147" t="s">
        <v>1719</v>
      </c>
      <c r="AM54" s="148"/>
      <c r="AN54" s="149"/>
      <c r="AO54" s="147" t="s">
        <v>1720</v>
      </c>
      <c r="AP54" s="148"/>
      <c r="AQ54" s="149"/>
      <c r="AR54" s="147" t="s">
        <v>1721</v>
      </c>
      <c r="AS54" s="148"/>
      <c r="AT54" s="189"/>
      <c r="AU54" s="181" t="s">
        <v>1722</v>
      </c>
      <c r="AV54" s="148"/>
      <c r="AW54" s="148"/>
      <c r="AX54" s="189"/>
      <c r="AY54" s="181" t="s">
        <v>1723</v>
      </c>
      <c r="AZ54" s="148"/>
      <c r="BA54" s="148"/>
      <c r="BB54" s="148"/>
    </row>
    <row r="55" spans="4:56" ht="15" customHeight="1" x14ac:dyDescent="0.3">
      <c r="D55" s="26" t="s">
        <v>127</v>
      </c>
      <c r="E55" s="22"/>
      <c r="F55" s="10"/>
      <c r="G55" s="10"/>
      <c r="H55" s="10"/>
      <c r="I55" s="10"/>
      <c r="J55" s="12"/>
      <c r="K55" s="181" t="s">
        <v>1724</v>
      </c>
      <c r="L55" s="148"/>
      <c r="M55" s="149"/>
      <c r="N55" s="147" t="s">
        <v>1725</v>
      </c>
      <c r="O55" s="148"/>
      <c r="P55" s="149"/>
      <c r="Q55" s="147" t="s">
        <v>1726</v>
      </c>
      <c r="R55" s="148"/>
      <c r="S55" s="149"/>
      <c r="T55" s="147" t="s">
        <v>1727</v>
      </c>
      <c r="U55" s="148"/>
      <c r="V55" s="149"/>
      <c r="W55" s="147" t="s">
        <v>1728</v>
      </c>
      <c r="X55" s="148"/>
      <c r="Y55" s="149"/>
      <c r="Z55" s="147" t="s">
        <v>1729</v>
      </c>
      <c r="AA55" s="148"/>
      <c r="AB55" s="149"/>
      <c r="AC55" s="147" t="s">
        <v>1730</v>
      </c>
      <c r="AD55" s="148"/>
      <c r="AE55" s="149"/>
      <c r="AF55" s="147" t="s">
        <v>1731</v>
      </c>
      <c r="AG55" s="148"/>
      <c r="AH55" s="149"/>
      <c r="AI55" s="147" t="s">
        <v>1732</v>
      </c>
      <c r="AJ55" s="148"/>
      <c r="AK55" s="149"/>
      <c r="AL55" s="147" t="s">
        <v>1733</v>
      </c>
      <c r="AM55" s="148"/>
      <c r="AN55" s="149"/>
      <c r="AO55" s="147" t="s">
        <v>1734</v>
      </c>
      <c r="AP55" s="148"/>
      <c r="AQ55" s="149"/>
      <c r="AR55" s="147" t="s">
        <v>1735</v>
      </c>
      <c r="AS55" s="148"/>
      <c r="AT55" s="189"/>
      <c r="AU55" s="181" t="s">
        <v>1736</v>
      </c>
      <c r="AV55" s="148"/>
      <c r="AW55" s="148"/>
      <c r="AX55" s="189"/>
      <c r="AY55" s="181" t="s">
        <v>1737</v>
      </c>
      <c r="AZ55" s="148"/>
      <c r="BA55" s="148"/>
      <c r="BB55" s="148"/>
    </row>
    <row r="56" spans="4:56" ht="15" customHeight="1" x14ac:dyDescent="0.3">
      <c r="D56" s="26" t="s">
        <v>128</v>
      </c>
      <c r="E56" s="22"/>
      <c r="F56" s="10"/>
      <c r="G56" s="10"/>
      <c r="H56" s="10"/>
      <c r="I56" s="10"/>
      <c r="J56" s="12"/>
      <c r="K56" s="181" t="s">
        <v>1738</v>
      </c>
      <c r="L56" s="148"/>
      <c r="M56" s="149"/>
      <c r="N56" s="147" t="s">
        <v>1739</v>
      </c>
      <c r="O56" s="148"/>
      <c r="P56" s="149"/>
      <c r="Q56" s="147" t="s">
        <v>1740</v>
      </c>
      <c r="R56" s="148"/>
      <c r="S56" s="149"/>
      <c r="T56" s="147" t="s">
        <v>1741</v>
      </c>
      <c r="U56" s="148"/>
      <c r="V56" s="149"/>
      <c r="W56" s="147" t="s">
        <v>1742</v>
      </c>
      <c r="X56" s="148"/>
      <c r="Y56" s="149"/>
      <c r="Z56" s="147" t="s">
        <v>1743</v>
      </c>
      <c r="AA56" s="148"/>
      <c r="AB56" s="149"/>
      <c r="AC56" s="147" t="s">
        <v>1744</v>
      </c>
      <c r="AD56" s="148"/>
      <c r="AE56" s="149"/>
      <c r="AF56" s="147" t="s">
        <v>1745</v>
      </c>
      <c r="AG56" s="148"/>
      <c r="AH56" s="149"/>
      <c r="AI56" s="147" t="s">
        <v>1746</v>
      </c>
      <c r="AJ56" s="148"/>
      <c r="AK56" s="149"/>
      <c r="AL56" s="147" t="s">
        <v>1747</v>
      </c>
      <c r="AM56" s="148"/>
      <c r="AN56" s="149"/>
      <c r="AO56" s="147" t="s">
        <v>1748</v>
      </c>
      <c r="AP56" s="148"/>
      <c r="AQ56" s="149"/>
      <c r="AR56" s="147" t="s">
        <v>1749</v>
      </c>
      <c r="AS56" s="148"/>
      <c r="AT56" s="189"/>
      <c r="AU56" s="181" t="s">
        <v>1750</v>
      </c>
      <c r="AV56" s="148"/>
      <c r="AW56" s="148"/>
      <c r="AX56" s="189"/>
      <c r="AY56" s="181" t="s">
        <v>1751</v>
      </c>
      <c r="AZ56" s="148"/>
      <c r="BA56" s="148"/>
      <c r="BB56" s="148"/>
    </row>
    <row r="57" spans="4:56" ht="15" customHeight="1" x14ac:dyDescent="0.3">
      <c r="D57" s="26" t="s">
        <v>129</v>
      </c>
      <c r="E57" s="22"/>
      <c r="F57" s="10"/>
      <c r="G57" s="10"/>
      <c r="H57" s="10"/>
      <c r="I57" s="10"/>
      <c r="J57" s="12"/>
      <c r="K57" s="181" t="s">
        <v>1752</v>
      </c>
      <c r="L57" s="148"/>
      <c r="M57" s="149"/>
      <c r="N57" s="147" t="s">
        <v>1753</v>
      </c>
      <c r="O57" s="148"/>
      <c r="P57" s="149"/>
      <c r="Q57" s="147" t="s">
        <v>1754</v>
      </c>
      <c r="R57" s="148"/>
      <c r="S57" s="149"/>
      <c r="T57" s="147" t="s">
        <v>1755</v>
      </c>
      <c r="U57" s="148"/>
      <c r="V57" s="149"/>
      <c r="W57" s="147" t="s">
        <v>1756</v>
      </c>
      <c r="X57" s="148"/>
      <c r="Y57" s="149"/>
      <c r="Z57" s="147" t="s">
        <v>1757</v>
      </c>
      <c r="AA57" s="148"/>
      <c r="AB57" s="149"/>
      <c r="AC57" s="147" t="s">
        <v>1758</v>
      </c>
      <c r="AD57" s="148"/>
      <c r="AE57" s="149"/>
      <c r="AF57" s="147" t="s">
        <v>1759</v>
      </c>
      <c r="AG57" s="148"/>
      <c r="AH57" s="149"/>
      <c r="AI57" s="147" t="s">
        <v>1760</v>
      </c>
      <c r="AJ57" s="148"/>
      <c r="AK57" s="149"/>
      <c r="AL57" s="147" t="s">
        <v>1761</v>
      </c>
      <c r="AM57" s="148"/>
      <c r="AN57" s="149"/>
      <c r="AO57" s="147" t="s">
        <v>1762</v>
      </c>
      <c r="AP57" s="148"/>
      <c r="AQ57" s="149"/>
      <c r="AR57" s="147" t="s">
        <v>1763</v>
      </c>
      <c r="AS57" s="148"/>
      <c r="AT57" s="189"/>
      <c r="AU57" s="181" t="s">
        <v>1764</v>
      </c>
      <c r="AV57" s="148"/>
      <c r="AW57" s="148"/>
      <c r="AX57" s="189"/>
      <c r="AY57" s="181" t="s">
        <v>1765</v>
      </c>
      <c r="AZ57" s="148"/>
      <c r="BA57" s="148"/>
      <c r="BB57" s="148"/>
    </row>
    <row r="58" spans="4:56" ht="15" customHeight="1" x14ac:dyDescent="0.3">
      <c r="D58" s="26" t="s">
        <v>130</v>
      </c>
      <c r="E58" s="22"/>
      <c r="F58" s="10"/>
      <c r="G58" s="10"/>
      <c r="H58" s="10"/>
      <c r="I58" s="10"/>
      <c r="J58" s="12"/>
      <c r="K58" s="181" t="s">
        <v>1766</v>
      </c>
      <c r="L58" s="148"/>
      <c r="M58" s="149"/>
      <c r="N58" s="147" t="s">
        <v>1767</v>
      </c>
      <c r="O58" s="148"/>
      <c r="P58" s="149"/>
      <c r="Q58" s="147" t="s">
        <v>1768</v>
      </c>
      <c r="R58" s="148"/>
      <c r="S58" s="149"/>
      <c r="T58" s="147" t="s">
        <v>1769</v>
      </c>
      <c r="U58" s="148"/>
      <c r="V58" s="149"/>
      <c r="W58" s="147" t="s">
        <v>1770</v>
      </c>
      <c r="X58" s="148"/>
      <c r="Y58" s="149"/>
      <c r="Z58" s="147" t="s">
        <v>1771</v>
      </c>
      <c r="AA58" s="148"/>
      <c r="AB58" s="149"/>
      <c r="AC58" s="147" t="s">
        <v>1772</v>
      </c>
      <c r="AD58" s="148"/>
      <c r="AE58" s="149"/>
      <c r="AF58" s="147" t="s">
        <v>1773</v>
      </c>
      <c r="AG58" s="148"/>
      <c r="AH58" s="149"/>
      <c r="AI58" s="147" t="s">
        <v>1774</v>
      </c>
      <c r="AJ58" s="148"/>
      <c r="AK58" s="149"/>
      <c r="AL58" s="147" t="s">
        <v>1775</v>
      </c>
      <c r="AM58" s="148"/>
      <c r="AN58" s="149"/>
      <c r="AO58" s="147" t="s">
        <v>1776</v>
      </c>
      <c r="AP58" s="148"/>
      <c r="AQ58" s="149"/>
      <c r="AR58" s="147" t="s">
        <v>1777</v>
      </c>
      <c r="AS58" s="148"/>
      <c r="AT58" s="189"/>
      <c r="AU58" s="181" t="s">
        <v>1778</v>
      </c>
      <c r="AV58" s="148"/>
      <c r="AW58" s="148"/>
      <c r="AX58" s="189"/>
      <c r="AY58" s="181" t="s">
        <v>1779</v>
      </c>
      <c r="AZ58" s="148"/>
      <c r="BA58" s="148"/>
      <c r="BB58" s="148"/>
    </row>
    <row r="59" spans="4:56" ht="15" customHeight="1" x14ac:dyDescent="0.3">
      <c r="D59" s="26" t="s">
        <v>131</v>
      </c>
      <c r="E59" s="22"/>
      <c r="F59" s="10"/>
      <c r="G59" s="10"/>
      <c r="H59" s="10"/>
      <c r="I59" s="10"/>
      <c r="J59" s="12"/>
      <c r="K59" s="181" t="s">
        <v>1780</v>
      </c>
      <c r="L59" s="148"/>
      <c r="M59" s="149"/>
      <c r="N59" s="147" t="s">
        <v>1781</v>
      </c>
      <c r="O59" s="148"/>
      <c r="P59" s="149"/>
      <c r="Q59" s="147" t="s">
        <v>1782</v>
      </c>
      <c r="R59" s="148"/>
      <c r="S59" s="149"/>
      <c r="T59" s="147" t="s">
        <v>1783</v>
      </c>
      <c r="U59" s="148"/>
      <c r="V59" s="149"/>
      <c r="W59" s="147" t="s">
        <v>1784</v>
      </c>
      <c r="X59" s="148"/>
      <c r="Y59" s="149"/>
      <c r="Z59" s="147" t="s">
        <v>1785</v>
      </c>
      <c r="AA59" s="148"/>
      <c r="AB59" s="149"/>
      <c r="AC59" s="147" t="s">
        <v>1786</v>
      </c>
      <c r="AD59" s="148"/>
      <c r="AE59" s="149"/>
      <c r="AF59" s="147" t="s">
        <v>1787</v>
      </c>
      <c r="AG59" s="148"/>
      <c r="AH59" s="149"/>
      <c r="AI59" s="147" t="s">
        <v>1788</v>
      </c>
      <c r="AJ59" s="148"/>
      <c r="AK59" s="149"/>
      <c r="AL59" s="147" t="s">
        <v>1789</v>
      </c>
      <c r="AM59" s="148"/>
      <c r="AN59" s="149"/>
      <c r="AO59" s="147" t="s">
        <v>1790</v>
      </c>
      <c r="AP59" s="148"/>
      <c r="AQ59" s="149"/>
      <c r="AR59" s="147" t="s">
        <v>1791</v>
      </c>
      <c r="AS59" s="148"/>
      <c r="AT59" s="189"/>
      <c r="AU59" s="181" t="s">
        <v>1792</v>
      </c>
      <c r="AV59" s="148"/>
      <c r="AW59" s="148"/>
      <c r="AX59" s="189"/>
      <c r="AY59" s="181" t="s">
        <v>1793</v>
      </c>
      <c r="AZ59" s="148"/>
      <c r="BA59" s="148"/>
      <c r="BB59" s="148"/>
    </row>
    <row r="60" spans="4:56" ht="15" customHeight="1" x14ac:dyDescent="0.3">
      <c r="D60" s="27" t="s">
        <v>132</v>
      </c>
      <c r="E60" s="23"/>
      <c r="F60" s="11"/>
      <c r="G60" s="11"/>
      <c r="H60" s="11"/>
      <c r="I60" s="11"/>
      <c r="J60" s="13"/>
      <c r="K60" s="182" t="s">
        <v>1794</v>
      </c>
      <c r="L60" s="151"/>
      <c r="M60" s="152"/>
      <c r="N60" s="150" t="s">
        <v>1795</v>
      </c>
      <c r="O60" s="151"/>
      <c r="P60" s="152"/>
      <c r="Q60" s="150" t="s">
        <v>1796</v>
      </c>
      <c r="R60" s="151"/>
      <c r="S60" s="152"/>
      <c r="T60" s="150" t="s">
        <v>1797</v>
      </c>
      <c r="U60" s="151"/>
      <c r="V60" s="152"/>
      <c r="W60" s="150" t="s">
        <v>1798</v>
      </c>
      <c r="X60" s="151"/>
      <c r="Y60" s="152"/>
      <c r="Z60" s="150" t="s">
        <v>1799</v>
      </c>
      <c r="AA60" s="151"/>
      <c r="AB60" s="152"/>
      <c r="AC60" s="150" t="s">
        <v>1800</v>
      </c>
      <c r="AD60" s="151"/>
      <c r="AE60" s="152"/>
      <c r="AF60" s="150" t="s">
        <v>1801</v>
      </c>
      <c r="AG60" s="151"/>
      <c r="AH60" s="152"/>
      <c r="AI60" s="150" t="s">
        <v>1802</v>
      </c>
      <c r="AJ60" s="151"/>
      <c r="AK60" s="152"/>
      <c r="AL60" s="150" t="s">
        <v>1803</v>
      </c>
      <c r="AM60" s="151"/>
      <c r="AN60" s="152"/>
      <c r="AO60" s="150" t="s">
        <v>1804</v>
      </c>
      <c r="AP60" s="151"/>
      <c r="AQ60" s="152"/>
      <c r="AR60" s="150" t="s">
        <v>1805</v>
      </c>
      <c r="AS60" s="151"/>
      <c r="AT60" s="193"/>
      <c r="AU60" s="182" t="s">
        <v>1806</v>
      </c>
      <c r="AV60" s="151"/>
      <c r="AW60" s="151"/>
      <c r="AX60" s="193"/>
      <c r="AY60" s="182" t="s">
        <v>1807</v>
      </c>
      <c r="AZ60" s="151"/>
      <c r="BA60" s="151"/>
      <c r="BB60" s="151"/>
    </row>
  </sheetData>
  <mergeCells count="253">
    <mergeCell ref="K56:M56"/>
    <mergeCell ref="N56:P56"/>
    <mergeCell ref="Q56:S56"/>
    <mergeCell ref="T56:V56"/>
    <mergeCell ref="W56:Y56"/>
    <mergeCell ref="Z56:AB56"/>
    <mergeCell ref="AL56:AN56"/>
    <mergeCell ref="K55:M55"/>
    <mergeCell ref="N55:P55"/>
    <mergeCell ref="Q55:S55"/>
    <mergeCell ref="T55:V55"/>
    <mergeCell ref="W55:Y55"/>
    <mergeCell ref="AY56:BB56"/>
    <mergeCell ref="AY55:BB55"/>
    <mergeCell ref="AO55:AQ55"/>
    <mergeCell ref="AR55:AT55"/>
    <mergeCell ref="AU55:AX55"/>
    <mergeCell ref="Z54:AB54"/>
    <mergeCell ref="AC54:AE54"/>
    <mergeCell ref="AF54:AH54"/>
    <mergeCell ref="AI54:AK54"/>
    <mergeCell ref="AL54:AN54"/>
    <mergeCell ref="AO54:AQ54"/>
    <mergeCell ref="AR54:AT54"/>
    <mergeCell ref="AU54:AX54"/>
    <mergeCell ref="AY54:BB54"/>
    <mergeCell ref="Z55:AB55"/>
    <mergeCell ref="AC55:AE55"/>
    <mergeCell ref="AC56:AE56"/>
    <mergeCell ref="AF56:AH56"/>
    <mergeCell ref="AI56:AK56"/>
    <mergeCell ref="AF55:AH55"/>
    <mergeCell ref="AI55:AK55"/>
    <mergeCell ref="AL55:AN55"/>
    <mergeCell ref="AF53:AH53"/>
    <mergeCell ref="AI53:AK53"/>
    <mergeCell ref="AL53:AN53"/>
    <mergeCell ref="AO53:AQ53"/>
    <mergeCell ref="AR53:AT53"/>
    <mergeCell ref="AU53:AX53"/>
    <mergeCell ref="AO56:AQ56"/>
    <mergeCell ref="AR56:AT56"/>
    <mergeCell ref="AU56:AX56"/>
    <mergeCell ref="AY45:BB45"/>
    <mergeCell ref="T54:V54"/>
    <mergeCell ref="W54:Y54"/>
    <mergeCell ref="AF52:AH52"/>
    <mergeCell ref="AI52:AK52"/>
    <mergeCell ref="AY46:BB46"/>
    <mergeCell ref="K47:M47"/>
    <mergeCell ref="N47:P47"/>
    <mergeCell ref="Q47:S47"/>
    <mergeCell ref="T47:V47"/>
    <mergeCell ref="W47:Y47"/>
    <mergeCell ref="Z47:AB47"/>
    <mergeCell ref="AC47:AE47"/>
    <mergeCell ref="AF47:AH47"/>
    <mergeCell ref="AI47:AK47"/>
    <mergeCell ref="AC46:AE46"/>
    <mergeCell ref="K46:M46"/>
    <mergeCell ref="AU52:AX52"/>
    <mergeCell ref="AY52:BB52"/>
    <mergeCell ref="K53:M53"/>
    <mergeCell ref="N53:P53"/>
    <mergeCell ref="Q53:S53"/>
    <mergeCell ref="T53:V53"/>
    <mergeCell ref="AY53:BB53"/>
    <mergeCell ref="K45:M45"/>
    <mergeCell ref="N45:P45"/>
    <mergeCell ref="Q45:S45"/>
    <mergeCell ref="T45:V45"/>
    <mergeCell ref="W45:Y45"/>
    <mergeCell ref="Z45:AB45"/>
    <mergeCell ref="AC45:AE45"/>
    <mergeCell ref="AF45:AH45"/>
    <mergeCell ref="AI45:AK45"/>
    <mergeCell ref="Z43:AB43"/>
    <mergeCell ref="AC43:AE43"/>
    <mergeCell ref="AF43:AH43"/>
    <mergeCell ref="AI43:AK43"/>
    <mergeCell ref="AL43:AN43"/>
    <mergeCell ref="AO43:AQ43"/>
    <mergeCell ref="K44:M44"/>
    <mergeCell ref="N44:P44"/>
    <mergeCell ref="Q44:S44"/>
    <mergeCell ref="T44:V44"/>
    <mergeCell ref="W44:Y44"/>
    <mergeCell ref="Z44:AB44"/>
    <mergeCell ref="K43:M43"/>
    <mergeCell ref="N43:P43"/>
    <mergeCell ref="Q43:S43"/>
    <mergeCell ref="T43:V43"/>
    <mergeCell ref="W43:Y43"/>
    <mergeCell ref="AF44:AH44"/>
    <mergeCell ref="AI44:AK44"/>
    <mergeCell ref="AL44:AN44"/>
    <mergeCell ref="AO44:AQ44"/>
    <mergeCell ref="AC60:AE60"/>
    <mergeCell ref="AF60:AH60"/>
    <mergeCell ref="AI60:AK60"/>
    <mergeCell ref="AF59:AH59"/>
    <mergeCell ref="AI59:AK59"/>
    <mergeCell ref="AL59:AN59"/>
    <mergeCell ref="K60:M60"/>
    <mergeCell ref="N60:P60"/>
    <mergeCell ref="Q60:S60"/>
    <mergeCell ref="T60:V60"/>
    <mergeCell ref="W60:Y60"/>
    <mergeCell ref="Z60:AB60"/>
    <mergeCell ref="K59:M59"/>
    <mergeCell ref="N59:P59"/>
    <mergeCell ref="Q59:S59"/>
    <mergeCell ref="T59:V59"/>
    <mergeCell ref="W59:Y59"/>
    <mergeCell ref="Z59:AB59"/>
    <mergeCell ref="AC59:AE59"/>
    <mergeCell ref="AY43:BB43"/>
    <mergeCell ref="AO58:AQ58"/>
    <mergeCell ref="AL60:AN60"/>
    <mergeCell ref="AO60:AQ60"/>
    <mergeCell ref="AR60:AT60"/>
    <mergeCell ref="AU60:AX60"/>
    <mergeCell ref="AY60:BB60"/>
    <mergeCell ref="AY58:BB58"/>
    <mergeCell ref="AY57:BB57"/>
    <mergeCell ref="AY47:BB47"/>
    <mergeCell ref="AL52:AN52"/>
    <mergeCell ref="AO52:AQ52"/>
    <mergeCell ref="AR52:AT52"/>
    <mergeCell ref="AO46:AQ46"/>
    <mergeCell ref="AR46:AT46"/>
    <mergeCell ref="AU46:AX46"/>
    <mergeCell ref="AL47:AN47"/>
    <mergeCell ref="AO47:AQ47"/>
    <mergeCell ref="AR47:AT47"/>
    <mergeCell ref="AU47:AX47"/>
    <mergeCell ref="AR44:AT44"/>
    <mergeCell ref="AU44:AX44"/>
    <mergeCell ref="AY44:BB44"/>
    <mergeCell ref="AL45:AN45"/>
    <mergeCell ref="AU59:AX59"/>
    <mergeCell ref="AR58:AT58"/>
    <mergeCell ref="AU58:AX58"/>
    <mergeCell ref="AF58:AH58"/>
    <mergeCell ref="AI58:AK58"/>
    <mergeCell ref="AL58:AN58"/>
    <mergeCell ref="AU57:AX57"/>
    <mergeCell ref="AY59:BB59"/>
    <mergeCell ref="AO59:AQ59"/>
    <mergeCell ref="AL57:AN57"/>
    <mergeCell ref="AO57:AQ57"/>
    <mergeCell ref="AR57:AT57"/>
    <mergeCell ref="Z58:AB58"/>
    <mergeCell ref="AC58:AE58"/>
    <mergeCell ref="AC57:AE57"/>
    <mergeCell ref="AF57:AH57"/>
    <mergeCell ref="AI57:AK57"/>
    <mergeCell ref="AR59:AT59"/>
    <mergeCell ref="K58:M58"/>
    <mergeCell ref="N58:P58"/>
    <mergeCell ref="Q58:S58"/>
    <mergeCell ref="T58:V58"/>
    <mergeCell ref="W58:Y58"/>
    <mergeCell ref="K57:M57"/>
    <mergeCell ref="N57:P57"/>
    <mergeCell ref="Q57:S57"/>
    <mergeCell ref="T57:V57"/>
    <mergeCell ref="W57:Y57"/>
    <mergeCell ref="Z57:AB57"/>
    <mergeCell ref="W53:Y53"/>
    <mergeCell ref="Z53:AB53"/>
    <mergeCell ref="AC53:AE53"/>
    <mergeCell ref="Z52:AB52"/>
    <mergeCell ref="AC52:AE52"/>
    <mergeCell ref="K52:M52"/>
    <mergeCell ref="N52:P52"/>
    <mergeCell ref="Q52:S52"/>
    <mergeCell ref="T52:V52"/>
    <mergeCell ref="W52:Y52"/>
    <mergeCell ref="K54:M54"/>
    <mergeCell ref="N54:P54"/>
    <mergeCell ref="Q54:S54"/>
    <mergeCell ref="N46:P46"/>
    <mergeCell ref="Q46:S46"/>
    <mergeCell ref="T46:V46"/>
    <mergeCell ref="W46:Y46"/>
    <mergeCell ref="Z46:AB46"/>
    <mergeCell ref="AY41:BB41"/>
    <mergeCell ref="K42:M42"/>
    <mergeCell ref="N42:P42"/>
    <mergeCell ref="Q42:S42"/>
    <mergeCell ref="T42:V42"/>
    <mergeCell ref="W42:Y42"/>
    <mergeCell ref="AR42:AT42"/>
    <mergeCell ref="AU42:AX42"/>
    <mergeCell ref="AY42:BB42"/>
    <mergeCell ref="AO42:AQ42"/>
    <mergeCell ref="Z42:AB42"/>
    <mergeCell ref="AC42:AE42"/>
    <mergeCell ref="AF42:AH42"/>
    <mergeCell ref="AI42:AK42"/>
    <mergeCell ref="AL42:AN42"/>
    <mergeCell ref="AF46:AH46"/>
    <mergeCell ref="AI46:AK46"/>
    <mergeCell ref="AL46:AN46"/>
    <mergeCell ref="AC44:AE44"/>
    <mergeCell ref="AL41:AN41"/>
    <mergeCell ref="AO41:AQ41"/>
    <mergeCell ref="AR41:AT41"/>
    <mergeCell ref="AU41:AX41"/>
    <mergeCell ref="AF41:AH41"/>
    <mergeCell ref="AI41:AK41"/>
    <mergeCell ref="AR43:AT43"/>
    <mergeCell ref="AU43:AX43"/>
    <mergeCell ref="AO45:AQ45"/>
    <mergeCell ref="AR45:AT45"/>
    <mergeCell ref="AU45:AX45"/>
    <mergeCell ref="AL40:AN40"/>
    <mergeCell ref="AO40:AQ40"/>
    <mergeCell ref="K41:M41"/>
    <mergeCell ref="N41:P41"/>
    <mergeCell ref="Q41:S41"/>
    <mergeCell ref="T41:V41"/>
    <mergeCell ref="W41:Y41"/>
    <mergeCell ref="Z41:AB41"/>
    <mergeCell ref="AC41:AE41"/>
    <mergeCell ref="Z40:AB40"/>
    <mergeCell ref="AC40:AE40"/>
    <mergeCell ref="K40:M40"/>
    <mergeCell ref="F12:L12"/>
    <mergeCell ref="N40:P40"/>
    <mergeCell ref="Q40:S40"/>
    <mergeCell ref="T40:V40"/>
    <mergeCell ref="W40:Y40"/>
    <mergeCell ref="AL39:AN39"/>
    <mergeCell ref="AO39:AQ39"/>
    <mergeCell ref="AY40:BB40"/>
    <mergeCell ref="Z39:AB39"/>
    <mergeCell ref="AC39:AE39"/>
    <mergeCell ref="AF39:AH39"/>
    <mergeCell ref="AI39:AK39"/>
    <mergeCell ref="K39:M39"/>
    <mergeCell ref="N39:P39"/>
    <mergeCell ref="Q39:S39"/>
    <mergeCell ref="T39:V39"/>
    <mergeCell ref="W39:Y39"/>
    <mergeCell ref="AR39:AT39"/>
    <mergeCell ref="AU39:AX39"/>
    <mergeCell ref="AY39:BB39"/>
    <mergeCell ref="AR40:AT40"/>
    <mergeCell ref="AU40:AX40"/>
    <mergeCell ref="AF40:AH40"/>
    <mergeCell ref="AI40:AK40"/>
  </mergeCells>
  <phoneticPr fontId="1" type="noConversion"/>
  <pageMargins left="0.25" right="0.25" top="0.75" bottom="0.75" header="0.3" footer="0.3"/>
  <pageSetup paperSize="9"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4F36-C174-47CC-B49E-645B7FB84C7D}">
  <dimension ref="B1:BL54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2" t="s">
        <v>144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</row>
    <row r="3" spans="2:64" ht="5.25" customHeight="1" x14ac:dyDescent="0.3"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2:64" ht="15" customHeight="1" x14ac:dyDescent="0.3">
      <c r="B4" s="21"/>
      <c r="D4" s="5" t="s">
        <v>1941</v>
      </c>
      <c r="E4" s="43"/>
      <c r="F4" s="43"/>
      <c r="H4" s="43"/>
    </row>
    <row r="5" spans="2:64" ht="15" customHeight="1" x14ac:dyDescent="0.3">
      <c r="D5" s="20" t="s">
        <v>1942</v>
      </c>
      <c r="E5" s="20"/>
      <c r="F5" s="43"/>
      <c r="G5" s="43"/>
      <c r="H5" s="43"/>
      <c r="I5" s="43"/>
      <c r="J5" s="43"/>
      <c r="K5" s="43"/>
      <c r="L5" s="43"/>
      <c r="M5" s="43"/>
      <c r="N5" s="43"/>
    </row>
    <row r="6" spans="2:64" ht="15" customHeight="1" x14ac:dyDescent="0.3">
      <c r="D6" s="15" t="s">
        <v>145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</row>
    <row r="7" spans="2:64" ht="15" customHeigh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BG7" s="24" t="s">
        <v>42</v>
      </c>
      <c r="BH7" s="24" t="s">
        <v>135</v>
      </c>
      <c r="BI7" s="24" t="s">
        <v>136</v>
      </c>
      <c r="BJ7" s="24" t="s">
        <v>137</v>
      </c>
      <c r="BK7" s="24" t="s">
        <v>124</v>
      </c>
      <c r="BL7" s="24" t="s">
        <v>138</v>
      </c>
    </row>
    <row r="8" spans="2:64" ht="15" customHeight="1" x14ac:dyDescent="0.3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BG8" s="24" t="s">
        <v>43</v>
      </c>
      <c r="BH8" s="73" t="s">
        <v>2508</v>
      </c>
      <c r="BI8" s="73" t="s">
        <v>2509</v>
      </c>
      <c r="BJ8" s="73" t="s">
        <v>2510</v>
      </c>
      <c r="BK8" s="24" t="s">
        <v>155</v>
      </c>
      <c r="BL8" s="24" t="s">
        <v>156</v>
      </c>
    </row>
    <row r="9" spans="2:64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44</v>
      </c>
      <c r="BH9" s="73" t="s">
        <v>2511</v>
      </c>
      <c r="BI9" s="73" t="s">
        <v>2512</v>
      </c>
      <c r="BJ9" s="73" t="s">
        <v>2513</v>
      </c>
      <c r="BK9" s="24" t="s">
        <v>157</v>
      </c>
      <c r="BL9" s="24" t="s">
        <v>158</v>
      </c>
    </row>
    <row r="10" spans="2:64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45</v>
      </c>
      <c r="BH10" s="73" t="s">
        <v>2514</v>
      </c>
      <c r="BI10" s="73" t="s">
        <v>2515</v>
      </c>
      <c r="BJ10" s="73" t="s">
        <v>2516</v>
      </c>
      <c r="BK10" s="24" t="s">
        <v>159</v>
      </c>
      <c r="BL10" s="24" t="s">
        <v>160</v>
      </c>
    </row>
    <row r="11" spans="2:64" ht="15" customHeight="1" x14ac:dyDescent="0.3">
      <c r="B11" s="43"/>
      <c r="C11" s="43"/>
      <c r="D11" s="43"/>
      <c r="E11" s="43"/>
      <c r="F11" s="43"/>
      <c r="G11" s="43"/>
      <c r="H11" s="43"/>
      <c r="I11" s="74" t="s">
        <v>94</v>
      </c>
      <c r="J11" s="43"/>
      <c r="K11" s="43"/>
      <c r="L11" s="43"/>
      <c r="M11" s="43"/>
      <c r="N11" s="43"/>
      <c r="BG11" s="24" t="s">
        <v>46</v>
      </c>
      <c r="BH11" s="73" t="s">
        <v>2517</v>
      </c>
      <c r="BI11" s="73" t="s">
        <v>2518</v>
      </c>
      <c r="BJ11" s="73" t="s">
        <v>2519</v>
      </c>
      <c r="BK11" s="24" t="s">
        <v>161</v>
      </c>
      <c r="BL11" s="24" t="s">
        <v>162</v>
      </c>
    </row>
    <row r="12" spans="2:64" ht="15" customHeight="1" x14ac:dyDescent="0.3">
      <c r="B12" s="43"/>
      <c r="C12" s="43"/>
      <c r="D12" s="43"/>
      <c r="E12" s="43"/>
      <c r="F12" s="164" t="s">
        <v>229</v>
      </c>
      <c r="G12" s="164"/>
      <c r="H12" s="164"/>
      <c r="I12" s="164"/>
      <c r="J12" s="164"/>
      <c r="K12" s="164"/>
      <c r="L12" s="164"/>
      <c r="M12" s="43"/>
      <c r="N12" s="43"/>
      <c r="BG12" s="24" t="s">
        <v>47</v>
      </c>
      <c r="BH12" s="73" t="s">
        <v>2520</v>
      </c>
      <c r="BI12" s="73" t="s">
        <v>2521</v>
      </c>
      <c r="BJ12" s="73" t="s">
        <v>2522</v>
      </c>
      <c r="BK12" s="24" t="s">
        <v>164</v>
      </c>
      <c r="BL12" s="24" t="s">
        <v>165</v>
      </c>
    </row>
    <row r="13" spans="2:64" ht="1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BG13" s="24" t="s">
        <v>48</v>
      </c>
      <c r="BH13" s="73" t="s">
        <v>2523</v>
      </c>
      <c r="BI13" s="73" t="s">
        <v>2524</v>
      </c>
      <c r="BJ13" s="73" t="s">
        <v>2525</v>
      </c>
      <c r="BK13" s="24" t="s">
        <v>166</v>
      </c>
      <c r="BL13" s="24" t="s">
        <v>167</v>
      </c>
    </row>
    <row r="14" spans="2:64" ht="15" customHeight="1" x14ac:dyDescent="0.3">
      <c r="BG14" s="24" t="s">
        <v>49</v>
      </c>
      <c r="BH14" s="73" t="s">
        <v>2526</v>
      </c>
      <c r="BI14" s="73" t="s">
        <v>2527</v>
      </c>
      <c r="BJ14" s="73" t="s">
        <v>2528</v>
      </c>
      <c r="BK14" s="24" t="s">
        <v>168</v>
      </c>
      <c r="BL14" s="24" t="s">
        <v>169</v>
      </c>
    </row>
    <row r="15" spans="2:64" ht="15" customHeight="1" x14ac:dyDescent="0.3">
      <c r="BG15" s="24" t="s">
        <v>50</v>
      </c>
      <c r="BH15" s="73" t="s">
        <v>2529</v>
      </c>
      <c r="BI15" s="73" t="s">
        <v>2530</v>
      </c>
      <c r="BJ15" s="73" t="s">
        <v>2531</v>
      </c>
      <c r="BK15" s="24" t="s">
        <v>170</v>
      </c>
      <c r="BL15" s="24" t="s">
        <v>171</v>
      </c>
    </row>
    <row r="16" spans="2:64" ht="15" customHeight="1" x14ac:dyDescent="0.3">
      <c r="BG16" s="24" t="s">
        <v>51</v>
      </c>
      <c r="BH16" s="73" t="s">
        <v>2532</v>
      </c>
      <c r="BI16" s="73" t="s">
        <v>2533</v>
      </c>
      <c r="BJ16" s="73" t="s">
        <v>2534</v>
      </c>
      <c r="BK16" s="24" t="s">
        <v>172</v>
      </c>
      <c r="BL16" s="24" t="s">
        <v>173</v>
      </c>
    </row>
    <row r="17" spans="4:64" ht="15" customHeight="1" x14ac:dyDescent="0.3">
      <c r="BG17" s="24" t="s">
        <v>52</v>
      </c>
      <c r="BH17" s="73" t="s">
        <v>2535</v>
      </c>
      <c r="BI17" s="73" t="s">
        <v>2536</v>
      </c>
      <c r="BJ17" s="73" t="s">
        <v>2537</v>
      </c>
      <c r="BK17" s="24" t="s">
        <v>174</v>
      </c>
      <c r="BL17" s="24" t="s">
        <v>175</v>
      </c>
    </row>
    <row r="18" spans="4:64" ht="15" customHeight="1" x14ac:dyDescent="0.3">
      <c r="BG18" s="24" t="s">
        <v>53</v>
      </c>
      <c r="BH18" s="73" t="s">
        <v>2538</v>
      </c>
      <c r="BI18" s="73" t="s">
        <v>2539</v>
      </c>
      <c r="BJ18" s="73" t="s">
        <v>2540</v>
      </c>
      <c r="BK18" s="24" t="s">
        <v>176</v>
      </c>
      <c r="BL18" s="24" t="s">
        <v>177</v>
      </c>
    </row>
    <row r="19" spans="4:64" ht="15" customHeight="1" x14ac:dyDescent="0.3">
      <c r="D19" s="15" t="s">
        <v>39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G19" s="24" t="s">
        <v>54</v>
      </c>
      <c r="BH19" s="73" t="s">
        <v>2541</v>
      </c>
      <c r="BI19" s="73" t="s">
        <v>2542</v>
      </c>
      <c r="BJ19" s="73" t="s">
        <v>2543</v>
      </c>
      <c r="BK19" s="24" t="s">
        <v>178</v>
      </c>
      <c r="BL19" s="24" t="s">
        <v>179</v>
      </c>
    </row>
    <row r="20" spans="4:64" ht="15" customHeight="1" x14ac:dyDescent="0.3">
      <c r="BG20" s="24" t="s">
        <v>139</v>
      </c>
      <c r="BH20" s="73" t="s">
        <v>2544</v>
      </c>
      <c r="BI20" s="73" t="s">
        <v>2545</v>
      </c>
      <c r="BJ20" s="73" t="s">
        <v>2546</v>
      </c>
      <c r="BK20" s="24" t="s">
        <v>163</v>
      </c>
      <c r="BL20" s="24" t="s">
        <v>180</v>
      </c>
    </row>
    <row r="25" spans="4:64" ht="15" customHeight="1" x14ac:dyDescent="0.3">
      <c r="G25" s="65"/>
    </row>
    <row r="26" spans="4:64" ht="15" customHeight="1" x14ac:dyDescent="0.3">
      <c r="T26" s="65"/>
    </row>
    <row r="34" spans="4:56" ht="15" customHeight="1" x14ac:dyDescent="0.3">
      <c r="D34" s="5" t="s">
        <v>1943</v>
      </c>
      <c r="K34" s="43"/>
    </row>
    <row r="36" spans="4:56" ht="15" customHeight="1" x14ac:dyDescent="0.3">
      <c r="D36" s="15" t="s">
        <v>123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</row>
    <row r="37" spans="4:56" ht="5.0999999999999996" customHeight="1" x14ac:dyDescent="0.3"/>
    <row r="38" spans="4:56" ht="15" customHeight="1" x14ac:dyDescent="0.3">
      <c r="D38" s="28" t="s">
        <v>40</v>
      </c>
      <c r="E38" s="28"/>
      <c r="F38" s="28"/>
      <c r="G38" s="28"/>
      <c r="H38" s="28"/>
      <c r="I38" s="28"/>
      <c r="J38" s="28"/>
      <c r="K38" s="29" t="s">
        <v>12</v>
      </c>
      <c r="L38" s="30"/>
      <c r="M38" s="32"/>
      <c r="N38" s="33" t="s">
        <v>13</v>
      </c>
      <c r="O38" s="30"/>
      <c r="P38" s="32"/>
      <c r="Q38" s="33" t="s">
        <v>14</v>
      </c>
      <c r="R38" s="30"/>
      <c r="S38" s="32"/>
      <c r="T38" s="33" t="s">
        <v>15</v>
      </c>
      <c r="U38" s="30"/>
      <c r="V38" s="32"/>
      <c r="W38" s="33" t="s">
        <v>16</v>
      </c>
      <c r="X38" s="30"/>
      <c r="Y38" s="32"/>
      <c r="Z38" s="33" t="s">
        <v>17</v>
      </c>
      <c r="AA38" s="30"/>
      <c r="AB38" s="32"/>
      <c r="AC38" s="33" t="s">
        <v>18</v>
      </c>
      <c r="AD38" s="30"/>
      <c r="AE38" s="32"/>
      <c r="AF38" s="33" t="s">
        <v>19</v>
      </c>
      <c r="AG38" s="30"/>
      <c r="AH38" s="32"/>
      <c r="AI38" s="33" t="s">
        <v>20</v>
      </c>
      <c r="AJ38" s="30"/>
      <c r="AK38" s="32"/>
      <c r="AL38" s="33" t="s">
        <v>21</v>
      </c>
      <c r="AM38" s="30"/>
      <c r="AN38" s="32"/>
      <c r="AO38" s="33" t="s">
        <v>22</v>
      </c>
      <c r="AP38" s="30"/>
      <c r="AQ38" s="32"/>
      <c r="AR38" s="33" t="s">
        <v>23</v>
      </c>
      <c r="AS38" s="30"/>
      <c r="AT38" s="30"/>
      <c r="AU38" s="29" t="s">
        <v>41</v>
      </c>
      <c r="AV38" s="30"/>
      <c r="AW38" s="30"/>
      <c r="AX38" s="31"/>
      <c r="AY38" s="29" t="s">
        <v>59</v>
      </c>
      <c r="AZ38" s="30"/>
      <c r="BA38" s="30"/>
      <c r="BB38" s="30"/>
    </row>
    <row r="39" spans="4:56" ht="15" customHeight="1" x14ac:dyDescent="0.3">
      <c r="D39" s="16" t="s">
        <v>94</v>
      </c>
      <c r="E39" s="16"/>
      <c r="F39" s="16"/>
      <c r="G39" s="16"/>
      <c r="H39" s="16"/>
      <c r="I39" s="16"/>
      <c r="J39" s="17"/>
      <c r="K39" s="184" t="s">
        <v>155</v>
      </c>
      <c r="L39" s="183"/>
      <c r="M39" s="183"/>
      <c r="N39" s="183" t="s">
        <v>157</v>
      </c>
      <c r="O39" s="183"/>
      <c r="P39" s="183"/>
      <c r="Q39" s="183" t="s">
        <v>159</v>
      </c>
      <c r="R39" s="183"/>
      <c r="S39" s="183"/>
      <c r="T39" s="183" t="s">
        <v>161</v>
      </c>
      <c r="U39" s="183"/>
      <c r="V39" s="183"/>
      <c r="W39" s="183" t="s">
        <v>164</v>
      </c>
      <c r="X39" s="183"/>
      <c r="Y39" s="183"/>
      <c r="Z39" s="183" t="s">
        <v>166</v>
      </c>
      <c r="AA39" s="183"/>
      <c r="AB39" s="183"/>
      <c r="AC39" s="183" t="s">
        <v>168</v>
      </c>
      <c r="AD39" s="183"/>
      <c r="AE39" s="183"/>
      <c r="AF39" s="183" t="s">
        <v>170</v>
      </c>
      <c r="AG39" s="183"/>
      <c r="AH39" s="183"/>
      <c r="AI39" s="183" t="s">
        <v>172</v>
      </c>
      <c r="AJ39" s="183"/>
      <c r="AK39" s="183"/>
      <c r="AL39" s="183" t="s">
        <v>174</v>
      </c>
      <c r="AM39" s="183"/>
      <c r="AN39" s="183"/>
      <c r="AO39" s="183" t="s">
        <v>176</v>
      </c>
      <c r="AP39" s="183"/>
      <c r="AQ39" s="183"/>
      <c r="AR39" s="183" t="s">
        <v>178</v>
      </c>
      <c r="AS39" s="183"/>
      <c r="AT39" s="185"/>
      <c r="AU39" s="184" t="s">
        <v>163</v>
      </c>
      <c r="AV39" s="183"/>
      <c r="AW39" s="183"/>
      <c r="AX39" s="186"/>
      <c r="AY39" s="187" t="s">
        <v>2466</v>
      </c>
      <c r="AZ39" s="188"/>
      <c r="BA39" s="188"/>
      <c r="BB39" s="188"/>
    </row>
    <row r="40" spans="4:56" ht="15" customHeight="1" x14ac:dyDescent="0.3">
      <c r="D40" s="26" t="s">
        <v>147</v>
      </c>
      <c r="E40" s="22"/>
      <c r="F40" s="10"/>
      <c r="G40" s="10"/>
      <c r="H40" s="10"/>
      <c r="I40" s="10"/>
      <c r="J40" s="12"/>
      <c r="K40" s="181" t="s">
        <v>1950</v>
      </c>
      <c r="L40" s="148"/>
      <c r="M40" s="149"/>
      <c r="N40" s="147" t="s">
        <v>1951</v>
      </c>
      <c r="O40" s="148"/>
      <c r="P40" s="149"/>
      <c r="Q40" s="147" t="s">
        <v>1952</v>
      </c>
      <c r="R40" s="148"/>
      <c r="S40" s="149"/>
      <c r="T40" s="147" t="s">
        <v>1953</v>
      </c>
      <c r="U40" s="148"/>
      <c r="V40" s="149"/>
      <c r="W40" s="147" t="s">
        <v>1954</v>
      </c>
      <c r="X40" s="148"/>
      <c r="Y40" s="149"/>
      <c r="Z40" s="147" t="s">
        <v>1955</v>
      </c>
      <c r="AA40" s="148"/>
      <c r="AB40" s="149"/>
      <c r="AC40" s="147" t="s">
        <v>1956</v>
      </c>
      <c r="AD40" s="148"/>
      <c r="AE40" s="149"/>
      <c r="AF40" s="147" t="s">
        <v>1957</v>
      </c>
      <c r="AG40" s="148"/>
      <c r="AH40" s="149"/>
      <c r="AI40" s="147" t="s">
        <v>1958</v>
      </c>
      <c r="AJ40" s="148"/>
      <c r="AK40" s="149"/>
      <c r="AL40" s="147" t="s">
        <v>1959</v>
      </c>
      <c r="AM40" s="148"/>
      <c r="AN40" s="149"/>
      <c r="AO40" s="147" t="s">
        <v>1960</v>
      </c>
      <c r="AP40" s="148"/>
      <c r="AQ40" s="149"/>
      <c r="AR40" s="147" t="s">
        <v>1961</v>
      </c>
      <c r="AS40" s="148"/>
      <c r="AT40" s="189"/>
      <c r="AU40" s="181" t="s">
        <v>1962</v>
      </c>
      <c r="AV40" s="148"/>
      <c r="AW40" s="148"/>
      <c r="AX40" s="189"/>
      <c r="AY40" s="181" t="s">
        <v>1963</v>
      </c>
      <c r="AZ40" s="148"/>
      <c r="BA40" s="148"/>
      <c r="BB40" s="148"/>
    </row>
    <row r="41" spans="4:56" ht="15" customHeight="1" x14ac:dyDescent="0.3">
      <c r="D41" s="26" t="s">
        <v>149</v>
      </c>
      <c r="E41" s="22"/>
      <c r="F41" s="10"/>
      <c r="G41" s="10"/>
      <c r="H41" s="10"/>
      <c r="I41" s="10"/>
      <c r="J41" s="12"/>
      <c r="K41" s="181" t="s">
        <v>1964</v>
      </c>
      <c r="L41" s="148"/>
      <c r="M41" s="149"/>
      <c r="N41" s="147" t="s">
        <v>1965</v>
      </c>
      <c r="O41" s="148"/>
      <c r="P41" s="149"/>
      <c r="Q41" s="147" t="s">
        <v>1966</v>
      </c>
      <c r="R41" s="148"/>
      <c r="S41" s="149"/>
      <c r="T41" s="147" t="s">
        <v>1967</v>
      </c>
      <c r="U41" s="148"/>
      <c r="V41" s="149"/>
      <c r="W41" s="147" t="s">
        <v>1968</v>
      </c>
      <c r="X41" s="148"/>
      <c r="Y41" s="149"/>
      <c r="Z41" s="147" t="s">
        <v>1969</v>
      </c>
      <c r="AA41" s="148"/>
      <c r="AB41" s="149"/>
      <c r="AC41" s="147" t="s">
        <v>1970</v>
      </c>
      <c r="AD41" s="148"/>
      <c r="AE41" s="149"/>
      <c r="AF41" s="147" t="s">
        <v>1971</v>
      </c>
      <c r="AG41" s="148"/>
      <c r="AH41" s="149"/>
      <c r="AI41" s="147" t="s">
        <v>1972</v>
      </c>
      <c r="AJ41" s="148"/>
      <c r="AK41" s="149"/>
      <c r="AL41" s="147" t="s">
        <v>1973</v>
      </c>
      <c r="AM41" s="148"/>
      <c r="AN41" s="149"/>
      <c r="AO41" s="147" t="s">
        <v>1974</v>
      </c>
      <c r="AP41" s="148"/>
      <c r="AQ41" s="149"/>
      <c r="AR41" s="147" t="s">
        <v>1975</v>
      </c>
      <c r="AS41" s="148"/>
      <c r="AT41" s="189"/>
      <c r="AU41" s="181" t="s">
        <v>1976</v>
      </c>
      <c r="AV41" s="148"/>
      <c r="AW41" s="148"/>
      <c r="AX41" s="189"/>
      <c r="AY41" s="181" t="s">
        <v>1977</v>
      </c>
      <c r="AZ41" s="148"/>
      <c r="BA41" s="148"/>
      <c r="BB41" s="148"/>
    </row>
    <row r="42" spans="4:56" ht="15" customHeight="1" x14ac:dyDescent="0.3">
      <c r="D42" s="26" t="s">
        <v>151</v>
      </c>
      <c r="E42" s="22"/>
      <c r="F42" s="10"/>
      <c r="G42" s="10"/>
      <c r="H42" s="10"/>
      <c r="I42" s="10"/>
      <c r="J42" s="12"/>
      <c r="K42" s="181" t="s">
        <v>1978</v>
      </c>
      <c r="L42" s="148"/>
      <c r="M42" s="149"/>
      <c r="N42" s="147" t="s">
        <v>1979</v>
      </c>
      <c r="O42" s="148"/>
      <c r="P42" s="149"/>
      <c r="Q42" s="147" t="s">
        <v>1980</v>
      </c>
      <c r="R42" s="148"/>
      <c r="S42" s="149"/>
      <c r="T42" s="147" t="s">
        <v>1981</v>
      </c>
      <c r="U42" s="148"/>
      <c r="V42" s="149"/>
      <c r="W42" s="147" t="s">
        <v>1982</v>
      </c>
      <c r="X42" s="148"/>
      <c r="Y42" s="149"/>
      <c r="Z42" s="147" t="s">
        <v>1983</v>
      </c>
      <c r="AA42" s="148"/>
      <c r="AB42" s="149"/>
      <c r="AC42" s="147" t="s">
        <v>1984</v>
      </c>
      <c r="AD42" s="148"/>
      <c r="AE42" s="149"/>
      <c r="AF42" s="147" t="s">
        <v>1985</v>
      </c>
      <c r="AG42" s="148"/>
      <c r="AH42" s="149"/>
      <c r="AI42" s="147" t="s">
        <v>1986</v>
      </c>
      <c r="AJ42" s="148"/>
      <c r="AK42" s="149"/>
      <c r="AL42" s="147" t="s">
        <v>1987</v>
      </c>
      <c r="AM42" s="148"/>
      <c r="AN42" s="149"/>
      <c r="AO42" s="147" t="s">
        <v>1988</v>
      </c>
      <c r="AP42" s="148"/>
      <c r="AQ42" s="149"/>
      <c r="AR42" s="147" t="s">
        <v>1989</v>
      </c>
      <c r="AS42" s="148"/>
      <c r="AT42" s="189"/>
      <c r="AU42" s="181" t="s">
        <v>1990</v>
      </c>
      <c r="AV42" s="148"/>
      <c r="AW42" s="148"/>
      <c r="AX42" s="189"/>
      <c r="AY42" s="181" t="s">
        <v>1991</v>
      </c>
      <c r="AZ42" s="148"/>
      <c r="BA42" s="148"/>
      <c r="BB42" s="148"/>
    </row>
    <row r="43" spans="4:56" ht="15" customHeight="1" x14ac:dyDescent="0.3">
      <c r="D43" s="26" t="s">
        <v>153</v>
      </c>
      <c r="E43" s="22"/>
      <c r="F43" s="10"/>
      <c r="G43" s="10"/>
      <c r="H43" s="10"/>
      <c r="I43" s="10"/>
      <c r="J43" s="12"/>
      <c r="K43" s="181" t="s">
        <v>1992</v>
      </c>
      <c r="L43" s="148"/>
      <c r="M43" s="149"/>
      <c r="N43" s="147" t="s">
        <v>1993</v>
      </c>
      <c r="O43" s="148"/>
      <c r="P43" s="149"/>
      <c r="Q43" s="147" t="s">
        <v>1994</v>
      </c>
      <c r="R43" s="148"/>
      <c r="S43" s="149"/>
      <c r="T43" s="147" t="s">
        <v>1995</v>
      </c>
      <c r="U43" s="148"/>
      <c r="V43" s="149"/>
      <c r="W43" s="147" t="s">
        <v>1996</v>
      </c>
      <c r="X43" s="148"/>
      <c r="Y43" s="149"/>
      <c r="Z43" s="147" t="s">
        <v>1997</v>
      </c>
      <c r="AA43" s="148"/>
      <c r="AB43" s="149"/>
      <c r="AC43" s="147" t="s">
        <v>1998</v>
      </c>
      <c r="AD43" s="148"/>
      <c r="AE43" s="149"/>
      <c r="AF43" s="147" t="s">
        <v>1999</v>
      </c>
      <c r="AG43" s="148"/>
      <c r="AH43" s="149"/>
      <c r="AI43" s="147" t="s">
        <v>2000</v>
      </c>
      <c r="AJ43" s="148"/>
      <c r="AK43" s="149"/>
      <c r="AL43" s="147" t="s">
        <v>2001</v>
      </c>
      <c r="AM43" s="148"/>
      <c r="AN43" s="149"/>
      <c r="AO43" s="147" t="s">
        <v>2002</v>
      </c>
      <c r="AP43" s="148"/>
      <c r="AQ43" s="149"/>
      <c r="AR43" s="147" t="s">
        <v>2003</v>
      </c>
      <c r="AS43" s="148"/>
      <c r="AT43" s="189"/>
      <c r="AU43" s="181" t="s">
        <v>2004</v>
      </c>
      <c r="AV43" s="148"/>
      <c r="AW43" s="148"/>
      <c r="AX43" s="189"/>
      <c r="AY43" s="181" t="s">
        <v>2005</v>
      </c>
      <c r="AZ43" s="148"/>
      <c r="BA43" s="148"/>
      <c r="BB43" s="148"/>
    </row>
    <row r="44" spans="4:56" ht="15" customHeight="1" x14ac:dyDescent="0.3">
      <c r="D44" s="27" t="s">
        <v>154</v>
      </c>
      <c r="E44" s="23"/>
      <c r="F44" s="11"/>
      <c r="G44" s="11"/>
      <c r="H44" s="11"/>
      <c r="I44" s="11"/>
      <c r="J44" s="13"/>
      <c r="K44" s="182" t="s">
        <v>2006</v>
      </c>
      <c r="L44" s="151"/>
      <c r="M44" s="152"/>
      <c r="N44" s="150" t="s">
        <v>2007</v>
      </c>
      <c r="O44" s="151"/>
      <c r="P44" s="152"/>
      <c r="Q44" s="150" t="s">
        <v>2008</v>
      </c>
      <c r="R44" s="151"/>
      <c r="S44" s="152"/>
      <c r="T44" s="150" t="s">
        <v>2009</v>
      </c>
      <c r="U44" s="151"/>
      <c r="V44" s="152"/>
      <c r="W44" s="150" t="s">
        <v>2010</v>
      </c>
      <c r="X44" s="151"/>
      <c r="Y44" s="152"/>
      <c r="Z44" s="150" t="s">
        <v>2011</v>
      </c>
      <c r="AA44" s="151"/>
      <c r="AB44" s="152"/>
      <c r="AC44" s="150" t="s">
        <v>2012</v>
      </c>
      <c r="AD44" s="151"/>
      <c r="AE44" s="152"/>
      <c r="AF44" s="150" t="s">
        <v>2013</v>
      </c>
      <c r="AG44" s="151"/>
      <c r="AH44" s="152"/>
      <c r="AI44" s="150" t="s">
        <v>2014</v>
      </c>
      <c r="AJ44" s="151"/>
      <c r="AK44" s="152"/>
      <c r="AL44" s="150" t="s">
        <v>2015</v>
      </c>
      <c r="AM44" s="151"/>
      <c r="AN44" s="152"/>
      <c r="AO44" s="150" t="s">
        <v>2016</v>
      </c>
      <c r="AP44" s="151"/>
      <c r="AQ44" s="152"/>
      <c r="AR44" s="150" t="s">
        <v>2017</v>
      </c>
      <c r="AS44" s="151"/>
      <c r="AT44" s="193"/>
      <c r="AU44" s="182" t="s">
        <v>2018</v>
      </c>
      <c r="AV44" s="151"/>
      <c r="AW44" s="151"/>
      <c r="AX44" s="193"/>
      <c r="AY44" s="182" t="s">
        <v>2019</v>
      </c>
      <c r="AZ44" s="151"/>
      <c r="BA44" s="151"/>
      <c r="BB44" s="151"/>
    </row>
    <row r="46" spans="4:56" ht="15" customHeight="1" x14ac:dyDescent="0.3">
      <c r="D46" s="15" t="s">
        <v>133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</row>
    <row r="47" spans="4:56" ht="5.0999999999999996" customHeight="1" x14ac:dyDescent="0.3"/>
    <row r="48" spans="4:56" ht="15" customHeight="1" x14ac:dyDescent="0.3">
      <c r="D48" s="28" t="s">
        <v>134</v>
      </c>
      <c r="E48" s="28"/>
      <c r="F48" s="28"/>
      <c r="G48" s="28"/>
      <c r="H48" s="28"/>
      <c r="I48" s="28"/>
      <c r="J48" s="28"/>
      <c r="K48" s="29" t="s">
        <v>12</v>
      </c>
      <c r="L48" s="30"/>
      <c r="M48" s="32"/>
      <c r="N48" s="33" t="s">
        <v>13</v>
      </c>
      <c r="O48" s="30"/>
      <c r="P48" s="32"/>
      <c r="Q48" s="33" t="s">
        <v>14</v>
      </c>
      <c r="R48" s="30"/>
      <c r="S48" s="32"/>
      <c r="T48" s="33" t="s">
        <v>15</v>
      </c>
      <c r="U48" s="30"/>
      <c r="V48" s="32"/>
      <c r="W48" s="33" t="s">
        <v>16</v>
      </c>
      <c r="X48" s="30"/>
      <c r="Y48" s="32"/>
      <c r="Z48" s="33" t="s">
        <v>17</v>
      </c>
      <c r="AA48" s="30"/>
      <c r="AB48" s="32"/>
      <c r="AC48" s="33" t="s">
        <v>18</v>
      </c>
      <c r="AD48" s="30"/>
      <c r="AE48" s="32"/>
      <c r="AF48" s="33" t="s">
        <v>19</v>
      </c>
      <c r="AG48" s="30"/>
      <c r="AH48" s="32"/>
      <c r="AI48" s="33" t="s">
        <v>20</v>
      </c>
      <c r="AJ48" s="30"/>
      <c r="AK48" s="32"/>
      <c r="AL48" s="33" t="s">
        <v>21</v>
      </c>
      <c r="AM48" s="30"/>
      <c r="AN48" s="32"/>
      <c r="AO48" s="33" t="s">
        <v>22</v>
      </c>
      <c r="AP48" s="30"/>
      <c r="AQ48" s="32"/>
      <c r="AR48" s="33" t="s">
        <v>23</v>
      </c>
      <c r="AS48" s="30"/>
      <c r="AT48" s="30"/>
      <c r="AU48" s="29" t="s">
        <v>41</v>
      </c>
      <c r="AV48" s="30"/>
      <c r="AW48" s="30"/>
      <c r="AX48" s="31"/>
      <c r="AY48" s="29" t="s">
        <v>59</v>
      </c>
      <c r="AZ48" s="30"/>
      <c r="BA48" s="30"/>
      <c r="BB48" s="30"/>
    </row>
    <row r="49" spans="4:54" ht="15" customHeight="1" x14ac:dyDescent="0.3">
      <c r="D49" s="16" t="s">
        <v>94</v>
      </c>
      <c r="E49" s="16"/>
      <c r="F49" s="16"/>
      <c r="G49" s="16"/>
      <c r="H49" s="16"/>
      <c r="I49" s="16"/>
      <c r="J49" s="17"/>
      <c r="K49" s="192">
        <f>IF(K50="", "", 100)</f>
        <v>100</v>
      </c>
      <c r="L49" s="159"/>
      <c r="M49" s="191"/>
      <c r="N49" s="190">
        <f t="shared" ref="N49" si="0">IF(N50="", "", 100)</f>
        <v>100</v>
      </c>
      <c r="O49" s="159"/>
      <c r="P49" s="191"/>
      <c r="Q49" s="190">
        <f t="shared" ref="Q49" si="1">IF(Q50="", "", 100)</f>
        <v>100</v>
      </c>
      <c r="R49" s="159"/>
      <c r="S49" s="191"/>
      <c r="T49" s="190">
        <f t="shared" ref="T49" si="2">IF(T50="", "", 100)</f>
        <v>100</v>
      </c>
      <c r="U49" s="159"/>
      <c r="V49" s="191"/>
      <c r="W49" s="190">
        <f t="shared" ref="W49" si="3">IF(W50="", "", 100)</f>
        <v>100</v>
      </c>
      <c r="X49" s="159"/>
      <c r="Y49" s="191"/>
      <c r="Z49" s="190">
        <f t="shared" ref="Z49" si="4">IF(Z50="", "", 100)</f>
        <v>100</v>
      </c>
      <c r="AA49" s="159"/>
      <c r="AB49" s="191"/>
      <c r="AC49" s="190">
        <f t="shared" ref="AC49" si="5">IF(AC50="", "", 100)</f>
        <v>100</v>
      </c>
      <c r="AD49" s="159"/>
      <c r="AE49" s="191"/>
      <c r="AF49" s="190">
        <f t="shared" ref="AF49" si="6">IF(AF50="", "", 100)</f>
        <v>100</v>
      </c>
      <c r="AG49" s="159"/>
      <c r="AH49" s="191"/>
      <c r="AI49" s="190">
        <f t="shared" ref="AI49" si="7">IF(AI50="", "", 100)</f>
        <v>100</v>
      </c>
      <c r="AJ49" s="159"/>
      <c r="AK49" s="191"/>
      <c r="AL49" s="190">
        <f t="shared" ref="AL49" si="8">IF(AL50="", "", 100)</f>
        <v>100</v>
      </c>
      <c r="AM49" s="159"/>
      <c r="AN49" s="191"/>
      <c r="AO49" s="190">
        <f t="shared" ref="AO49" si="9">IF(AO50="", "", 100)</f>
        <v>100</v>
      </c>
      <c r="AP49" s="159"/>
      <c r="AQ49" s="191"/>
      <c r="AR49" s="190">
        <f t="shared" ref="AR49" si="10">IF(AR50="", "", 100)</f>
        <v>100</v>
      </c>
      <c r="AS49" s="159"/>
      <c r="AT49" s="191"/>
      <c r="AU49" s="194">
        <v>100</v>
      </c>
      <c r="AV49" s="195"/>
      <c r="AW49" s="195"/>
      <c r="AX49" s="196"/>
      <c r="AY49" s="197" t="s">
        <v>142</v>
      </c>
      <c r="AZ49" s="198"/>
      <c r="BA49" s="198"/>
      <c r="BB49" s="198"/>
    </row>
    <row r="50" spans="4:54" ht="15" customHeight="1" x14ac:dyDescent="0.3">
      <c r="D50" s="26" t="s">
        <v>146</v>
      </c>
      <c r="E50" s="22"/>
      <c r="F50" s="10"/>
      <c r="G50" s="10"/>
      <c r="H50" s="10"/>
      <c r="I50" s="10"/>
      <c r="J50" s="12"/>
      <c r="K50" s="181" t="s">
        <v>2020</v>
      </c>
      <c r="L50" s="148"/>
      <c r="M50" s="149"/>
      <c r="N50" s="147" t="s">
        <v>2021</v>
      </c>
      <c r="O50" s="148"/>
      <c r="P50" s="149"/>
      <c r="Q50" s="147" t="s">
        <v>2022</v>
      </c>
      <c r="R50" s="148"/>
      <c r="S50" s="149"/>
      <c r="T50" s="147" t="s">
        <v>2023</v>
      </c>
      <c r="U50" s="148"/>
      <c r="V50" s="149"/>
      <c r="W50" s="147" t="s">
        <v>2024</v>
      </c>
      <c r="X50" s="148"/>
      <c r="Y50" s="149"/>
      <c r="Z50" s="147" t="s">
        <v>2025</v>
      </c>
      <c r="AA50" s="148"/>
      <c r="AB50" s="149"/>
      <c r="AC50" s="147" t="s">
        <v>2026</v>
      </c>
      <c r="AD50" s="148"/>
      <c r="AE50" s="149"/>
      <c r="AF50" s="147" t="s">
        <v>2027</v>
      </c>
      <c r="AG50" s="148"/>
      <c r="AH50" s="149"/>
      <c r="AI50" s="147" t="s">
        <v>2028</v>
      </c>
      <c r="AJ50" s="148"/>
      <c r="AK50" s="149"/>
      <c r="AL50" s="147" t="s">
        <v>2029</v>
      </c>
      <c r="AM50" s="148"/>
      <c r="AN50" s="149"/>
      <c r="AO50" s="147" t="s">
        <v>2030</v>
      </c>
      <c r="AP50" s="148"/>
      <c r="AQ50" s="149"/>
      <c r="AR50" s="147" t="s">
        <v>2031</v>
      </c>
      <c r="AS50" s="148"/>
      <c r="AT50" s="189"/>
      <c r="AU50" s="181" t="s">
        <v>2032</v>
      </c>
      <c r="AV50" s="148"/>
      <c r="AW50" s="148"/>
      <c r="AX50" s="189"/>
      <c r="AY50" s="181" t="s">
        <v>2033</v>
      </c>
      <c r="AZ50" s="148"/>
      <c r="BA50" s="148"/>
      <c r="BB50" s="148"/>
    </row>
    <row r="51" spans="4:54" ht="15" customHeight="1" x14ac:dyDescent="0.3">
      <c r="D51" s="26" t="s">
        <v>148</v>
      </c>
      <c r="E51" s="22"/>
      <c r="F51" s="10"/>
      <c r="G51" s="10"/>
      <c r="H51" s="10"/>
      <c r="I51" s="10"/>
      <c r="J51" s="12"/>
      <c r="K51" s="181" t="s">
        <v>2034</v>
      </c>
      <c r="L51" s="148"/>
      <c r="M51" s="149"/>
      <c r="N51" s="147" t="s">
        <v>2035</v>
      </c>
      <c r="O51" s="148"/>
      <c r="P51" s="149"/>
      <c r="Q51" s="147" t="s">
        <v>2036</v>
      </c>
      <c r="R51" s="148"/>
      <c r="S51" s="149"/>
      <c r="T51" s="147" t="s">
        <v>2037</v>
      </c>
      <c r="U51" s="148"/>
      <c r="V51" s="149"/>
      <c r="W51" s="147" t="s">
        <v>2038</v>
      </c>
      <c r="X51" s="148"/>
      <c r="Y51" s="149"/>
      <c r="Z51" s="147" t="s">
        <v>2039</v>
      </c>
      <c r="AA51" s="148"/>
      <c r="AB51" s="149"/>
      <c r="AC51" s="147" t="s">
        <v>2040</v>
      </c>
      <c r="AD51" s="148"/>
      <c r="AE51" s="149"/>
      <c r="AF51" s="147" t="s">
        <v>2041</v>
      </c>
      <c r="AG51" s="148"/>
      <c r="AH51" s="149"/>
      <c r="AI51" s="147" t="s">
        <v>2042</v>
      </c>
      <c r="AJ51" s="148"/>
      <c r="AK51" s="149"/>
      <c r="AL51" s="147" t="s">
        <v>2043</v>
      </c>
      <c r="AM51" s="148"/>
      <c r="AN51" s="149"/>
      <c r="AO51" s="147" t="s">
        <v>2044</v>
      </c>
      <c r="AP51" s="148"/>
      <c r="AQ51" s="149"/>
      <c r="AR51" s="147" t="s">
        <v>2045</v>
      </c>
      <c r="AS51" s="148"/>
      <c r="AT51" s="189"/>
      <c r="AU51" s="181" t="s">
        <v>2046</v>
      </c>
      <c r="AV51" s="148"/>
      <c r="AW51" s="148"/>
      <c r="AX51" s="189"/>
      <c r="AY51" s="181" t="s">
        <v>2047</v>
      </c>
      <c r="AZ51" s="148"/>
      <c r="BA51" s="148"/>
      <c r="BB51" s="148"/>
    </row>
    <row r="52" spans="4:54" ht="15" customHeight="1" x14ac:dyDescent="0.3">
      <c r="D52" s="26" t="s">
        <v>150</v>
      </c>
      <c r="E52" s="22"/>
      <c r="F52" s="10"/>
      <c r="G52" s="10"/>
      <c r="H52" s="10"/>
      <c r="I52" s="10"/>
      <c r="J52" s="12"/>
      <c r="K52" s="181" t="s">
        <v>2048</v>
      </c>
      <c r="L52" s="148"/>
      <c r="M52" s="149"/>
      <c r="N52" s="147" t="s">
        <v>2049</v>
      </c>
      <c r="O52" s="148"/>
      <c r="P52" s="149"/>
      <c r="Q52" s="147" t="s">
        <v>2050</v>
      </c>
      <c r="R52" s="148"/>
      <c r="S52" s="149"/>
      <c r="T52" s="147" t="s">
        <v>2051</v>
      </c>
      <c r="U52" s="148"/>
      <c r="V52" s="149"/>
      <c r="W52" s="147" t="s">
        <v>2052</v>
      </c>
      <c r="X52" s="148"/>
      <c r="Y52" s="149"/>
      <c r="Z52" s="147" t="s">
        <v>2053</v>
      </c>
      <c r="AA52" s="148"/>
      <c r="AB52" s="149"/>
      <c r="AC52" s="147" t="s">
        <v>2054</v>
      </c>
      <c r="AD52" s="148"/>
      <c r="AE52" s="149"/>
      <c r="AF52" s="147" t="s">
        <v>2055</v>
      </c>
      <c r="AG52" s="148"/>
      <c r="AH52" s="149"/>
      <c r="AI52" s="147" t="s">
        <v>2056</v>
      </c>
      <c r="AJ52" s="148"/>
      <c r="AK52" s="149"/>
      <c r="AL52" s="147" t="s">
        <v>2057</v>
      </c>
      <c r="AM52" s="148"/>
      <c r="AN52" s="149"/>
      <c r="AO52" s="147" t="s">
        <v>2058</v>
      </c>
      <c r="AP52" s="148"/>
      <c r="AQ52" s="149"/>
      <c r="AR52" s="147" t="s">
        <v>2059</v>
      </c>
      <c r="AS52" s="148"/>
      <c r="AT52" s="189"/>
      <c r="AU52" s="181" t="s">
        <v>2060</v>
      </c>
      <c r="AV52" s="148"/>
      <c r="AW52" s="148"/>
      <c r="AX52" s="189"/>
      <c r="AY52" s="181" t="s">
        <v>2061</v>
      </c>
      <c r="AZ52" s="148"/>
      <c r="BA52" s="148"/>
      <c r="BB52" s="148"/>
    </row>
    <row r="53" spans="4:54" ht="15" customHeight="1" x14ac:dyDescent="0.3">
      <c r="D53" s="26" t="s">
        <v>152</v>
      </c>
      <c r="E53" s="22"/>
      <c r="F53" s="10"/>
      <c r="G53" s="10"/>
      <c r="H53" s="10"/>
      <c r="I53" s="10"/>
      <c r="J53" s="12"/>
      <c r="K53" s="181" t="s">
        <v>2062</v>
      </c>
      <c r="L53" s="148"/>
      <c r="M53" s="149"/>
      <c r="N53" s="147" t="s">
        <v>2063</v>
      </c>
      <c r="O53" s="148"/>
      <c r="P53" s="149"/>
      <c r="Q53" s="147" t="s">
        <v>2064</v>
      </c>
      <c r="R53" s="148"/>
      <c r="S53" s="149"/>
      <c r="T53" s="147" t="s">
        <v>2065</v>
      </c>
      <c r="U53" s="148"/>
      <c r="V53" s="149"/>
      <c r="W53" s="147" t="s">
        <v>2066</v>
      </c>
      <c r="X53" s="148"/>
      <c r="Y53" s="149"/>
      <c r="Z53" s="147" t="s">
        <v>2067</v>
      </c>
      <c r="AA53" s="148"/>
      <c r="AB53" s="149"/>
      <c r="AC53" s="147" t="s">
        <v>2068</v>
      </c>
      <c r="AD53" s="148"/>
      <c r="AE53" s="149"/>
      <c r="AF53" s="147" t="s">
        <v>2069</v>
      </c>
      <c r="AG53" s="148"/>
      <c r="AH53" s="149"/>
      <c r="AI53" s="147" t="s">
        <v>2070</v>
      </c>
      <c r="AJ53" s="148"/>
      <c r="AK53" s="149"/>
      <c r="AL53" s="147" t="s">
        <v>2071</v>
      </c>
      <c r="AM53" s="148"/>
      <c r="AN53" s="149"/>
      <c r="AO53" s="147" t="s">
        <v>2072</v>
      </c>
      <c r="AP53" s="148"/>
      <c r="AQ53" s="149"/>
      <c r="AR53" s="147" t="s">
        <v>2073</v>
      </c>
      <c r="AS53" s="148"/>
      <c r="AT53" s="189"/>
      <c r="AU53" s="181" t="s">
        <v>2074</v>
      </c>
      <c r="AV53" s="148"/>
      <c r="AW53" s="148"/>
      <c r="AX53" s="189"/>
      <c r="AY53" s="181" t="s">
        <v>2075</v>
      </c>
      <c r="AZ53" s="148"/>
      <c r="BA53" s="148"/>
      <c r="BB53" s="148"/>
    </row>
    <row r="54" spans="4:54" ht="15" customHeight="1" x14ac:dyDescent="0.3">
      <c r="D54" s="27" t="s">
        <v>154</v>
      </c>
      <c r="E54" s="23"/>
      <c r="F54" s="11"/>
      <c r="G54" s="11"/>
      <c r="H54" s="11"/>
      <c r="I54" s="11"/>
      <c r="J54" s="13"/>
      <c r="K54" s="182" t="s">
        <v>2076</v>
      </c>
      <c r="L54" s="151"/>
      <c r="M54" s="152"/>
      <c r="N54" s="150" t="s">
        <v>2077</v>
      </c>
      <c r="O54" s="151"/>
      <c r="P54" s="152"/>
      <c r="Q54" s="150" t="s">
        <v>2078</v>
      </c>
      <c r="R54" s="151"/>
      <c r="S54" s="152"/>
      <c r="T54" s="150" t="s">
        <v>2079</v>
      </c>
      <c r="U54" s="151"/>
      <c r="V54" s="152"/>
      <c r="W54" s="150" t="s">
        <v>2080</v>
      </c>
      <c r="X54" s="151"/>
      <c r="Y54" s="152"/>
      <c r="Z54" s="150" t="s">
        <v>2081</v>
      </c>
      <c r="AA54" s="151"/>
      <c r="AB54" s="152"/>
      <c r="AC54" s="150" t="s">
        <v>2082</v>
      </c>
      <c r="AD54" s="151"/>
      <c r="AE54" s="152"/>
      <c r="AF54" s="150" t="s">
        <v>2083</v>
      </c>
      <c r="AG54" s="151"/>
      <c r="AH54" s="152"/>
      <c r="AI54" s="150" t="s">
        <v>2084</v>
      </c>
      <c r="AJ54" s="151"/>
      <c r="AK54" s="152"/>
      <c r="AL54" s="150" t="s">
        <v>2085</v>
      </c>
      <c r="AM54" s="151"/>
      <c r="AN54" s="152"/>
      <c r="AO54" s="150" t="s">
        <v>2086</v>
      </c>
      <c r="AP54" s="151"/>
      <c r="AQ54" s="152"/>
      <c r="AR54" s="150" t="s">
        <v>2087</v>
      </c>
      <c r="AS54" s="151"/>
      <c r="AT54" s="193"/>
      <c r="AU54" s="182" t="s">
        <v>2088</v>
      </c>
      <c r="AV54" s="151"/>
      <c r="AW54" s="151"/>
      <c r="AX54" s="193"/>
      <c r="AY54" s="182" t="s">
        <v>2089</v>
      </c>
      <c r="AZ54" s="151"/>
      <c r="BA54" s="151"/>
      <c r="BB54" s="151"/>
    </row>
  </sheetData>
  <mergeCells count="169">
    <mergeCell ref="AI54:AK54"/>
    <mergeCell ref="AL54:AN54"/>
    <mergeCell ref="AO54:AQ54"/>
    <mergeCell ref="AR54:AT54"/>
    <mergeCell ref="AU54:AX54"/>
    <mergeCell ref="AY54:BB54"/>
    <mergeCell ref="AU53:AX53"/>
    <mergeCell ref="AY53:BB53"/>
    <mergeCell ref="K54:M54"/>
    <mergeCell ref="N54:P54"/>
    <mergeCell ref="Q54:S54"/>
    <mergeCell ref="T54:V54"/>
    <mergeCell ref="W54:Y54"/>
    <mergeCell ref="Z54:AB54"/>
    <mergeCell ref="AC54:AE54"/>
    <mergeCell ref="AF54:AH54"/>
    <mergeCell ref="AC53:AE53"/>
    <mergeCell ref="AF53:AH53"/>
    <mergeCell ref="AI53:AK53"/>
    <mergeCell ref="AL53:AN53"/>
    <mergeCell ref="AO53:AQ53"/>
    <mergeCell ref="AR53:AT53"/>
    <mergeCell ref="AO52:AQ52"/>
    <mergeCell ref="AR52:AT52"/>
    <mergeCell ref="AU52:AX52"/>
    <mergeCell ref="AY52:BB52"/>
    <mergeCell ref="K53:M53"/>
    <mergeCell ref="N53:P53"/>
    <mergeCell ref="Q53:S53"/>
    <mergeCell ref="T53:V53"/>
    <mergeCell ref="W53:Y53"/>
    <mergeCell ref="Z53:AB53"/>
    <mergeCell ref="K52:M52"/>
    <mergeCell ref="N52:P52"/>
    <mergeCell ref="Q52:S52"/>
    <mergeCell ref="T52:V52"/>
    <mergeCell ref="W52:Y52"/>
    <mergeCell ref="Z52:AB52"/>
    <mergeCell ref="AU44:AX44"/>
    <mergeCell ref="AY44:BB44"/>
    <mergeCell ref="K49:M49"/>
    <mergeCell ref="N49:P49"/>
    <mergeCell ref="Q49:S49"/>
    <mergeCell ref="T49:V49"/>
    <mergeCell ref="W49:Y49"/>
    <mergeCell ref="AC44:AE44"/>
    <mergeCell ref="AF44:AH44"/>
    <mergeCell ref="AI44:AK44"/>
    <mergeCell ref="AL44:AN44"/>
    <mergeCell ref="AO44:AQ44"/>
    <mergeCell ref="AR44:AT44"/>
    <mergeCell ref="K44:M44"/>
    <mergeCell ref="N44:P44"/>
    <mergeCell ref="Q44:S44"/>
    <mergeCell ref="T44:V44"/>
    <mergeCell ref="W44:Y44"/>
    <mergeCell ref="Z44:AB44"/>
    <mergeCell ref="AR49:AT49"/>
    <mergeCell ref="AU49:AX49"/>
    <mergeCell ref="AY49:BB49"/>
    <mergeCell ref="Z49:AB49"/>
    <mergeCell ref="AC49:AE49"/>
    <mergeCell ref="K43:M43"/>
    <mergeCell ref="N43:P43"/>
    <mergeCell ref="Q43:S43"/>
    <mergeCell ref="T43:V43"/>
    <mergeCell ref="W43:Y43"/>
    <mergeCell ref="Z43:AB43"/>
    <mergeCell ref="AC43:AE43"/>
    <mergeCell ref="AF43:AH43"/>
    <mergeCell ref="AC42:AE42"/>
    <mergeCell ref="AF42:AH42"/>
    <mergeCell ref="K42:M42"/>
    <mergeCell ref="N42:P42"/>
    <mergeCell ref="AU41:AX41"/>
    <mergeCell ref="AI43:AK43"/>
    <mergeCell ref="AL43:AN43"/>
    <mergeCell ref="AO43:AQ43"/>
    <mergeCell ref="AR43:AT43"/>
    <mergeCell ref="AU43:AX43"/>
    <mergeCell ref="AY43:BB43"/>
    <mergeCell ref="AU42:AX42"/>
    <mergeCell ref="AY42:BB42"/>
    <mergeCell ref="AI42:AK42"/>
    <mergeCell ref="AL42:AN42"/>
    <mergeCell ref="AO42:AQ42"/>
    <mergeCell ref="AR42:AT42"/>
    <mergeCell ref="AO40:AQ40"/>
    <mergeCell ref="AR40:AT40"/>
    <mergeCell ref="Q42:S42"/>
    <mergeCell ref="T42:V42"/>
    <mergeCell ref="W42:Y42"/>
    <mergeCell ref="Z42:AB42"/>
    <mergeCell ref="AI41:AK41"/>
    <mergeCell ref="AL41:AN41"/>
    <mergeCell ref="AO41:AQ41"/>
    <mergeCell ref="AR41:AT41"/>
    <mergeCell ref="AO51:AQ51"/>
    <mergeCell ref="AR51:AT51"/>
    <mergeCell ref="AU51:AX51"/>
    <mergeCell ref="AY51:BB51"/>
    <mergeCell ref="AC52:AE52"/>
    <mergeCell ref="AF52:AH52"/>
    <mergeCell ref="AI52:AK52"/>
    <mergeCell ref="AL52:AN52"/>
    <mergeCell ref="AO39:AQ39"/>
    <mergeCell ref="AR39:AT39"/>
    <mergeCell ref="AU39:AX39"/>
    <mergeCell ref="AY39:BB39"/>
    <mergeCell ref="AC39:AE39"/>
    <mergeCell ref="AF39:AH39"/>
    <mergeCell ref="AI39:AK39"/>
    <mergeCell ref="AL39:AN39"/>
    <mergeCell ref="AY41:BB41"/>
    <mergeCell ref="AU40:AX40"/>
    <mergeCell ref="AY40:BB40"/>
    <mergeCell ref="AC41:AE41"/>
    <mergeCell ref="AF41:AH41"/>
    <mergeCell ref="AC40:AE40"/>
    <mergeCell ref="AF40:AH40"/>
    <mergeCell ref="AI40:AK40"/>
    <mergeCell ref="AY50:BB50"/>
    <mergeCell ref="K51:M51"/>
    <mergeCell ref="N51:P51"/>
    <mergeCell ref="Q51:S51"/>
    <mergeCell ref="T51:V51"/>
    <mergeCell ref="W51:Y51"/>
    <mergeCell ref="Z51:AB51"/>
    <mergeCell ref="AC51:AE51"/>
    <mergeCell ref="AF51:AH51"/>
    <mergeCell ref="AI51:AK51"/>
    <mergeCell ref="AF50:AH50"/>
    <mergeCell ref="AI50:AK50"/>
    <mergeCell ref="AL50:AN50"/>
    <mergeCell ref="AO50:AQ50"/>
    <mergeCell ref="AR50:AT50"/>
    <mergeCell ref="AU50:AX50"/>
    <mergeCell ref="K50:M50"/>
    <mergeCell ref="N50:P50"/>
    <mergeCell ref="Q50:S50"/>
    <mergeCell ref="T50:V50"/>
    <mergeCell ref="W50:Y50"/>
    <mergeCell ref="Z50:AB50"/>
    <mergeCell ref="AC50:AE50"/>
    <mergeCell ref="AL51:AN51"/>
    <mergeCell ref="AF49:AH49"/>
    <mergeCell ref="AI49:AK49"/>
    <mergeCell ref="AL49:AN49"/>
    <mergeCell ref="AO49:AQ49"/>
    <mergeCell ref="F12:L12"/>
    <mergeCell ref="K39:M39"/>
    <mergeCell ref="N39:P39"/>
    <mergeCell ref="Q39:S39"/>
    <mergeCell ref="T39:V39"/>
    <mergeCell ref="K40:M40"/>
    <mergeCell ref="N40:P40"/>
    <mergeCell ref="Q40:S40"/>
    <mergeCell ref="T40:V40"/>
    <mergeCell ref="W40:Y40"/>
    <mergeCell ref="Z40:AB40"/>
    <mergeCell ref="W39:Y39"/>
    <mergeCell ref="Z39:AB39"/>
    <mergeCell ref="K41:M41"/>
    <mergeCell ref="N41:P41"/>
    <mergeCell ref="Q41:S41"/>
    <mergeCell ref="T41:V41"/>
    <mergeCell ref="W41:Y41"/>
    <mergeCell ref="Z41:AB41"/>
    <mergeCell ref="AL40:AN40"/>
  </mergeCells>
  <phoneticPr fontId="1" type="noConversion"/>
  <pageMargins left="0.25" right="0.25" top="0.75" bottom="0.75" header="0.3" footer="0.3"/>
  <pageSetup paperSize="9" scale="7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BC94-952A-4DF5-86F9-21C9E6C151A3}">
  <dimension ref="B1:BL56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2" t="s">
        <v>211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</row>
    <row r="3" spans="2:64" ht="5.25" customHeight="1" x14ac:dyDescent="0.3"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2:64" ht="15" customHeight="1" x14ac:dyDescent="0.3">
      <c r="B4" s="21"/>
      <c r="D4" s="5" t="s">
        <v>1938</v>
      </c>
      <c r="E4" s="43"/>
      <c r="F4" s="43"/>
      <c r="H4" s="43"/>
    </row>
    <row r="5" spans="2:64" ht="15" customHeight="1" x14ac:dyDescent="0.3">
      <c r="D5" s="20" t="s">
        <v>1939</v>
      </c>
      <c r="E5" s="20"/>
      <c r="F5" s="43"/>
      <c r="G5" s="43"/>
      <c r="H5" s="43"/>
      <c r="I5" s="43"/>
      <c r="J5" s="43"/>
      <c r="K5" s="43"/>
      <c r="L5" s="43"/>
      <c r="M5" s="43"/>
      <c r="N5" s="43"/>
    </row>
    <row r="6" spans="2:64" ht="15" customHeight="1" x14ac:dyDescent="0.3">
      <c r="D6" s="15" t="s">
        <v>214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</row>
    <row r="7" spans="2:64" ht="15" customHeigh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BG7" s="24" t="s">
        <v>42</v>
      </c>
      <c r="BH7" s="24" t="s">
        <v>135</v>
      </c>
      <c r="BI7" s="24" t="s">
        <v>136</v>
      </c>
      <c r="BJ7" s="24" t="s">
        <v>137</v>
      </c>
      <c r="BK7" s="24" t="s">
        <v>124</v>
      </c>
      <c r="BL7" s="24" t="s">
        <v>138</v>
      </c>
    </row>
    <row r="8" spans="2:64" ht="15" customHeight="1" x14ac:dyDescent="0.3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BG8" s="24" t="s">
        <v>43</v>
      </c>
      <c r="BH8" s="73" t="s">
        <v>2586</v>
      </c>
      <c r="BI8" s="73" t="s">
        <v>2587</v>
      </c>
      <c r="BJ8" s="73" t="s">
        <v>2588</v>
      </c>
      <c r="BK8" s="24" t="s">
        <v>185</v>
      </c>
      <c r="BL8" s="24" t="s">
        <v>186</v>
      </c>
    </row>
    <row r="9" spans="2:64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44</v>
      </c>
      <c r="BH9" s="73" t="s">
        <v>2589</v>
      </c>
      <c r="BI9" s="73" t="s">
        <v>2590</v>
      </c>
      <c r="BJ9" s="73" t="s">
        <v>2591</v>
      </c>
      <c r="BK9" s="24" t="s">
        <v>187</v>
      </c>
      <c r="BL9" s="24" t="s">
        <v>188</v>
      </c>
    </row>
    <row r="10" spans="2:64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45</v>
      </c>
      <c r="BH10" s="73" t="s">
        <v>2592</v>
      </c>
      <c r="BI10" s="73" t="s">
        <v>2593</v>
      </c>
      <c r="BJ10" s="73" t="s">
        <v>2594</v>
      </c>
      <c r="BK10" s="24" t="s">
        <v>189</v>
      </c>
      <c r="BL10" s="24" t="s">
        <v>190</v>
      </c>
    </row>
    <row r="11" spans="2:64" ht="15" customHeight="1" x14ac:dyDescent="0.3">
      <c r="B11" s="43"/>
      <c r="C11" s="43"/>
      <c r="D11" s="43"/>
      <c r="E11" s="43"/>
      <c r="F11" s="43"/>
      <c r="G11" s="43"/>
      <c r="H11" s="43"/>
      <c r="I11" s="74" t="s">
        <v>94</v>
      </c>
      <c r="J11" s="43"/>
      <c r="K11" s="43"/>
      <c r="L11" s="43"/>
      <c r="M11" s="43"/>
      <c r="N11" s="43"/>
      <c r="BG11" s="24" t="s">
        <v>46</v>
      </c>
      <c r="BH11" s="73" t="s">
        <v>2595</v>
      </c>
      <c r="BI11" s="73" t="s">
        <v>2596</v>
      </c>
      <c r="BJ11" s="73" t="s">
        <v>2597</v>
      </c>
      <c r="BK11" s="24" t="s">
        <v>191</v>
      </c>
      <c r="BL11" s="24" t="s">
        <v>192</v>
      </c>
    </row>
    <row r="12" spans="2:64" ht="15" customHeight="1" x14ac:dyDescent="0.3">
      <c r="B12" s="43"/>
      <c r="C12" s="43"/>
      <c r="D12" s="43"/>
      <c r="E12" s="43"/>
      <c r="F12" s="164" t="s">
        <v>230</v>
      </c>
      <c r="G12" s="164"/>
      <c r="H12" s="164"/>
      <c r="I12" s="164"/>
      <c r="J12" s="164"/>
      <c r="K12" s="164"/>
      <c r="L12" s="164"/>
      <c r="M12" s="43"/>
      <c r="N12" s="43"/>
      <c r="BG12" s="24" t="s">
        <v>47</v>
      </c>
      <c r="BH12" s="73" t="s">
        <v>2598</v>
      </c>
      <c r="BI12" s="73" t="s">
        <v>2599</v>
      </c>
      <c r="BJ12" s="73" t="s">
        <v>2600</v>
      </c>
      <c r="BK12" s="24" t="s">
        <v>194</v>
      </c>
      <c r="BL12" s="24" t="s">
        <v>195</v>
      </c>
    </row>
    <row r="13" spans="2:64" ht="1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BG13" s="24" t="s">
        <v>48</v>
      </c>
      <c r="BH13" s="73" t="s">
        <v>2601</v>
      </c>
      <c r="BI13" s="73" t="s">
        <v>2602</v>
      </c>
      <c r="BJ13" s="73" t="s">
        <v>2603</v>
      </c>
      <c r="BK13" s="24" t="s">
        <v>196</v>
      </c>
      <c r="BL13" s="24" t="s">
        <v>197</v>
      </c>
    </row>
    <row r="14" spans="2:64" ht="15" customHeight="1" x14ac:dyDescent="0.3">
      <c r="BG14" s="24" t="s">
        <v>49</v>
      </c>
      <c r="BH14" s="73" t="s">
        <v>2604</v>
      </c>
      <c r="BI14" s="73" t="s">
        <v>2605</v>
      </c>
      <c r="BJ14" s="73" t="s">
        <v>2606</v>
      </c>
      <c r="BK14" s="24" t="s">
        <v>198</v>
      </c>
      <c r="BL14" s="24" t="s">
        <v>199</v>
      </c>
    </row>
    <row r="15" spans="2:64" ht="15" customHeight="1" x14ac:dyDescent="0.3">
      <c r="BG15" s="24" t="s">
        <v>50</v>
      </c>
      <c r="BH15" s="73" t="s">
        <v>2607</v>
      </c>
      <c r="BI15" s="73" t="s">
        <v>2608</v>
      </c>
      <c r="BJ15" s="73" t="s">
        <v>2609</v>
      </c>
      <c r="BK15" s="24" t="s">
        <v>200</v>
      </c>
      <c r="BL15" s="24" t="s">
        <v>201</v>
      </c>
    </row>
    <row r="16" spans="2:64" ht="15" customHeight="1" x14ac:dyDescent="0.3">
      <c r="BG16" s="24" t="s">
        <v>51</v>
      </c>
      <c r="BH16" s="73" t="s">
        <v>2610</v>
      </c>
      <c r="BI16" s="73" t="s">
        <v>2611</v>
      </c>
      <c r="BJ16" s="73" t="s">
        <v>2612</v>
      </c>
      <c r="BK16" s="24" t="s">
        <v>202</v>
      </c>
      <c r="BL16" s="24" t="s">
        <v>203</v>
      </c>
    </row>
    <row r="17" spans="4:64" ht="15" customHeight="1" x14ac:dyDescent="0.3">
      <c r="BG17" s="24" t="s">
        <v>52</v>
      </c>
      <c r="BH17" s="73" t="s">
        <v>2613</v>
      </c>
      <c r="BI17" s="73" t="s">
        <v>2614</v>
      </c>
      <c r="BJ17" s="73" t="s">
        <v>2615</v>
      </c>
      <c r="BK17" s="24" t="s">
        <v>204</v>
      </c>
      <c r="BL17" s="24" t="s">
        <v>205</v>
      </c>
    </row>
    <row r="18" spans="4:64" ht="15" customHeight="1" x14ac:dyDescent="0.3">
      <c r="BG18" s="24" t="s">
        <v>53</v>
      </c>
      <c r="BH18" s="73" t="s">
        <v>2616</v>
      </c>
      <c r="BI18" s="73" t="s">
        <v>2617</v>
      </c>
      <c r="BJ18" s="73" t="s">
        <v>2618</v>
      </c>
      <c r="BK18" s="24" t="s">
        <v>206</v>
      </c>
      <c r="BL18" s="24" t="s">
        <v>207</v>
      </c>
    </row>
    <row r="19" spans="4:64" ht="15" customHeight="1" x14ac:dyDescent="0.3">
      <c r="D19" s="15" t="s">
        <v>39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G19" s="24" t="s">
        <v>54</v>
      </c>
      <c r="BH19" s="73" t="s">
        <v>2619</v>
      </c>
      <c r="BI19" s="73" t="s">
        <v>2620</v>
      </c>
      <c r="BJ19" s="73" t="s">
        <v>2621</v>
      </c>
      <c r="BK19" s="24" t="s">
        <v>208</v>
      </c>
      <c r="BL19" s="24" t="s">
        <v>209</v>
      </c>
    </row>
    <row r="20" spans="4:64" ht="15" customHeight="1" x14ac:dyDescent="0.3">
      <c r="BG20" s="24" t="s">
        <v>139</v>
      </c>
      <c r="BH20" s="73" t="s">
        <v>2622</v>
      </c>
      <c r="BI20" s="73" t="s">
        <v>2623</v>
      </c>
      <c r="BJ20" s="73" t="s">
        <v>2624</v>
      </c>
      <c r="BK20" s="24" t="s">
        <v>193</v>
      </c>
      <c r="BL20" s="24" t="s">
        <v>210</v>
      </c>
    </row>
    <row r="25" spans="4:64" ht="15" customHeight="1" x14ac:dyDescent="0.3">
      <c r="G25" s="65"/>
    </row>
    <row r="26" spans="4:64" ht="15" customHeight="1" x14ac:dyDescent="0.3">
      <c r="T26" s="65"/>
    </row>
    <row r="34" spans="4:56" ht="15" customHeight="1" x14ac:dyDescent="0.3">
      <c r="D34" s="5" t="s">
        <v>1940</v>
      </c>
      <c r="K34" s="43"/>
    </row>
    <row r="36" spans="4:56" ht="15" customHeight="1" x14ac:dyDescent="0.3">
      <c r="D36" s="15" t="s">
        <v>123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</row>
    <row r="37" spans="4:56" ht="5.0999999999999996" customHeight="1" x14ac:dyDescent="0.3"/>
    <row r="38" spans="4:56" ht="15" customHeight="1" x14ac:dyDescent="0.3">
      <c r="D38" s="28" t="s">
        <v>40</v>
      </c>
      <c r="E38" s="28"/>
      <c r="F38" s="28"/>
      <c r="G38" s="28"/>
      <c r="H38" s="28"/>
      <c r="I38" s="28"/>
      <c r="J38" s="28"/>
      <c r="K38" s="29" t="s">
        <v>12</v>
      </c>
      <c r="L38" s="30"/>
      <c r="M38" s="32"/>
      <c r="N38" s="33" t="s">
        <v>13</v>
      </c>
      <c r="O38" s="30"/>
      <c r="P38" s="32"/>
      <c r="Q38" s="33" t="s">
        <v>14</v>
      </c>
      <c r="R38" s="30"/>
      <c r="S38" s="32"/>
      <c r="T38" s="33" t="s">
        <v>15</v>
      </c>
      <c r="U38" s="30"/>
      <c r="V38" s="32"/>
      <c r="W38" s="33" t="s">
        <v>16</v>
      </c>
      <c r="X38" s="30"/>
      <c r="Y38" s="32"/>
      <c r="Z38" s="33" t="s">
        <v>17</v>
      </c>
      <c r="AA38" s="30"/>
      <c r="AB38" s="32"/>
      <c r="AC38" s="33" t="s">
        <v>18</v>
      </c>
      <c r="AD38" s="30"/>
      <c r="AE38" s="32"/>
      <c r="AF38" s="33" t="s">
        <v>19</v>
      </c>
      <c r="AG38" s="30"/>
      <c r="AH38" s="32"/>
      <c r="AI38" s="33" t="s">
        <v>20</v>
      </c>
      <c r="AJ38" s="30"/>
      <c r="AK38" s="32"/>
      <c r="AL38" s="33" t="s">
        <v>21</v>
      </c>
      <c r="AM38" s="30"/>
      <c r="AN38" s="32"/>
      <c r="AO38" s="33" t="s">
        <v>22</v>
      </c>
      <c r="AP38" s="30"/>
      <c r="AQ38" s="32"/>
      <c r="AR38" s="33" t="s">
        <v>23</v>
      </c>
      <c r="AS38" s="30"/>
      <c r="AT38" s="30"/>
      <c r="AU38" s="29" t="s">
        <v>41</v>
      </c>
      <c r="AV38" s="30"/>
      <c r="AW38" s="30"/>
      <c r="AX38" s="31"/>
      <c r="AY38" s="29" t="s">
        <v>59</v>
      </c>
      <c r="AZ38" s="30"/>
      <c r="BA38" s="30"/>
      <c r="BB38" s="30"/>
    </row>
    <row r="39" spans="4:56" ht="15" customHeight="1" x14ac:dyDescent="0.3">
      <c r="D39" s="16" t="s">
        <v>94</v>
      </c>
      <c r="E39" s="16"/>
      <c r="F39" s="16"/>
      <c r="G39" s="16"/>
      <c r="H39" s="16"/>
      <c r="I39" s="16"/>
      <c r="J39" s="17"/>
      <c r="K39" s="184" t="s">
        <v>185</v>
      </c>
      <c r="L39" s="183"/>
      <c r="M39" s="183"/>
      <c r="N39" s="183" t="s">
        <v>187</v>
      </c>
      <c r="O39" s="183"/>
      <c r="P39" s="183"/>
      <c r="Q39" s="183" t="s">
        <v>189</v>
      </c>
      <c r="R39" s="183"/>
      <c r="S39" s="183"/>
      <c r="T39" s="183" t="s">
        <v>191</v>
      </c>
      <c r="U39" s="183"/>
      <c r="V39" s="183"/>
      <c r="W39" s="183" t="s">
        <v>194</v>
      </c>
      <c r="X39" s="183"/>
      <c r="Y39" s="183"/>
      <c r="Z39" s="183" t="s">
        <v>196</v>
      </c>
      <c r="AA39" s="183"/>
      <c r="AB39" s="183"/>
      <c r="AC39" s="183" t="s">
        <v>198</v>
      </c>
      <c r="AD39" s="183"/>
      <c r="AE39" s="183"/>
      <c r="AF39" s="183" t="s">
        <v>200</v>
      </c>
      <c r="AG39" s="183"/>
      <c r="AH39" s="183"/>
      <c r="AI39" s="183" t="s">
        <v>202</v>
      </c>
      <c r="AJ39" s="183"/>
      <c r="AK39" s="183"/>
      <c r="AL39" s="183" t="s">
        <v>204</v>
      </c>
      <c r="AM39" s="183"/>
      <c r="AN39" s="183"/>
      <c r="AO39" s="183" t="s">
        <v>206</v>
      </c>
      <c r="AP39" s="183"/>
      <c r="AQ39" s="183"/>
      <c r="AR39" s="183" t="s">
        <v>208</v>
      </c>
      <c r="AS39" s="183"/>
      <c r="AT39" s="185"/>
      <c r="AU39" s="184" t="s">
        <v>193</v>
      </c>
      <c r="AV39" s="183"/>
      <c r="AW39" s="183"/>
      <c r="AX39" s="186"/>
      <c r="AY39" s="187" t="s">
        <v>2467</v>
      </c>
      <c r="AZ39" s="188"/>
      <c r="BA39" s="188"/>
      <c r="BB39" s="188"/>
    </row>
    <row r="40" spans="4:56" ht="15" customHeight="1" x14ac:dyDescent="0.3">
      <c r="D40" s="26" t="s">
        <v>181</v>
      </c>
      <c r="E40" s="22"/>
      <c r="F40" s="10"/>
      <c r="G40" s="10"/>
      <c r="H40" s="10"/>
      <c r="I40" s="10"/>
      <c r="J40" s="12"/>
      <c r="K40" s="181" t="s">
        <v>2090</v>
      </c>
      <c r="L40" s="148"/>
      <c r="M40" s="149"/>
      <c r="N40" s="147" t="s">
        <v>2091</v>
      </c>
      <c r="O40" s="148"/>
      <c r="P40" s="149"/>
      <c r="Q40" s="147" t="s">
        <v>2092</v>
      </c>
      <c r="R40" s="148"/>
      <c r="S40" s="149"/>
      <c r="T40" s="147" t="s">
        <v>2093</v>
      </c>
      <c r="U40" s="148"/>
      <c r="V40" s="149"/>
      <c r="W40" s="147" t="s">
        <v>2094</v>
      </c>
      <c r="X40" s="148"/>
      <c r="Y40" s="149"/>
      <c r="Z40" s="147" t="s">
        <v>2095</v>
      </c>
      <c r="AA40" s="148"/>
      <c r="AB40" s="149"/>
      <c r="AC40" s="147" t="s">
        <v>2096</v>
      </c>
      <c r="AD40" s="148"/>
      <c r="AE40" s="149"/>
      <c r="AF40" s="147" t="s">
        <v>2097</v>
      </c>
      <c r="AG40" s="148"/>
      <c r="AH40" s="149"/>
      <c r="AI40" s="147" t="s">
        <v>2098</v>
      </c>
      <c r="AJ40" s="148"/>
      <c r="AK40" s="149"/>
      <c r="AL40" s="147" t="s">
        <v>2099</v>
      </c>
      <c r="AM40" s="148"/>
      <c r="AN40" s="149"/>
      <c r="AO40" s="147" t="s">
        <v>2100</v>
      </c>
      <c r="AP40" s="148"/>
      <c r="AQ40" s="149"/>
      <c r="AR40" s="147" t="s">
        <v>2101</v>
      </c>
      <c r="AS40" s="148"/>
      <c r="AT40" s="189"/>
      <c r="AU40" s="181" t="s">
        <v>2102</v>
      </c>
      <c r="AV40" s="148"/>
      <c r="AW40" s="148"/>
      <c r="AX40" s="189"/>
      <c r="AY40" s="181" t="s">
        <v>2103</v>
      </c>
      <c r="AZ40" s="148"/>
      <c r="BA40" s="148"/>
      <c r="BB40" s="148"/>
    </row>
    <row r="41" spans="4:56" ht="15" customHeight="1" x14ac:dyDescent="0.3">
      <c r="D41" s="26" t="s">
        <v>182</v>
      </c>
      <c r="E41" s="22"/>
      <c r="F41" s="10"/>
      <c r="G41" s="10"/>
      <c r="H41" s="10"/>
      <c r="I41" s="10"/>
      <c r="J41" s="12"/>
      <c r="K41" s="181" t="s">
        <v>2104</v>
      </c>
      <c r="L41" s="148"/>
      <c r="M41" s="149"/>
      <c r="N41" s="147" t="s">
        <v>2105</v>
      </c>
      <c r="O41" s="148"/>
      <c r="P41" s="149"/>
      <c r="Q41" s="147" t="s">
        <v>2106</v>
      </c>
      <c r="R41" s="148"/>
      <c r="S41" s="149"/>
      <c r="T41" s="147" t="s">
        <v>2107</v>
      </c>
      <c r="U41" s="148"/>
      <c r="V41" s="149"/>
      <c r="W41" s="147" t="s">
        <v>2108</v>
      </c>
      <c r="X41" s="148"/>
      <c r="Y41" s="149"/>
      <c r="Z41" s="147" t="s">
        <v>2109</v>
      </c>
      <c r="AA41" s="148"/>
      <c r="AB41" s="149"/>
      <c r="AC41" s="147" t="s">
        <v>2110</v>
      </c>
      <c r="AD41" s="148"/>
      <c r="AE41" s="149"/>
      <c r="AF41" s="147" t="s">
        <v>2111</v>
      </c>
      <c r="AG41" s="148"/>
      <c r="AH41" s="149"/>
      <c r="AI41" s="147" t="s">
        <v>2112</v>
      </c>
      <c r="AJ41" s="148"/>
      <c r="AK41" s="149"/>
      <c r="AL41" s="147" t="s">
        <v>2113</v>
      </c>
      <c r="AM41" s="148"/>
      <c r="AN41" s="149"/>
      <c r="AO41" s="147" t="s">
        <v>2114</v>
      </c>
      <c r="AP41" s="148"/>
      <c r="AQ41" s="149"/>
      <c r="AR41" s="147" t="s">
        <v>2115</v>
      </c>
      <c r="AS41" s="148"/>
      <c r="AT41" s="189"/>
      <c r="AU41" s="181" t="s">
        <v>2116</v>
      </c>
      <c r="AV41" s="148"/>
      <c r="AW41" s="148"/>
      <c r="AX41" s="189"/>
      <c r="AY41" s="181" t="s">
        <v>2117</v>
      </c>
      <c r="AZ41" s="148"/>
      <c r="BA41" s="148"/>
      <c r="BB41" s="148"/>
    </row>
    <row r="42" spans="4:56" ht="15" customHeight="1" x14ac:dyDescent="0.3">
      <c r="D42" s="26" t="s">
        <v>148</v>
      </c>
      <c r="E42" s="22"/>
      <c r="F42" s="10"/>
      <c r="G42" s="10"/>
      <c r="H42" s="10"/>
      <c r="I42" s="10"/>
      <c r="J42" s="12"/>
      <c r="K42" s="181" t="s">
        <v>2118</v>
      </c>
      <c r="L42" s="148"/>
      <c r="M42" s="149"/>
      <c r="N42" s="147" t="s">
        <v>2119</v>
      </c>
      <c r="O42" s="148"/>
      <c r="P42" s="149"/>
      <c r="Q42" s="147" t="s">
        <v>2120</v>
      </c>
      <c r="R42" s="148"/>
      <c r="S42" s="149"/>
      <c r="T42" s="147" t="s">
        <v>2121</v>
      </c>
      <c r="U42" s="148"/>
      <c r="V42" s="149"/>
      <c r="W42" s="147" t="s">
        <v>2122</v>
      </c>
      <c r="X42" s="148"/>
      <c r="Y42" s="149"/>
      <c r="Z42" s="147" t="s">
        <v>2123</v>
      </c>
      <c r="AA42" s="148"/>
      <c r="AB42" s="149"/>
      <c r="AC42" s="147" t="s">
        <v>2124</v>
      </c>
      <c r="AD42" s="148"/>
      <c r="AE42" s="149"/>
      <c r="AF42" s="147" t="s">
        <v>2125</v>
      </c>
      <c r="AG42" s="148"/>
      <c r="AH42" s="149"/>
      <c r="AI42" s="147" t="s">
        <v>2126</v>
      </c>
      <c r="AJ42" s="148"/>
      <c r="AK42" s="149"/>
      <c r="AL42" s="147" t="s">
        <v>2127</v>
      </c>
      <c r="AM42" s="148"/>
      <c r="AN42" s="149"/>
      <c r="AO42" s="147" t="s">
        <v>2128</v>
      </c>
      <c r="AP42" s="148"/>
      <c r="AQ42" s="149"/>
      <c r="AR42" s="147" t="s">
        <v>2129</v>
      </c>
      <c r="AS42" s="148"/>
      <c r="AT42" s="189"/>
      <c r="AU42" s="181" t="s">
        <v>2130</v>
      </c>
      <c r="AV42" s="148"/>
      <c r="AW42" s="148"/>
      <c r="AX42" s="189"/>
      <c r="AY42" s="181" t="s">
        <v>2131</v>
      </c>
      <c r="AZ42" s="148"/>
      <c r="BA42" s="148"/>
      <c r="BB42" s="148"/>
    </row>
    <row r="43" spans="4:56" ht="15" customHeight="1" x14ac:dyDescent="0.3">
      <c r="D43" s="26" t="s">
        <v>183</v>
      </c>
      <c r="E43" s="22"/>
      <c r="F43" s="10"/>
      <c r="G43" s="10"/>
      <c r="H43" s="10"/>
      <c r="I43" s="10"/>
      <c r="J43" s="12"/>
      <c r="K43" s="181" t="s">
        <v>2132</v>
      </c>
      <c r="L43" s="148"/>
      <c r="M43" s="149"/>
      <c r="N43" s="147" t="s">
        <v>2133</v>
      </c>
      <c r="O43" s="148"/>
      <c r="P43" s="149"/>
      <c r="Q43" s="147" t="s">
        <v>2134</v>
      </c>
      <c r="R43" s="148"/>
      <c r="S43" s="149"/>
      <c r="T43" s="147" t="s">
        <v>2135</v>
      </c>
      <c r="U43" s="148"/>
      <c r="V43" s="149"/>
      <c r="W43" s="147" t="s">
        <v>2136</v>
      </c>
      <c r="X43" s="148"/>
      <c r="Y43" s="149"/>
      <c r="Z43" s="147" t="s">
        <v>2137</v>
      </c>
      <c r="AA43" s="148"/>
      <c r="AB43" s="149"/>
      <c r="AC43" s="147" t="s">
        <v>2138</v>
      </c>
      <c r="AD43" s="148"/>
      <c r="AE43" s="149"/>
      <c r="AF43" s="147" t="s">
        <v>2139</v>
      </c>
      <c r="AG43" s="148"/>
      <c r="AH43" s="149"/>
      <c r="AI43" s="147" t="s">
        <v>2140</v>
      </c>
      <c r="AJ43" s="148"/>
      <c r="AK43" s="149"/>
      <c r="AL43" s="147" t="s">
        <v>2141</v>
      </c>
      <c r="AM43" s="148"/>
      <c r="AN43" s="149"/>
      <c r="AO43" s="147" t="s">
        <v>2142</v>
      </c>
      <c r="AP43" s="148"/>
      <c r="AQ43" s="149"/>
      <c r="AR43" s="147" t="s">
        <v>2143</v>
      </c>
      <c r="AS43" s="148"/>
      <c r="AT43" s="189"/>
      <c r="AU43" s="181" t="s">
        <v>2144</v>
      </c>
      <c r="AV43" s="148"/>
      <c r="AW43" s="148"/>
      <c r="AX43" s="189"/>
      <c r="AY43" s="181" t="s">
        <v>2145</v>
      </c>
      <c r="AZ43" s="148"/>
      <c r="BA43" s="148"/>
      <c r="BB43" s="148"/>
    </row>
    <row r="44" spans="4:56" ht="15" customHeight="1" x14ac:dyDescent="0.3">
      <c r="D44" s="26" t="s">
        <v>184</v>
      </c>
      <c r="E44" s="22"/>
      <c r="F44" s="10"/>
      <c r="G44" s="10"/>
      <c r="H44" s="10"/>
      <c r="I44" s="10"/>
      <c r="J44" s="12"/>
      <c r="K44" s="181" t="s">
        <v>2146</v>
      </c>
      <c r="L44" s="148"/>
      <c r="M44" s="149"/>
      <c r="N44" s="147" t="s">
        <v>2147</v>
      </c>
      <c r="O44" s="148"/>
      <c r="P44" s="149"/>
      <c r="Q44" s="147" t="s">
        <v>2148</v>
      </c>
      <c r="R44" s="148"/>
      <c r="S44" s="149"/>
      <c r="T44" s="147" t="s">
        <v>2149</v>
      </c>
      <c r="U44" s="148"/>
      <c r="V44" s="149"/>
      <c r="W44" s="147" t="s">
        <v>2150</v>
      </c>
      <c r="X44" s="148"/>
      <c r="Y44" s="149"/>
      <c r="Z44" s="147" t="s">
        <v>2151</v>
      </c>
      <c r="AA44" s="148"/>
      <c r="AB44" s="149"/>
      <c r="AC44" s="147" t="s">
        <v>2152</v>
      </c>
      <c r="AD44" s="148"/>
      <c r="AE44" s="149"/>
      <c r="AF44" s="147" t="s">
        <v>2153</v>
      </c>
      <c r="AG44" s="148"/>
      <c r="AH44" s="149"/>
      <c r="AI44" s="147" t="s">
        <v>2154</v>
      </c>
      <c r="AJ44" s="148"/>
      <c r="AK44" s="149"/>
      <c r="AL44" s="147" t="s">
        <v>2155</v>
      </c>
      <c r="AM44" s="148"/>
      <c r="AN44" s="149"/>
      <c r="AO44" s="147" t="s">
        <v>2156</v>
      </c>
      <c r="AP44" s="148"/>
      <c r="AQ44" s="149"/>
      <c r="AR44" s="147" t="s">
        <v>2157</v>
      </c>
      <c r="AS44" s="148"/>
      <c r="AT44" s="189"/>
      <c r="AU44" s="181" t="s">
        <v>2158</v>
      </c>
      <c r="AV44" s="148"/>
      <c r="AW44" s="148"/>
      <c r="AX44" s="189"/>
      <c r="AY44" s="181" t="s">
        <v>2159</v>
      </c>
      <c r="AZ44" s="148"/>
      <c r="BA44" s="148"/>
      <c r="BB44" s="148"/>
    </row>
    <row r="45" spans="4:56" ht="15" customHeight="1" x14ac:dyDescent="0.3">
      <c r="D45" s="27" t="s">
        <v>152</v>
      </c>
      <c r="E45" s="23"/>
      <c r="F45" s="11"/>
      <c r="G45" s="11"/>
      <c r="H45" s="11"/>
      <c r="I45" s="11"/>
      <c r="J45" s="13"/>
      <c r="K45" s="182" t="s">
        <v>2160</v>
      </c>
      <c r="L45" s="151"/>
      <c r="M45" s="152"/>
      <c r="N45" s="150" t="s">
        <v>2161</v>
      </c>
      <c r="O45" s="151"/>
      <c r="P45" s="152"/>
      <c r="Q45" s="150" t="s">
        <v>2162</v>
      </c>
      <c r="R45" s="151"/>
      <c r="S45" s="152"/>
      <c r="T45" s="150" t="s">
        <v>2163</v>
      </c>
      <c r="U45" s="151"/>
      <c r="V45" s="152"/>
      <c r="W45" s="150" t="s">
        <v>2164</v>
      </c>
      <c r="X45" s="151"/>
      <c r="Y45" s="152"/>
      <c r="Z45" s="150" t="s">
        <v>2165</v>
      </c>
      <c r="AA45" s="151"/>
      <c r="AB45" s="152"/>
      <c r="AC45" s="150" t="s">
        <v>2166</v>
      </c>
      <c r="AD45" s="151"/>
      <c r="AE45" s="152"/>
      <c r="AF45" s="150" t="s">
        <v>2167</v>
      </c>
      <c r="AG45" s="151"/>
      <c r="AH45" s="152"/>
      <c r="AI45" s="150" t="s">
        <v>2168</v>
      </c>
      <c r="AJ45" s="151"/>
      <c r="AK45" s="152"/>
      <c r="AL45" s="150" t="s">
        <v>2169</v>
      </c>
      <c r="AM45" s="151"/>
      <c r="AN45" s="152"/>
      <c r="AO45" s="150" t="s">
        <v>2170</v>
      </c>
      <c r="AP45" s="151"/>
      <c r="AQ45" s="152"/>
      <c r="AR45" s="150" t="s">
        <v>2171</v>
      </c>
      <c r="AS45" s="151"/>
      <c r="AT45" s="193"/>
      <c r="AU45" s="182" t="s">
        <v>2172</v>
      </c>
      <c r="AV45" s="151"/>
      <c r="AW45" s="151"/>
      <c r="AX45" s="193"/>
      <c r="AY45" s="182" t="s">
        <v>2173</v>
      </c>
      <c r="AZ45" s="151"/>
      <c r="BA45" s="151"/>
      <c r="BB45" s="151"/>
    </row>
    <row r="47" spans="4:56" ht="15" customHeight="1" x14ac:dyDescent="0.3">
      <c r="D47" s="15" t="s">
        <v>133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</row>
    <row r="48" spans="4:56" ht="5.0999999999999996" customHeight="1" x14ac:dyDescent="0.3"/>
    <row r="49" spans="4:54" ht="15" customHeight="1" x14ac:dyDescent="0.3">
      <c r="D49" s="28" t="s">
        <v>134</v>
      </c>
      <c r="E49" s="28"/>
      <c r="F49" s="28"/>
      <c r="G49" s="28"/>
      <c r="H49" s="28"/>
      <c r="I49" s="28"/>
      <c r="J49" s="28"/>
      <c r="K49" s="29" t="s">
        <v>12</v>
      </c>
      <c r="L49" s="30"/>
      <c r="M49" s="32"/>
      <c r="N49" s="33" t="s">
        <v>13</v>
      </c>
      <c r="O49" s="30"/>
      <c r="P49" s="32"/>
      <c r="Q49" s="33" t="s">
        <v>14</v>
      </c>
      <c r="R49" s="30"/>
      <c r="S49" s="32"/>
      <c r="T49" s="33" t="s">
        <v>15</v>
      </c>
      <c r="U49" s="30"/>
      <c r="V49" s="32"/>
      <c r="W49" s="33" t="s">
        <v>16</v>
      </c>
      <c r="X49" s="30"/>
      <c r="Y49" s="32"/>
      <c r="Z49" s="33" t="s">
        <v>17</v>
      </c>
      <c r="AA49" s="30"/>
      <c r="AB49" s="32"/>
      <c r="AC49" s="33" t="s">
        <v>18</v>
      </c>
      <c r="AD49" s="30"/>
      <c r="AE49" s="32"/>
      <c r="AF49" s="33" t="s">
        <v>19</v>
      </c>
      <c r="AG49" s="30"/>
      <c r="AH49" s="32"/>
      <c r="AI49" s="33" t="s">
        <v>20</v>
      </c>
      <c r="AJ49" s="30"/>
      <c r="AK49" s="32"/>
      <c r="AL49" s="33" t="s">
        <v>21</v>
      </c>
      <c r="AM49" s="30"/>
      <c r="AN49" s="32"/>
      <c r="AO49" s="33" t="s">
        <v>22</v>
      </c>
      <c r="AP49" s="30"/>
      <c r="AQ49" s="32"/>
      <c r="AR49" s="33" t="s">
        <v>23</v>
      </c>
      <c r="AS49" s="30"/>
      <c r="AT49" s="30"/>
      <c r="AU49" s="29" t="s">
        <v>41</v>
      </c>
      <c r="AV49" s="30"/>
      <c r="AW49" s="30"/>
      <c r="AX49" s="31"/>
      <c r="AY49" s="29" t="s">
        <v>59</v>
      </c>
      <c r="AZ49" s="30"/>
      <c r="BA49" s="30"/>
      <c r="BB49" s="30"/>
    </row>
    <row r="50" spans="4:54" ht="15" customHeight="1" x14ac:dyDescent="0.3">
      <c r="D50" s="16" t="s">
        <v>94</v>
      </c>
      <c r="E50" s="16"/>
      <c r="F50" s="16"/>
      <c r="G50" s="16"/>
      <c r="H50" s="16"/>
      <c r="I50" s="16"/>
      <c r="J50" s="17"/>
      <c r="K50" s="192">
        <f>IF(K51="", "", 100)</f>
        <v>100</v>
      </c>
      <c r="L50" s="159"/>
      <c r="M50" s="191"/>
      <c r="N50" s="190">
        <f t="shared" ref="N50" si="0">IF(N51="", "", 100)</f>
        <v>100</v>
      </c>
      <c r="O50" s="159"/>
      <c r="P50" s="191"/>
      <c r="Q50" s="190">
        <f t="shared" ref="Q50" si="1">IF(Q51="", "", 100)</f>
        <v>100</v>
      </c>
      <c r="R50" s="159"/>
      <c r="S50" s="191"/>
      <c r="T50" s="190">
        <f t="shared" ref="T50" si="2">IF(T51="", "", 100)</f>
        <v>100</v>
      </c>
      <c r="U50" s="159"/>
      <c r="V50" s="191"/>
      <c r="W50" s="190">
        <f t="shared" ref="W50" si="3">IF(W51="", "", 100)</f>
        <v>100</v>
      </c>
      <c r="X50" s="159"/>
      <c r="Y50" s="191"/>
      <c r="Z50" s="190">
        <f t="shared" ref="Z50" si="4">IF(Z51="", "", 100)</f>
        <v>100</v>
      </c>
      <c r="AA50" s="159"/>
      <c r="AB50" s="191"/>
      <c r="AC50" s="190">
        <f t="shared" ref="AC50" si="5">IF(AC51="", "", 100)</f>
        <v>100</v>
      </c>
      <c r="AD50" s="159"/>
      <c r="AE50" s="191"/>
      <c r="AF50" s="190">
        <f t="shared" ref="AF50" si="6">IF(AF51="", "", 100)</f>
        <v>100</v>
      </c>
      <c r="AG50" s="159"/>
      <c r="AH50" s="191"/>
      <c r="AI50" s="190">
        <f t="shared" ref="AI50" si="7">IF(AI51="", "", 100)</f>
        <v>100</v>
      </c>
      <c r="AJ50" s="159"/>
      <c r="AK50" s="191"/>
      <c r="AL50" s="190">
        <f t="shared" ref="AL50" si="8">IF(AL51="", "", 100)</f>
        <v>100</v>
      </c>
      <c r="AM50" s="159"/>
      <c r="AN50" s="191"/>
      <c r="AO50" s="190">
        <f t="shared" ref="AO50" si="9">IF(AO51="", "", 100)</f>
        <v>100</v>
      </c>
      <c r="AP50" s="159"/>
      <c r="AQ50" s="191"/>
      <c r="AR50" s="190">
        <f t="shared" ref="AR50" si="10">IF(AR51="", "", 100)</f>
        <v>100</v>
      </c>
      <c r="AS50" s="159"/>
      <c r="AT50" s="191"/>
      <c r="AU50" s="194">
        <v>100</v>
      </c>
      <c r="AV50" s="195"/>
      <c r="AW50" s="195"/>
      <c r="AX50" s="196"/>
      <c r="AY50" s="197" t="s">
        <v>142</v>
      </c>
      <c r="AZ50" s="198"/>
      <c r="BA50" s="198"/>
      <c r="BB50" s="198"/>
    </row>
    <row r="51" spans="4:54" ht="15" customHeight="1" x14ac:dyDescent="0.3">
      <c r="D51" s="26" t="s">
        <v>181</v>
      </c>
      <c r="E51" s="22"/>
      <c r="F51" s="10"/>
      <c r="G51" s="10"/>
      <c r="H51" s="10"/>
      <c r="I51" s="10"/>
      <c r="J51" s="12"/>
      <c r="K51" s="181" t="s">
        <v>2174</v>
      </c>
      <c r="L51" s="148"/>
      <c r="M51" s="149"/>
      <c r="N51" s="147" t="s">
        <v>2175</v>
      </c>
      <c r="O51" s="148"/>
      <c r="P51" s="149"/>
      <c r="Q51" s="147" t="s">
        <v>2176</v>
      </c>
      <c r="R51" s="148"/>
      <c r="S51" s="149"/>
      <c r="T51" s="147" t="s">
        <v>2177</v>
      </c>
      <c r="U51" s="148"/>
      <c r="V51" s="149"/>
      <c r="W51" s="147" t="s">
        <v>2178</v>
      </c>
      <c r="X51" s="148"/>
      <c r="Y51" s="149"/>
      <c r="Z51" s="147" t="s">
        <v>2179</v>
      </c>
      <c r="AA51" s="148"/>
      <c r="AB51" s="149"/>
      <c r="AC51" s="147" t="s">
        <v>2180</v>
      </c>
      <c r="AD51" s="148"/>
      <c r="AE51" s="149"/>
      <c r="AF51" s="147" t="s">
        <v>2181</v>
      </c>
      <c r="AG51" s="148"/>
      <c r="AH51" s="149"/>
      <c r="AI51" s="147" t="s">
        <v>2182</v>
      </c>
      <c r="AJ51" s="148"/>
      <c r="AK51" s="149"/>
      <c r="AL51" s="147" t="s">
        <v>2183</v>
      </c>
      <c r="AM51" s="148"/>
      <c r="AN51" s="149"/>
      <c r="AO51" s="147" t="s">
        <v>2184</v>
      </c>
      <c r="AP51" s="148"/>
      <c r="AQ51" s="149"/>
      <c r="AR51" s="147" t="s">
        <v>2185</v>
      </c>
      <c r="AS51" s="148"/>
      <c r="AT51" s="189"/>
      <c r="AU51" s="181" t="s">
        <v>2186</v>
      </c>
      <c r="AV51" s="148"/>
      <c r="AW51" s="148"/>
      <c r="AX51" s="189"/>
      <c r="AY51" s="181" t="s">
        <v>2187</v>
      </c>
      <c r="AZ51" s="148"/>
      <c r="BA51" s="148"/>
      <c r="BB51" s="148"/>
    </row>
    <row r="52" spans="4:54" ht="15" customHeight="1" x14ac:dyDescent="0.3">
      <c r="D52" s="26" t="s">
        <v>182</v>
      </c>
      <c r="E52" s="22"/>
      <c r="F52" s="10"/>
      <c r="G52" s="10"/>
      <c r="H52" s="10"/>
      <c r="I52" s="10"/>
      <c r="J52" s="12"/>
      <c r="K52" s="181" t="s">
        <v>2188</v>
      </c>
      <c r="L52" s="148"/>
      <c r="M52" s="149"/>
      <c r="N52" s="147" t="s">
        <v>2189</v>
      </c>
      <c r="O52" s="148"/>
      <c r="P52" s="149"/>
      <c r="Q52" s="147" t="s">
        <v>2190</v>
      </c>
      <c r="R52" s="148"/>
      <c r="S52" s="149"/>
      <c r="T52" s="147" t="s">
        <v>2191</v>
      </c>
      <c r="U52" s="148"/>
      <c r="V52" s="149"/>
      <c r="W52" s="147" t="s">
        <v>2192</v>
      </c>
      <c r="X52" s="148"/>
      <c r="Y52" s="149"/>
      <c r="Z52" s="147" t="s">
        <v>2193</v>
      </c>
      <c r="AA52" s="148"/>
      <c r="AB52" s="149"/>
      <c r="AC52" s="147" t="s">
        <v>2194</v>
      </c>
      <c r="AD52" s="148"/>
      <c r="AE52" s="149"/>
      <c r="AF52" s="147" t="s">
        <v>2195</v>
      </c>
      <c r="AG52" s="148"/>
      <c r="AH52" s="149"/>
      <c r="AI52" s="147" t="s">
        <v>2196</v>
      </c>
      <c r="AJ52" s="148"/>
      <c r="AK52" s="149"/>
      <c r="AL52" s="147" t="s">
        <v>2197</v>
      </c>
      <c r="AM52" s="148"/>
      <c r="AN52" s="149"/>
      <c r="AO52" s="147" t="s">
        <v>2198</v>
      </c>
      <c r="AP52" s="148"/>
      <c r="AQ52" s="149"/>
      <c r="AR52" s="147" t="s">
        <v>2199</v>
      </c>
      <c r="AS52" s="148"/>
      <c r="AT52" s="189"/>
      <c r="AU52" s="181" t="s">
        <v>2200</v>
      </c>
      <c r="AV52" s="148"/>
      <c r="AW52" s="148"/>
      <c r="AX52" s="189"/>
      <c r="AY52" s="181" t="s">
        <v>2201</v>
      </c>
      <c r="AZ52" s="148"/>
      <c r="BA52" s="148"/>
      <c r="BB52" s="148"/>
    </row>
    <row r="53" spans="4:54" ht="15" customHeight="1" x14ac:dyDescent="0.3">
      <c r="D53" s="26" t="s">
        <v>148</v>
      </c>
      <c r="E53" s="22"/>
      <c r="F53" s="10"/>
      <c r="G53" s="10"/>
      <c r="H53" s="10"/>
      <c r="I53" s="10"/>
      <c r="J53" s="12"/>
      <c r="K53" s="181" t="s">
        <v>2202</v>
      </c>
      <c r="L53" s="148"/>
      <c r="M53" s="149"/>
      <c r="N53" s="147" t="s">
        <v>2203</v>
      </c>
      <c r="O53" s="148"/>
      <c r="P53" s="149"/>
      <c r="Q53" s="147" t="s">
        <v>2204</v>
      </c>
      <c r="R53" s="148"/>
      <c r="S53" s="149"/>
      <c r="T53" s="147" t="s">
        <v>2205</v>
      </c>
      <c r="U53" s="148"/>
      <c r="V53" s="149"/>
      <c r="W53" s="147" t="s">
        <v>2206</v>
      </c>
      <c r="X53" s="148"/>
      <c r="Y53" s="149"/>
      <c r="Z53" s="147" t="s">
        <v>2207</v>
      </c>
      <c r="AA53" s="148"/>
      <c r="AB53" s="149"/>
      <c r="AC53" s="147" t="s">
        <v>2208</v>
      </c>
      <c r="AD53" s="148"/>
      <c r="AE53" s="149"/>
      <c r="AF53" s="147" t="s">
        <v>2209</v>
      </c>
      <c r="AG53" s="148"/>
      <c r="AH53" s="149"/>
      <c r="AI53" s="147" t="s">
        <v>2210</v>
      </c>
      <c r="AJ53" s="148"/>
      <c r="AK53" s="149"/>
      <c r="AL53" s="147" t="s">
        <v>2211</v>
      </c>
      <c r="AM53" s="148"/>
      <c r="AN53" s="149"/>
      <c r="AO53" s="147" t="s">
        <v>2212</v>
      </c>
      <c r="AP53" s="148"/>
      <c r="AQ53" s="149"/>
      <c r="AR53" s="147" t="s">
        <v>2213</v>
      </c>
      <c r="AS53" s="148"/>
      <c r="AT53" s="189"/>
      <c r="AU53" s="181" t="s">
        <v>2214</v>
      </c>
      <c r="AV53" s="148"/>
      <c r="AW53" s="148"/>
      <c r="AX53" s="189"/>
      <c r="AY53" s="181" t="s">
        <v>2215</v>
      </c>
      <c r="AZ53" s="148"/>
      <c r="BA53" s="148"/>
      <c r="BB53" s="148"/>
    </row>
    <row r="54" spans="4:54" ht="15" customHeight="1" x14ac:dyDescent="0.3">
      <c r="D54" s="26" t="s">
        <v>183</v>
      </c>
      <c r="E54" s="22"/>
      <c r="F54" s="10"/>
      <c r="G54" s="10"/>
      <c r="H54" s="10"/>
      <c r="I54" s="10"/>
      <c r="J54" s="12"/>
      <c r="K54" s="181" t="s">
        <v>2216</v>
      </c>
      <c r="L54" s="148"/>
      <c r="M54" s="149"/>
      <c r="N54" s="147" t="s">
        <v>2217</v>
      </c>
      <c r="O54" s="148"/>
      <c r="P54" s="149"/>
      <c r="Q54" s="147" t="s">
        <v>2218</v>
      </c>
      <c r="R54" s="148"/>
      <c r="S54" s="149"/>
      <c r="T54" s="147" t="s">
        <v>2219</v>
      </c>
      <c r="U54" s="148"/>
      <c r="V54" s="149"/>
      <c r="W54" s="147" t="s">
        <v>2220</v>
      </c>
      <c r="X54" s="148"/>
      <c r="Y54" s="149"/>
      <c r="Z54" s="147" t="s">
        <v>2221</v>
      </c>
      <c r="AA54" s="148"/>
      <c r="AB54" s="149"/>
      <c r="AC54" s="147" t="s">
        <v>2222</v>
      </c>
      <c r="AD54" s="148"/>
      <c r="AE54" s="149"/>
      <c r="AF54" s="147" t="s">
        <v>2223</v>
      </c>
      <c r="AG54" s="148"/>
      <c r="AH54" s="149"/>
      <c r="AI54" s="147" t="s">
        <v>2224</v>
      </c>
      <c r="AJ54" s="148"/>
      <c r="AK54" s="149"/>
      <c r="AL54" s="147" t="s">
        <v>2225</v>
      </c>
      <c r="AM54" s="148"/>
      <c r="AN54" s="149"/>
      <c r="AO54" s="147" t="s">
        <v>2226</v>
      </c>
      <c r="AP54" s="148"/>
      <c r="AQ54" s="149"/>
      <c r="AR54" s="147" t="s">
        <v>2227</v>
      </c>
      <c r="AS54" s="148"/>
      <c r="AT54" s="189"/>
      <c r="AU54" s="181" t="s">
        <v>2228</v>
      </c>
      <c r="AV54" s="148"/>
      <c r="AW54" s="148"/>
      <c r="AX54" s="189"/>
      <c r="AY54" s="181" t="s">
        <v>2229</v>
      </c>
      <c r="AZ54" s="148"/>
      <c r="BA54" s="148"/>
      <c r="BB54" s="148"/>
    </row>
    <row r="55" spans="4:54" ht="15" customHeight="1" x14ac:dyDescent="0.3">
      <c r="D55" s="26" t="s">
        <v>184</v>
      </c>
      <c r="E55" s="22"/>
      <c r="F55" s="10"/>
      <c r="G55" s="10"/>
      <c r="H55" s="10"/>
      <c r="I55" s="10"/>
      <c r="J55" s="12"/>
      <c r="K55" s="181" t="s">
        <v>2230</v>
      </c>
      <c r="L55" s="148"/>
      <c r="M55" s="149"/>
      <c r="N55" s="147" t="s">
        <v>2231</v>
      </c>
      <c r="O55" s="148"/>
      <c r="P55" s="149"/>
      <c r="Q55" s="147" t="s">
        <v>2232</v>
      </c>
      <c r="R55" s="148"/>
      <c r="S55" s="149"/>
      <c r="T55" s="147" t="s">
        <v>2233</v>
      </c>
      <c r="U55" s="148"/>
      <c r="V55" s="149"/>
      <c r="W55" s="147" t="s">
        <v>2234</v>
      </c>
      <c r="X55" s="148"/>
      <c r="Y55" s="149"/>
      <c r="Z55" s="147" t="s">
        <v>2235</v>
      </c>
      <c r="AA55" s="148"/>
      <c r="AB55" s="149"/>
      <c r="AC55" s="147" t="s">
        <v>2236</v>
      </c>
      <c r="AD55" s="148"/>
      <c r="AE55" s="149"/>
      <c r="AF55" s="147" t="s">
        <v>2237</v>
      </c>
      <c r="AG55" s="148"/>
      <c r="AH55" s="149"/>
      <c r="AI55" s="147" t="s">
        <v>2238</v>
      </c>
      <c r="AJ55" s="148"/>
      <c r="AK55" s="149"/>
      <c r="AL55" s="147" t="s">
        <v>2239</v>
      </c>
      <c r="AM55" s="148"/>
      <c r="AN55" s="149"/>
      <c r="AO55" s="147" t="s">
        <v>2240</v>
      </c>
      <c r="AP55" s="148"/>
      <c r="AQ55" s="149"/>
      <c r="AR55" s="147" t="s">
        <v>2241</v>
      </c>
      <c r="AS55" s="148"/>
      <c r="AT55" s="189"/>
      <c r="AU55" s="181" t="s">
        <v>2242</v>
      </c>
      <c r="AV55" s="148"/>
      <c r="AW55" s="148"/>
      <c r="AX55" s="189"/>
      <c r="AY55" s="181" t="s">
        <v>2243</v>
      </c>
      <c r="AZ55" s="148"/>
      <c r="BA55" s="148"/>
      <c r="BB55" s="148"/>
    </row>
    <row r="56" spans="4:54" ht="15" customHeight="1" x14ac:dyDescent="0.3">
      <c r="D56" s="27" t="s">
        <v>152</v>
      </c>
      <c r="E56" s="23"/>
      <c r="F56" s="11"/>
      <c r="G56" s="11"/>
      <c r="H56" s="11"/>
      <c r="I56" s="11"/>
      <c r="J56" s="13"/>
      <c r="K56" s="182" t="s">
        <v>2244</v>
      </c>
      <c r="L56" s="151"/>
      <c r="M56" s="152"/>
      <c r="N56" s="150" t="s">
        <v>2245</v>
      </c>
      <c r="O56" s="151"/>
      <c r="P56" s="152"/>
      <c r="Q56" s="150" t="s">
        <v>2246</v>
      </c>
      <c r="R56" s="151"/>
      <c r="S56" s="152"/>
      <c r="T56" s="150" t="s">
        <v>2247</v>
      </c>
      <c r="U56" s="151"/>
      <c r="V56" s="152"/>
      <c r="W56" s="150" t="s">
        <v>2248</v>
      </c>
      <c r="X56" s="151"/>
      <c r="Y56" s="152"/>
      <c r="Z56" s="150" t="s">
        <v>2249</v>
      </c>
      <c r="AA56" s="151"/>
      <c r="AB56" s="152"/>
      <c r="AC56" s="150" t="s">
        <v>2250</v>
      </c>
      <c r="AD56" s="151"/>
      <c r="AE56" s="152"/>
      <c r="AF56" s="150" t="s">
        <v>2251</v>
      </c>
      <c r="AG56" s="151"/>
      <c r="AH56" s="152"/>
      <c r="AI56" s="150" t="s">
        <v>2252</v>
      </c>
      <c r="AJ56" s="151"/>
      <c r="AK56" s="152"/>
      <c r="AL56" s="150" t="s">
        <v>2253</v>
      </c>
      <c r="AM56" s="151"/>
      <c r="AN56" s="152"/>
      <c r="AO56" s="150" t="s">
        <v>2254</v>
      </c>
      <c r="AP56" s="151"/>
      <c r="AQ56" s="152"/>
      <c r="AR56" s="150" t="s">
        <v>2255</v>
      </c>
      <c r="AS56" s="151"/>
      <c r="AT56" s="193"/>
      <c r="AU56" s="182" t="s">
        <v>2256</v>
      </c>
      <c r="AV56" s="151"/>
      <c r="AW56" s="151"/>
      <c r="AX56" s="193"/>
      <c r="AY56" s="182" t="s">
        <v>2257</v>
      </c>
      <c r="AZ56" s="151"/>
      <c r="BA56" s="151"/>
      <c r="BB56" s="151"/>
    </row>
  </sheetData>
  <mergeCells count="197">
    <mergeCell ref="Z56:AB56"/>
    <mergeCell ref="AC56:AE56"/>
    <mergeCell ref="Z55:AB55"/>
    <mergeCell ref="AC55:AE55"/>
    <mergeCell ref="AY56:BB56"/>
    <mergeCell ref="AF56:AH56"/>
    <mergeCell ref="AI56:AK56"/>
    <mergeCell ref="AL56:AN56"/>
    <mergeCell ref="AO56:AQ56"/>
    <mergeCell ref="AR56:AT56"/>
    <mergeCell ref="AU56:AX56"/>
    <mergeCell ref="AR55:AT55"/>
    <mergeCell ref="AU55:AX55"/>
    <mergeCell ref="AY55:BB55"/>
    <mergeCell ref="AF55:AH55"/>
    <mergeCell ref="AI55:AK55"/>
    <mergeCell ref="AL55:AN55"/>
    <mergeCell ref="AO55:AQ55"/>
    <mergeCell ref="K55:M55"/>
    <mergeCell ref="N55:P55"/>
    <mergeCell ref="Q55:S55"/>
    <mergeCell ref="T55:V55"/>
    <mergeCell ref="W55:Y55"/>
    <mergeCell ref="K56:M56"/>
    <mergeCell ref="N56:P56"/>
    <mergeCell ref="Q56:S56"/>
    <mergeCell ref="T56:V56"/>
    <mergeCell ref="W56:Y56"/>
    <mergeCell ref="AY53:BB53"/>
    <mergeCell ref="AF53:AH53"/>
    <mergeCell ref="AI53:AK53"/>
    <mergeCell ref="K54:M54"/>
    <mergeCell ref="N54:P54"/>
    <mergeCell ref="Q54:S54"/>
    <mergeCell ref="T54:V54"/>
    <mergeCell ref="W54:Y54"/>
    <mergeCell ref="Z54:AB54"/>
    <mergeCell ref="AC54:AE54"/>
    <mergeCell ref="AF54:AH54"/>
    <mergeCell ref="AI54:AK54"/>
    <mergeCell ref="AL53:AN53"/>
    <mergeCell ref="AO53:AQ53"/>
    <mergeCell ref="AR53:AT53"/>
    <mergeCell ref="AU53:AX53"/>
    <mergeCell ref="AL54:AN54"/>
    <mergeCell ref="AO54:AQ54"/>
    <mergeCell ref="AR54:AT54"/>
    <mergeCell ref="AU54:AX54"/>
    <mergeCell ref="AY54:BB54"/>
    <mergeCell ref="K53:M53"/>
    <mergeCell ref="N53:P53"/>
    <mergeCell ref="Q53:S53"/>
    <mergeCell ref="T53:V53"/>
    <mergeCell ref="W53:Y53"/>
    <mergeCell ref="Z53:AB53"/>
    <mergeCell ref="AC53:AE53"/>
    <mergeCell ref="Z52:AB52"/>
    <mergeCell ref="AC52:AE52"/>
    <mergeCell ref="AL51:AN51"/>
    <mergeCell ref="AO51:AQ51"/>
    <mergeCell ref="AR51:AT51"/>
    <mergeCell ref="AU51:AX51"/>
    <mergeCell ref="AY51:BB51"/>
    <mergeCell ref="K52:M52"/>
    <mergeCell ref="N52:P52"/>
    <mergeCell ref="Q52:S52"/>
    <mergeCell ref="T52:V52"/>
    <mergeCell ref="W52:Y52"/>
    <mergeCell ref="AR52:AT52"/>
    <mergeCell ref="AU52:AX52"/>
    <mergeCell ref="AY52:BB52"/>
    <mergeCell ref="AF52:AH52"/>
    <mergeCell ref="AI52:AK52"/>
    <mergeCell ref="AL52:AN52"/>
    <mergeCell ref="AO52:AQ52"/>
    <mergeCell ref="K51:M51"/>
    <mergeCell ref="N51:P51"/>
    <mergeCell ref="Q51:S51"/>
    <mergeCell ref="T51:V51"/>
    <mergeCell ref="W51:Y51"/>
    <mergeCell ref="Z51:AB51"/>
    <mergeCell ref="AC51:AE51"/>
    <mergeCell ref="AF51:AH51"/>
    <mergeCell ref="AI51:AK51"/>
    <mergeCell ref="AU45:AX45"/>
    <mergeCell ref="AY45:BB45"/>
    <mergeCell ref="K50:M50"/>
    <mergeCell ref="N50:P50"/>
    <mergeCell ref="Q50:S50"/>
    <mergeCell ref="T50:V50"/>
    <mergeCell ref="W50:Y50"/>
    <mergeCell ref="Z50:AB50"/>
    <mergeCell ref="AC50:AE50"/>
    <mergeCell ref="Z45:AB45"/>
    <mergeCell ref="AC45:AE45"/>
    <mergeCell ref="AF45:AH45"/>
    <mergeCell ref="AI45:AK45"/>
    <mergeCell ref="AL45:AN45"/>
    <mergeCell ref="AO45:AQ45"/>
    <mergeCell ref="AY50:BB50"/>
    <mergeCell ref="AF50:AH50"/>
    <mergeCell ref="AI50:AK50"/>
    <mergeCell ref="AL50:AN50"/>
    <mergeCell ref="AO50:AQ50"/>
    <mergeCell ref="AR50:AT50"/>
    <mergeCell ref="AU50:AX50"/>
    <mergeCell ref="K43:M43"/>
    <mergeCell ref="N43:P43"/>
    <mergeCell ref="Q43:S43"/>
    <mergeCell ref="K45:M45"/>
    <mergeCell ref="N45:P45"/>
    <mergeCell ref="Q45:S45"/>
    <mergeCell ref="T45:V45"/>
    <mergeCell ref="W45:Y45"/>
    <mergeCell ref="AR45:AT45"/>
    <mergeCell ref="AO41:AQ41"/>
    <mergeCell ref="AR41:AT41"/>
    <mergeCell ref="AU41:AX41"/>
    <mergeCell ref="AY43:BB43"/>
    <mergeCell ref="K44:M44"/>
    <mergeCell ref="N44:P44"/>
    <mergeCell ref="Q44:S44"/>
    <mergeCell ref="T44:V44"/>
    <mergeCell ref="W44:Y44"/>
    <mergeCell ref="Z44:AB44"/>
    <mergeCell ref="AC44:AE44"/>
    <mergeCell ref="AF44:AH44"/>
    <mergeCell ref="AI44:AK44"/>
    <mergeCell ref="AF43:AH43"/>
    <mergeCell ref="AI43:AK43"/>
    <mergeCell ref="AL43:AN43"/>
    <mergeCell ref="AO43:AQ43"/>
    <mergeCell ref="AR43:AT43"/>
    <mergeCell ref="AU43:AX43"/>
    <mergeCell ref="AL44:AN44"/>
    <mergeCell ref="AO44:AQ44"/>
    <mergeCell ref="AR44:AT44"/>
    <mergeCell ref="AU44:AX44"/>
    <mergeCell ref="AY44:BB44"/>
    <mergeCell ref="N39:P39"/>
    <mergeCell ref="Q39:S39"/>
    <mergeCell ref="AI40:AK40"/>
    <mergeCell ref="AL40:AN40"/>
    <mergeCell ref="AO40:AQ40"/>
    <mergeCell ref="AY41:BB41"/>
    <mergeCell ref="K42:M42"/>
    <mergeCell ref="N42:P42"/>
    <mergeCell ref="Q42:S42"/>
    <mergeCell ref="T42:V42"/>
    <mergeCell ref="W42:Y42"/>
    <mergeCell ref="AR42:AT42"/>
    <mergeCell ref="AU42:AX42"/>
    <mergeCell ref="AY42:BB42"/>
    <mergeCell ref="AF42:AH42"/>
    <mergeCell ref="AI42:AK42"/>
    <mergeCell ref="AL42:AN42"/>
    <mergeCell ref="AO42:AQ42"/>
    <mergeCell ref="K41:M41"/>
    <mergeCell ref="N41:P41"/>
    <mergeCell ref="Q41:S41"/>
    <mergeCell ref="T41:V41"/>
    <mergeCell ref="W41:Y41"/>
    <mergeCell ref="AL41:AN41"/>
    <mergeCell ref="Z41:AB41"/>
    <mergeCell ref="AC41:AE41"/>
    <mergeCell ref="AF41:AH41"/>
    <mergeCell ref="AI41:AK41"/>
    <mergeCell ref="T43:V43"/>
    <mergeCell ref="W43:Y43"/>
    <mergeCell ref="Z43:AB43"/>
    <mergeCell ref="AC43:AE43"/>
    <mergeCell ref="Z42:AB42"/>
    <mergeCell ref="AC42:AE42"/>
    <mergeCell ref="F12:L12"/>
    <mergeCell ref="AR39:AT39"/>
    <mergeCell ref="AU39:AX39"/>
    <mergeCell ref="AY39:BB39"/>
    <mergeCell ref="K40:M40"/>
    <mergeCell ref="N40:P40"/>
    <mergeCell ref="Q40:S40"/>
    <mergeCell ref="T40:V40"/>
    <mergeCell ref="W40:Y40"/>
    <mergeCell ref="Z40:AB40"/>
    <mergeCell ref="AC40:AE40"/>
    <mergeCell ref="Z39:AB39"/>
    <mergeCell ref="AC39:AE39"/>
    <mergeCell ref="AF39:AH39"/>
    <mergeCell ref="AI39:AK39"/>
    <mergeCell ref="AL39:AN39"/>
    <mergeCell ref="AR40:AT40"/>
    <mergeCell ref="AU40:AX40"/>
    <mergeCell ref="T39:V39"/>
    <mergeCell ref="W39:Y39"/>
    <mergeCell ref="AY40:BB40"/>
    <mergeCell ref="AF40:AH40"/>
    <mergeCell ref="AO39:AQ39"/>
    <mergeCell ref="K39:M39"/>
  </mergeCells>
  <phoneticPr fontId="1" type="noConversion"/>
  <pageMargins left="0.25" right="0.25" top="0.75" bottom="0.75" header="0.3" footer="0.3"/>
  <pageSetup paperSize="9" scale="7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304C-7219-486D-88A2-3C5C53CADA82}">
  <dimension ref="B1:BL56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2" t="s">
        <v>212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</row>
    <row r="3" spans="2:64" ht="5.25" customHeight="1" x14ac:dyDescent="0.3"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2:64" ht="15" customHeight="1" x14ac:dyDescent="0.3">
      <c r="B4" s="21"/>
      <c r="D4" s="5" t="s">
        <v>1935</v>
      </c>
      <c r="E4" s="43"/>
      <c r="F4" s="43"/>
      <c r="H4" s="43"/>
    </row>
    <row r="5" spans="2:64" ht="15" customHeight="1" x14ac:dyDescent="0.3">
      <c r="D5" s="20" t="s">
        <v>1936</v>
      </c>
      <c r="E5" s="20"/>
      <c r="F5" s="43"/>
      <c r="G5" s="43"/>
      <c r="H5" s="43"/>
      <c r="I5" s="43"/>
      <c r="J5" s="43"/>
      <c r="K5" s="43"/>
      <c r="L5" s="43"/>
      <c r="M5" s="43"/>
      <c r="N5" s="43"/>
    </row>
    <row r="6" spans="2:64" ht="15" customHeight="1" x14ac:dyDescent="0.3">
      <c r="D6" s="15" t="s">
        <v>213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</row>
    <row r="7" spans="2:64" ht="15" customHeigh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BG7" s="24" t="s">
        <v>42</v>
      </c>
      <c r="BH7" s="24" t="s">
        <v>135</v>
      </c>
      <c r="BI7" s="24" t="s">
        <v>136</v>
      </c>
      <c r="BJ7" s="24" t="s">
        <v>137</v>
      </c>
      <c r="BK7" s="24" t="s">
        <v>124</v>
      </c>
      <c r="BL7" s="24" t="s">
        <v>138</v>
      </c>
    </row>
    <row r="8" spans="2:64" ht="15" customHeight="1" x14ac:dyDescent="0.3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BG8" s="24" t="s">
        <v>43</v>
      </c>
      <c r="BH8" s="73" t="s">
        <v>2547</v>
      </c>
      <c r="BI8" s="73" t="s">
        <v>2548</v>
      </c>
      <c r="BJ8" s="73" t="s">
        <v>2549</v>
      </c>
      <c r="BK8" s="24" t="s">
        <v>215</v>
      </c>
      <c r="BL8" s="24" t="s">
        <v>216</v>
      </c>
    </row>
    <row r="9" spans="2:64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44</v>
      </c>
      <c r="BH9" s="73" t="s">
        <v>2550</v>
      </c>
      <c r="BI9" s="73" t="s">
        <v>2551</v>
      </c>
      <c r="BJ9" s="73" t="s">
        <v>2552</v>
      </c>
      <c r="BK9" s="24" t="s">
        <v>217</v>
      </c>
      <c r="BL9" s="24" t="s">
        <v>1069</v>
      </c>
    </row>
    <row r="10" spans="2:64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45</v>
      </c>
      <c r="BH10" s="73" t="s">
        <v>2553</v>
      </c>
      <c r="BI10" s="73" t="s">
        <v>2554</v>
      </c>
      <c r="BJ10" s="73" t="s">
        <v>2555</v>
      </c>
      <c r="BK10" s="24" t="s">
        <v>218</v>
      </c>
      <c r="BL10" s="24" t="s">
        <v>1070</v>
      </c>
    </row>
    <row r="11" spans="2:64" ht="15" customHeight="1" x14ac:dyDescent="0.3">
      <c r="B11" s="43"/>
      <c r="C11" s="43"/>
      <c r="D11" s="43"/>
      <c r="E11" s="43"/>
      <c r="F11" s="43"/>
      <c r="G11" s="43"/>
      <c r="H11" s="43"/>
      <c r="I11" s="74" t="s">
        <v>94</v>
      </c>
      <c r="J11" s="43"/>
      <c r="K11" s="43"/>
      <c r="L11" s="43"/>
      <c r="M11" s="43"/>
      <c r="N11" s="43"/>
      <c r="BG11" s="24" t="s">
        <v>46</v>
      </c>
      <c r="BH11" s="73" t="s">
        <v>2556</v>
      </c>
      <c r="BI11" s="73" t="s">
        <v>2557</v>
      </c>
      <c r="BJ11" s="73" t="s">
        <v>2558</v>
      </c>
      <c r="BK11" s="24" t="s">
        <v>219</v>
      </c>
      <c r="BL11" s="24" t="s">
        <v>1071</v>
      </c>
    </row>
    <row r="12" spans="2:64" ht="15" customHeight="1" x14ac:dyDescent="0.3">
      <c r="B12" s="43"/>
      <c r="C12" s="43"/>
      <c r="D12" s="43"/>
      <c r="E12" s="43"/>
      <c r="F12" s="164" t="s">
        <v>231</v>
      </c>
      <c r="G12" s="164"/>
      <c r="H12" s="164"/>
      <c r="I12" s="164"/>
      <c r="J12" s="164"/>
      <c r="K12" s="164"/>
      <c r="L12" s="164"/>
      <c r="M12" s="43"/>
      <c r="N12" s="43"/>
      <c r="BG12" s="24" t="s">
        <v>47</v>
      </c>
      <c r="BH12" s="73" t="s">
        <v>2559</v>
      </c>
      <c r="BI12" s="73" t="s">
        <v>2560</v>
      </c>
      <c r="BJ12" s="73" t="s">
        <v>2561</v>
      </c>
      <c r="BK12" s="24" t="s">
        <v>221</v>
      </c>
      <c r="BL12" s="24" t="s">
        <v>1072</v>
      </c>
    </row>
    <row r="13" spans="2:64" ht="1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BG13" s="24" t="s">
        <v>48</v>
      </c>
      <c r="BH13" s="73" t="s">
        <v>2562</v>
      </c>
      <c r="BI13" s="73" t="s">
        <v>2563</v>
      </c>
      <c r="BJ13" s="73" t="s">
        <v>2564</v>
      </c>
      <c r="BK13" s="24" t="s">
        <v>222</v>
      </c>
      <c r="BL13" s="24" t="s">
        <v>1073</v>
      </c>
    </row>
    <row r="14" spans="2:64" ht="15" customHeight="1" x14ac:dyDescent="0.3">
      <c r="BG14" s="24" t="s">
        <v>49</v>
      </c>
      <c r="BH14" s="73" t="s">
        <v>2565</v>
      </c>
      <c r="BI14" s="73" t="s">
        <v>2566</v>
      </c>
      <c r="BJ14" s="73" t="s">
        <v>2567</v>
      </c>
      <c r="BK14" s="24" t="s">
        <v>223</v>
      </c>
      <c r="BL14" s="24" t="s">
        <v>1074</v>
      </c>
    </row>
    <row r="15" spans="2:64" ht="15" customHeight="1" x14ac:dyDescent="0.3">
      <c r="BG15" s="24" t="s">
        <v>50</v>
      </c>
      <c r="BH15" s="73" t="s">
        <v>2568</v>
      </c>
      <c r="BI15" s="73" t="s">
        <v>2569</v>
      </c>
      <c r="BJ15" s="73" t="s">
        <v>2570</v>
      </c>
      <c r="BK15" s="24" t="s">
        <v>224</v>
      </c>
      <c r="BL15" s="24" t="s">
        <v>1075</v>
      </c>
    </row>
    <row r="16" spans="2:64" ht="15" customHeight="1" x14ac:dyDescent="0.3">
      <c r="BG16" s="24" t="s">
        <v>51</v>
      </c>
      <c r="BH16" s="73" t="s">
        <v>2571</v>
      </c>
      <c r="BI16" s="73" t="s">
        <v>2572</v>
      </c>
      <c r="BJ16" s="73" t="s">
        <v>2573</v>
      </c>
      <c r="BK16" s="24" t="s">
        <v>225</v>
      </c>
      <c r="BL16" s="24" t="s">
        <v>1076</v>
      </c>
    </row>
    <row r="17" spans="4:64" ht="15" customHeight="1" x14ac:dyDescent="0.3">
      <c r="BG17" s="24" t="s">
        <v>52</v>
      </c>
      <c r="BH17" s="73" t="s">
        <v>2574</v>
      </c>
      <c r="BI17" s="73" t="s">
        <v>2575</v>
      </c>
      <c r="BJ17" s="73" t="s">
        <v>2576</v>
      </c>
      <c r="BK17" s="24" t="s">
        <v>226</v>
      </c>
      <c r="BL17" s="24" t="s">
        <v>1077</v>
      </c>
    </row>
    <row r="18" spans="4:64" ht="15" customHeight="1" x14ac:dyDescent="0.3">
      <c r="BG18" s="24" t="s">
        <v>53</v>
      </c>
      <c r="BH18" s="73" t="s">
        <v>2577</v>
      </c>
      <c r="BI18" s="73" t="s">
        <v>2578</v>
      </c>
      <c r="BJ18" s="73" t="s">
        <v>2579</v>
      </c>
      <c r="BK18" s="24" t="s">
        <v>227</v>
      </c>
      <c r="BL18" s="24" t="s">
        <v>1078</v>
      </c>
    </row>
    <row r="19" spans="4:64" ht="15" customHeight="1" x14ac:dyDescent="0.3">
      <c r="D19" s="15" t="s">
        <v>39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G19" s="24" t="s">
        <v>54</v>
      </c>
      <c r="BH19" s="73" t="s">
        <v>2580</v>
      </c>
      <c r="BI19" s="73" t="s">
        <v>2581</v>
      </c>
      <c r="BJ19" s="73" t="s">
        <v>2582</v>
      </c>
      <c r="BK19" s="24" t="s">
        <v>228</v>
      </c>
      <c r="BL19" s="24" t="s">
        <v>1079</v>
      </c>
    </row>
    <row r="20" spans="4:64" ht="15" customHeight="1" x14ac:dyDescent="0.3">
      <c r="BG20" s="24" t="s">
        <v>139</v>
      </c>
      <c r="BH20" s="73" t="s">
        <v>2583</v>
      </c>
      <c r="BI20" s="73" t="s">
        <v>2584</v>
      </c>
      <c r="BJ20" s="73" t="s">
        <v>2585</v>
      </c>
      <c r="BK20" s="24" t="s">
        <v>220</v>
      </c>
      <c r="BL20" s="24" t="s">
        <v>1080</v>
      </c>
    </row>
    <row r="25" spans="4:64" ht="15" customHeight="1" x14ac:dyDescent="0.3">
      <c r="G25" s="65"/>
    </row>
    <row r="26" spans="4:64" ht="15" customHeight="1" x14ac:dyDescent="0.3">
      <c r="T26" s="65"/>
    </row>
    <row r="34" spans="4:56" ht="15" customHeight="1" x14ac:dyDescent="0.3">
      <c r="D34" s="5" t="s">
        <v>1937</v>
      </c>
      <c r="K34" s="43"/>
    </row>
    <row r="36" spans="4:56" ht="15" customHeight="1" x14ac:dyDescent="0.3">
      <c r="D36" s="15" t="s">
        <v>123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</row>
    <row r="37" spans="4:56" ht="5.0999999999999996" customHeight="1" x14ac:dyDescent="0.3"/>
    <row r="38" spans="4:56" ht="15" customHeight="1" x14ac:dyDescent="0.3">
      <c r="D38" s="28" t="s">
        <v>40</v>
      </c>
      <c r="E38" s="28"/>
      <c r="F38" s="28"/>
      <c r="G38" s="28"/>
      <c r="H38" s="28"/>
      <c r="I38" s="28"/>
      <c r="J38" s="28"/>
      <c r="K38" s="29" t="s">
        <v>12</v>
      </c>
      <c r="L38" s="30"/>
      <c r="M38" s="32"/>
      <c r="N38" s="33" t="s">
        <v>13</v>
      </c>
      <c r="O38" s="30"/>
      <c r="P38" s="32"/>
      <c r="Q38" s="33" t="s">
        <v>14</v>
      </c>
      <c r="R38" s="30"/>
      <c r="S38" s="32"/>
      <c r="T38" s="33" t="s">
        <v>15</v>
      </c>
      <c r="U38" s="30"/>
      <c r="V38" s="32"/>
      <c r="W38" s="33" t="s">
        <v>16</v>
      </c>
      <c r="X38" s="30"/>
      <c r="Y38" s="32"/>
      <c r="Z38" s="33" t="s">
        <v>17</v>
      </c>
      <c r="AA38" s="30"/>
      <c r="AB38" s="32"/>
      <c r="AC38" s="33" t="s">
        <v>18</v>
      </c>
      <c r="AD38" s="30"/>
      <c r="AE38" s="32"/>
      <c r="AF38" s="33" t="s">
        <v>19</v>
      </c>
      <c r="AG38" s="30"/>
      <c r="AH38" s="32"/>
      <c r="AI38" s="33" t="s">
        <v>20</v>
      </c>
      <c r="AJ38" s="30"/>
      <c r="AK38" s="32"/>
      <c r="AL38" s="33" t="s">
        <v>21</v>
      </c>
      <c r="AM38" s="30"/>
      <c r="AN38" s="32"/>
      <c r="AO38" s="33" t="s">
        <v>22</v>
      </c>
      <c r="AP38" s="30"/>
      <c r="AQ38" s="32"/>
      <c r="AR38" s="33" t="s">
        <v>23</v>
      </c>
      <c r="AS38" s="30"/>
      <c r="AT38" s="30"/>
      <c r="AU38" s="29" t="s">
        <v>41</v>
      </c>
      <c r="AV38" s="30"/>
      <c r="AW38" s="30"/>
      <c r="AX38" s="31"/>
      <c r="AY38" s="29" t="s">
        <v>59</v>
      </c>
      <c r="AZ38" s="30"/>
      <c r="BA38" s="30"/>
      <c r="BB38" s="30"/>
    </row>
    <row r="39" spans="4:56" ht="15" customHeight="1" x14ac:dyDescent="0.3">
      <c r="D39" s="16" t="s">
        <v>94</v>
      </c>
      <c r="E39" s="16"/>
      <c r="F39" s="16"/>
      <c r="G39" s="16"/>
      <c r="H39" s="16"/>
      <c r="I39" s="16"/>
      <c r="J39" s="17"/>
      <c r="K39" s="184" t="s">
        <v>215</v>
      </c>
      <c r="L39" s="183"/>
      <c r="M39" s="183"/>
      <c r="N39" s="183" t="s">
        <v>217</v>
      </c>
      <c r="O39" s="183"/>
      <c r="P39" s="183"/>
      <c r="Q39" s="183" t="s">
        <v>218</v>
      </c>
      <c r="R39" s="183"/>
      <c r="S39" s="183"/>
      <c r="T39" s="183" t="s">
        <v>219</v>
      </c>
      <c r="U39" s="183"/>
      <c r="V39" s="183"/>
      <c r="W39" s="183" t="s">
        <v>221</v>
      </c>
      <c r="X39" s="183"/>
      <c r="Y39" s="183"/>
      <c r="Z39" s="183" t="s">
        <v>222</v>
      </c>
      <c r="AA39" s="183"/>
      <c r="AB39" s="183"/>
      <c r="AC39" s="183" t="s">
        <v>223</v>
      </c>
      <c r="AD39" s="183"/>
      <c r="AE39" s="183"/>
      <c r="AF39" s="183" t="s">
        <v>224</v>
      </c>
      <c r="AG39" s="183"/>
      <c r="AH39" s="183"/>
      <c r="AI39" s="183" t="s">
        <v>225</v>
      </c>
      <c r="AJ39" s="183"/>
      <c r="AK39" s="183"/>
      <c r="AL39" s="183" t="s">
        <v>226</v>
      </c>
      <c r="AM39" s="183"/>
      <c r="AN39" s="183"/>
      <c r="AO39" s="183" t="s">
        <v>227</v>
      </c>
      <c r="AP39" s="183"/>
      <c r="AQ39" s="183"/>
      <c r="AR39" s="183" t="s">
        <v>228</v>
      </c>
      <c r="AS39" s="183"/>
      <c r="AT39" s="185"/>
      <c r="AU39" s="184" t="s">
        <v>220</v>
      </c>
      <c r="AV39" s="183"/>
      <c r="AW39" s="183"/>
      <c r="AX39" s="186"/>
      <c r="AY39" s="187" t="s">
        <v>2468</v>
      </c>
      <c r="AZ39" s="188"/>
      <c r="BA39" s="188"/>
      <c r="BB39" s="188"/>
    </row>
    <row r="40" spans="4:56" ht="15" customHeight="1" x14ac:dyDescent="0.3">
      <c r="D40" s="26" t="s">
        <v>125</v>
      </c>
      <c r="E40" s="22"/>
      <c r="F40" s="10"/>
      <c r="G40" s="10"/>
      <c r="H40" s="10"/>
      <c r="I40" s="10"/>
      <c r="J40" s="12"/>
      <c r="K40" s="181" t="s">
        <v>2258</v>
      </c>
      <c r="L40" s="148"/>
      <c r="M40" s="149"/>
      <c r="N40" s="147" t="s">
        <v>2259</v>
      </c>
      <c r="O40" s="148"/>
      <c r="P40" s="149"/>
      <c r="Q40" s="147" t="s">
        <v>2260</v>
      </c>
      <c r="R40" s="148"/>
      <c r="S40" s="149"/>
      <c r="T40" s="147" t="s">
        <v>2261</v>
      </c>
      <c r="U40" s="148"/>
      <c r="V40" s="149"/>
      <c r="W40" s="147" t="s">
        <v>2262</v>
      </c>
      <c r="X40" s="148"/>
      <c r="Y40" s="149"/>
      <c r="Z40" s="147" t="s">
        <v>2263</v>
      </c>
      <c r="AA40" s="148"/>
      <c r="AB40" s="149"/>
      <c r="AC40" s="147" t="s">
        <v>2264</v>
      </c>
      <c r="AD40" s="148"/>
      <c r="AE40" s="149"/>
      <c r="AF40" s="147" t="s">
        <v>2265</v>
      </c>
      <c r="AG40" s="148"/>
      <c r="AH40" s="149"/>
      <c r="AI40" s="147" t="s">
        <v>2266</v>
      </c>
      <c r="AJ40" s="148"/>
      <c r="AK40" s="149"/>
      <c r="AL40" s="147" t="s">
        <v>2267</v>
      </c>
      <c r="AM40" s="148"/>
      <c r="AN40" s="149"/>
      <c r="AO40" s="147" t="s">
        <v>2268</v>
      </c>
      <c r="AP40" s="148"/>
      <c r="AQ40" s="149"/>
      <c r="AR40" s="147" t="s">
        <v>2269</v>
      </c>
      <c r="AS40" s="148"/>
      <c r="AT40" s="189"/>
      <c r="AU40" s="181" t="s">
        <v>2270</v>
      </c>
      <c r="AV40" s="148"/>
      <c r="AW40" s="148"/>
      <c r="AX40" s="189"/>
      <c r="AY40" s="181" t="s">
        <v>2271</v>
      </c>
      <c r="AZ40" s="148"/>
      <c r="BA40" s="148"/>
      <c r="BB40" s="148"/>
    </row>
    <row r="41" spans="4:56" ht="15" customHeight="1" x14ac:dyDescent="0.3">
      <c r="D41" s="26" t="s">
        <v>126</v>
      </c>
      <c r="E41" s="22"/>
      <c r="F41" s="10"/>
      <c r="G41" s="10"/>
      <c r="H41" s="10"/>
      <c r="I41" s="10"/>
      <c r="J41" s="12"/>
      <c r="K41" s="181" t="s">
        <v>2272</v>
      </c>
      <c r="L41" s="148"/>
      <c r="M41" s="149"/>
      <c r="N41" s="147" t="s">
        <v>2273</v>
      </c>
      <c r="O41" s="148"/>
      <c r="P41" s="149"/>
      <c r="Q41" s="147" t="s">
        <v>2274</v>
      </c>
      <c r="R41" s="148"/>
      <c r="S41" s="149"/>
      <c r="T41" s="147" t="s">
        <v>2275</v>
      </c>
      <c r="U41" s="148"/>
      <c r="V41" s="149"/>
      <c r="W41" s="147" t="s">
        <v>2276</v>
      </c>
      <c r="X41" s="148"/>
      <c r="Y41" s="149"/>
      <c r="Z41" s="147" t="s">
        <v>2277</v>
      </c>
      <c r="AA41" s="148"/>
      <c r="AB41" s="149"/>
      <c r="AC41" s="147" t="s">
        <v>2278</v>
      </c>
      <c r="AD41" s="148"/>
      <c r="AE41" s="149"/>
      <c r="AF41" s="147" t="s">
        <v>2279</v>
      </c>
      <c r="AG41" s="148"/>
      <c r="AH41" s="149"/>
      <c r="AI41" s="147" t="s">
        <v>2280</v>
      </c>
      <c r="AJ41" s="148"/>
      <c r="AK41" s="149"/>
      <c r="AL41" s="147" t="s">
        <v>2281</v>
      </c>
      <c r="AM41" s="148"/>
      <c r="AN41" s="149"/>
      <c r="AO41" s="147" t="s">
        <v>2282</v>
      </c>
      <c r="AP41" s="148"/>
      <c r="AQ41" s="149"/>
      <c r="AR41" s="147" t="s">
        <v>2283</v>
      </c>
      <c r="AS41" s="148"/>
      <c r="AT41" s="189"/>
      <c r="AU41" s="181" t="s">
        <v>2284</v>
      </c>
      <c r="AV41" s="148"/>
      <c r="AW41" s="148"/>
      <c r="AX41" s="189"/>
      <c r="AY41" s="181" t="s">
        <v>2285</v>
      </c>
      <c r="AZ41" s="148"/>
      <c r="BA41" s="148"/>
      <c r="BB41" s="148"/>
    </row>
    <row r="42" spans="4:56" ht="15" customHeight="1" x14ac:dyDescent="0.3">
      <c r="D42" s="26" t="s">
        <v>127</v>
      </c>
      <c r="E42" s="22"/>
      <c r="F42" s="10"/>
      <c r="G42" s="10"/>
      <c r="H42" s="10"/>
      <c r="I42" s="10"/>
      <c r="J42" s="12"/>
      <c r="K42" s="181" t="s">
        <v>2286</v>
      </c>
      <c r="L42" s="148"/>
      <c r="M42" s="149"/>
      <c r="N42" s="147" t="s">
        <v>2287</v>
      </c>
      <c r="O42" s="148"/>
      <c r="P42" s="149"/>
      <c r="Q42" s="147" t="s">
        <v>2288</v>
      </c>
      <c r="R42" s="148"/>
      <c r="S42" s="149"/>
      <c r="T42" s="147" t="s">
        <v>2289</v>
      </c>
      <c r="U42" s="148"/>
      <c r="V42" s="149"/>
      <c r="W42" s="147" t="s">
        <v>2290</v>
      </c>
      <c r="X42" s="148"/>
      <c r="Y42" s="149"/>
      <c r="Z42" s="147" t="s">
        <v>2291</v>
      </c>
      <c r="AA42" s="148"/>
      <c r="AB42" s="149"/>
      <c r="AC42" s="147" t="s">
        <v>2292</v>
      </c>
      <c r="AD42" s="148"/>
      <c r="AE42" s="149"/>
      <c r="AF42" s="147" t="s">
        <v>2293</v>
      </c>
      <c r="AG42" s="148"/>
      <c r="AH42" s="149"/>
      <c r="AI42" s="147" t="s">
        <v>2294</v>
      </c>
      <c r="AJ42" s="148"/>
      <c r="AK42" s="149"/>
      <c r="AL42" s="147" t="s">
        <v>2295</v>
      </c>
      <c r="AM42" s="148"/>
      <c r="AN42" s="149"/>
      <c r="AO42" s="147" t="s">
        <v>2296</v>
      </c>
      <c r="AP42" s="148"/>
      <c r="AQ42" s="149"/>
      <c r="AR42" s="147" t="s">
        <v>2297</v>
      </c>
      <c r="AS42" s="148"/>
      <c r="AT42" s="189"/>
      <c r="AU42" s="181" t="s">
        <v>2298</v>
      </c>
      <c r="AV42" s="148"/>
      <c r="AW42" s="148"/>
      <c r="AX42" s="189"/>
      <c r="AY42" s="181" t="s">
        <v>2299</v>
      </c>
      <c r="AZ42" s="148"/>
      <c r="BA42" s="148"/>
      <c r="BB42" s="148"/>
    </row>
    <row r="43" spans="4:56" ht="15" customHeight="1" x14ac:dyDescent="0.3">
      <c r="D43" s="26" t="s">
        <v>128</v>
      </c>
      <c r="E43" s="22"/>
      <c r="F43" s="10"/>
      <c r="G43" s="10"/>
      <c r="H43" s="10"/>
      <c r="I43" s="10"/>
      <c r="J43" s="12"/>
      <c r="K43" s="181" t="s">
        <v>2300</v>
      </c>
      <c r="L43" s="148"/>
      <c r="M43" s="149"/>
      <c r="N43" s="147" t="s">
        <v>2301</v>
      </c>
      <c r="O43" s="148"/>
      <c r="P43" s="149"/>
      <c r="Q43" s="147" t="s">
        <v>2302</v>
      </c>
      <c r="R43" s="148"/>
      <c r="S43" s="149"/>
      <c r="T43" s="147" t="s">
        <v>2303</v>
      </c>
      <c r="U43" s="148"/>
      <c r="V43" s="149"/>
      <c r="W43" s="147" t="s">
        <v>2304</v>
      </c>
      <c r="X43" s="148"/>
      <c r="Y43" s="149"/>
      <c r="Z43" s="147" t="s">
        <v>2305</v>
      </c>
      <c r="AA43" s="148"/>
      <c r="AB43" s="149"/>
      <c r="AC43" s="147" t="s">
        <v>2306</v>
      </c>
      <c r="AD43" s="148"/>
      <c r="AE43" s="149"/>
      <c r="AF43" s="147" t="s">
        <v>2307</v>
      </c>
      <c r="AG43" s="148"/>
      <c r="AH43" s="149"/>
      <c r="AI43" s="147" t="s">
        <v>2308</v>
      </c>
      <c r="AJ43" s="148"/>
      <c r="AK43" s="149"/>
      <c r="AL43" s="147" t="s">
        <v>2309</v>
      </c>
      <c r="AM43" s="148"/>
      <c r="AN43" s="149"/>
      <c r="AO43" s="147" t="s">
        <v>2310</v>
      </c>
      <c r="AP43" s="148"/>
      <c r="AQ43" s="149"/>
      <c r="AR43" s="147" t="s">
        <v>2311</v>
      </c>
      <c r="AS43" s="148"/>
      <c r="AT43" s="189"/>
      <c r="AU43" s="181" t="s">
        <v>2312</v>
      </c>
      <c r="AV43" s="148"/>
      <c r="AW43" s="148"/>
      <c r="AX43" s="189"/>
      <c r="AY43" s="181" t="s">
        <v>2313</v>
      </c>
      <c r="AZ43" s="148"/>
      <c r="BA43" s="148"/>
      <c r="BB43" s="148"/>
    </row>
    <row r="44" spans="4:56" ht="15" customHeight="1" x14ac:dyDescent="0.3">
      <c r="D44" s="26" t="s">
        <v>129</v>
      </c>
      <c r="E44" s="22"/>
      <c r="F44" s="10"/>
      <c r="G44" s="10"/>
      <c r="H44" s="10"/>
      <c r="I44" s="10"/>
      <c r="J44" s="12"/>
      <c r="K44" s="181" t="s">
        <v>2314</v>
      </c>
      <c r="L44" s="148"/>
      <c r="M44" s="149"/>
      <c r="N44" s="147" t="s">
        <v>2315</v>
      </c>
      <c r="O44" s="148"/>
      <c r="P44" s="149"/>
      <c r="Q44" s="147" t="s">
        <v>2316</v>
      </c>
      <c r="R44" s="148"/>
      <c r="S44" s="149"/>
      <c r="T44" s="147" t="s">
        <v>2317</v>
      </c>
      <c r="U44" s="148"/>
      <c r="V44" s="149"/>
      <c r="W44" s="147" t="s">
        <v>2318</v>
      </c>
      <c r="X44" s="148"/>
      <c r="Y44" s="149"/>
      <c r="Z44" s="147" t="s">
        <v>2319</v>
      </c>
      <c r="AA44" s="148"/>
      <c r="AB44" s="149"/>
      <c r="AC44" s="147" t="s">
        <v>2320</v>
      </c>
      <c r="AD44" s="148"/>
      <c r="AE44" s="149"/>
      <c r="AF44" s="147" t="s">
        <v>2321</v>
      </c>
      <c r="AG44" s="148"/>
      <c r="AH44" s="149"/>
      <c r="AI44" s="147" t="s">
        <v>2322</v>
      </c>
      <c r="AJ44" s="148"/>
      <c r="AK44" s="149"/>
      <c r="AL44" s="147" t="s">
        <v>2323</v>
      </c>
      <c r="AM44" s="148"/>
      <c r="AN44" s="149"/>
      <c r="AO44" s="147" t="s">
        <v>2324</v>
      </c>
      <c r="AP44" s="148"/>
      <c r="AQ44" s="149"/>
      <c r="AR44" s="147" t="s">
        <v>2325</v>
      </c>
      <c r="AS44" s="148"/>
      <c r="AT44" s="189"/>
      <c r="AU44" s="181" t="s">
        <v>2326</v>
      </c>
      <c r="AV44" s="148"/>
      <c r="AW44" s="148"/>
      <c r="AX44" s="189"/>
      <c r="AY44" s="181" t="s">
        <v>2327</v>
      </c>
      <c r="AZ44" s="148"/>
      <c r="BA44" s="148"/>
      <c r="BB44" s="148"/>
    </row>
    <row r="45" spans="4:56" ht="15" customHeight="1" x14ac:dyDescent="0.3">
      <c r="D45" s="27" t="s">
        <v>132</v>
      </c>
      <c r="E45" s="23"/>
      <c r="F45" s="11"/>
      <c r="G45" s="11"/>
      <c r="H45" s="11"/>
      <c r="I45" s="11"/>
      <c r="J45" s="13"/>
      <c r="K45" s="182" t="s">
        <v>2328</v>
      </c>
      <c r="L45" s="151"/>
      <c r="M45" s="152"/>
      <c r="N45" s="150" t="s">
        <v>2329</v>
      </c>
      <c r="O45" s="151"/>
      <c r="P45" s="152"/>
      <c r="Q45" s="150" t="s">
        <v>2330</v>
      </c>
      <c r="R45" s="151"/>
      <c r="S45" s="152"/>
      <c r="T45" s="150" t="s">
        <v>2331</v>
      </c>
      <c r="U45" s="151"/>
      <c r="V45" s="152"/>
      <c r="W45" s="150" t="s">
        <v>2332</v>
      </c>
      <c r="X45" s="151"/>
      <c r="Y45" s="152"/>
      <c r="Z45" s="150" t="s">
        <v>2333</v>
      </c>
      <c r="AA45" s="151"/>
      <c r="AB45" s="152"/>
      <c r="AC45" s="150" t="s">
        <v>2334</v>
      </c>
      <c r="AD45" s="151"/>
      <c r="AE45" s="152"/>
      <c r="AF45" s="150" t="s">
        <v>2335</v>
      </c>
      <c r="AG45" s="151"/>
      <c r="AH45" s="152"/>
      <c r="AI45" s="150" t="s">
        <v>2336</v>
      </c>
      <c r="AJ45" s="151"/>
      <c r="AK45" s="152"/>
      <c r="AL45" s="150" t="s">
        <v>2337</v>
      </c>
      <c r="AM45" s="151"/>
      <c r="AN45" s="152"/>
      <c r="AO45" s="150" t="s">
        <v>2338</v>
      </c>
      <c r="AP45" s="151"/>
      <c r="AQ45" s="152"/>
      <c r="AR45" s="150" t="s">
        <v>2339</v>
      </c>
      <c r="AS45" s="151"/>
      <c r="AT45" s="193"/>
      <c r="AU45" s="182" t="s">
        <v>2340</v>
      </c>
      <c r="AV45" s="151"/>
      <c r="AW45" s="151"/>
      <c r="AX45" s="193"/>
      <c r="AY45" s="182" t="s">
        <v>2341</v>
      </c>
      <c r="AZ45" s="151"/>
      <c r="BA45" s="151"/>
      <c r="BB45" s="151"/>
    </row>
    <row r="47" spans="4:56" ht="15" customHeight="1" x14ac:dyDescent="0.3">
      <c r="D47" s="15" t="s">
        <v>133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</row>
    <row r="48" spans="4:56" ht="5.0999999999999996" customHeight="1" x14ac:dyDescent="0.3"/>
    <row r="49" spans="4:54" ht="15" customHeight="1" x14ac:dyDescent="0.3">
      <c r="D49" s="28" t="s">
        <v>134</v>
      </c>
      <c r="E49" s="28"/>
      <c r="F49" s="28"/>
      <c r="G49" s="28"/>
      <c r="H49" s="28"/>
      <c r="I49" s="28"/>
      <c r="J49" s="28"/>
      <c r="K49" s="29" t="s">
        <v>12</v>
      </c>
      <c r="L49" s="30"/>
      <c r="M49" s="32"/>
      <c r="N49" s="33" t="s">
        <v>13</v>
      </c>
      <c r="O49" s="30"/>
      <c r="P49" s="32"/>
      <c r="Q49" s="33" t="s">
        <v>14</v>
      </c>
      <c r="R49" s="30"/>
      <c r="S49" s="32"/>
      <c r="T49" s="33" t="s">
        <v>15</v>
      </c>
      <c r="U49" s="30"/>
      <c r="V49" s="32"/>
      <c r="W49" s="33" t="s">
        <v>16</v>
      </c>
      <c r="X49" s="30"/>
      <c r="Y49" s="32"/>
      <c r="Z49" s="33" t="s">
        <v>17</v>
      </c>
      <c r="AA49" s="30"/>
      <c r="AB49" s="32"/>
      <c r="AC49" s="33" t="s">
        <v>18</v>
      </c>
      <c r="AD49" s="30"/>
      <c r="AE49" s="32"/>
      <c r="AF49" s="33" t="s">
        <v>19</v>
      </c>
      <c r="AG49" s="30"/>
      <c r="AH49" s="32"/>
      <c r="AI49" s="33" t="s">
        <v>20</v>
      </c>
      <c r="AJ49" s="30"/>
      <c r="AK49" s="32"/>
      <c r="AL49" s="33" t="s">
        <v>21</v>
      </c>
      <c r="AM49" s="30"/>
      <c r="AN49" s="32"/>
      <c r="AO49" s="33" t="s">
        <v>22</v>
      </c>
      <c r="AP49" s="30"/>
      <c r="AQ49" s="32"/>
      <c r="AR49" s="33" t="s">
        <v>23</v>
      </c>
      <c r="AS49" s="30"/>
      <c r="AT49" s="30"/>
      <c r="AU49" s="29" t="s">
        <v>41</v>
      </c>
      <c r="AV49" s="30"/>
      <c r="AW49" s="30"/>
      <c r="AX49" s="31"/>
      <c r="AY49" s="29" t="s">
        <v>59</v>
      </c>
      <c r="AZ49" s="30"/>
      <c r="BA49" s="30"/>
      <c r="BB49" s="30"/>
    </row>
    <row r="50" spans="4:54" ht="15" customHeight="1" x14ac:dyDescent="0.3">
      <c r="D50" s="16" t="s">
        <v>94</v>
      </c>
      <c r="E50" s="16"/>
      <c r="F50" s="16"/>
      <c r="G50" s="16"/>
      <c r="H50" s="16"/>
      <c r="I50" s="16"/>
      <c r="J50" s="17"/>
      <c r="K50" s="192">
        <f>IF(K51="", "", 100)</f>
        <v>100</v>
      </c>
      <c r="L50" s="159"/>
      <c r="M50" s="191"/>
      <c r="N50" s="190">
        <f t="shared" ref="N50" si="0">IF(N51="", "", 100)</f>
        <v>100</v>
      </c>
      <c r="O50" s="159"/>
      <c r="P50" s="191"/>
      <c r="Q50" s="190">
        <f t="shared" ref="Q50" si="1">IF(Q51="", "", 100)</f>
        <v>100</v>
      </c>
      <c r="R50" s="159"/>
      <c r="S50" s="191"/>
      <c r="T50" s="190">
        <f t="shared" ref="T50" si="2">IF(T51="", "", 100)</f>
        <v>100</v>
      </c>
      <c r="U50" s="159"/>
      <c r="V50" s="191"/>
      <c r="W50" s="190">
        <f t="shared" ref="W50" si="3">IF(W51="", "", 100)</f>
        <v>100</v>
      </c>
      <c r="X50" s="159"/>
      <c r="Y50" s="191"/>
      <c r="Z50" s="190">
        <f t="shared" ref="Z50" si="4">IF(Z51="", "", 100)</f>
        <v>100</v>
      </c>
      <c r="AA50" s="159"/>
      <c r="AB50" s="191"/>
      <c r="AC50" s="190">
        <f t="shared" ref="AC50" si="5">IF(AC51="", "", 100)</f>
        <v>100</v>
      </c>
      <c r="AD50" s="159"/>
      <c r="AE50" s="191"/>
      <c r="AF50" s="190">
        <f t="shared" ref="AF50" si="6">IF(AF51="", "", 100)</f>
        <v>100</v>
      </c>
      <c r="AG50" s="159"/>
      <c r="AH50" s="191"/>
      <c r="AI50" s="190">
        <f t="shared" ref="AI50" si="7">IF(AI51="", "", 100)</f>
        <v>100</v>
      </c>
      <c r="AJ50" s="159"/>
      <c r="AK50" s="191"/>
      <c r="AL50" s="190">
        <f t="shared" ref="AL50" si="8">IF(AL51="", "", 100)</f>
        <v>100</v>
      </c>
      <c r="AM50" s="159"/>
      <c r="AN50" s="191"/>
      <c r="AO50" s="190">
        <f t="shared" ref="AO50" si="9">IF(AO51="", "", 100)</f>
        <v>100</v>
      </c>
      <c r="AP50" s="159"/>
      <c r="AQ50" s="191"/>
      <c r="AR50" s="190">
        <f t="shared" ref="AR50" si="10">IF(AR51="", "", 100)</f>
        <v>100</v>
      </c>
      <c r="AS50" s="159"/>
      <c r="AT50" s="191"/>
      <c r="AU50" s="194">
        <v>100</v>
      </c>
      <c r="AV50" s="195"/>
      <c r="AW50" s="195"/>
      <c r="AX50" s="196"/>
      <c r="AY50" s="197" t="s">
        <v>142</v>
      </c>
      <c r="AZ50" s="198"/>
      <c r="BA50" s="198"/>
      <c r="BB50" s="198"/>
    </row>
    <row r="51" spans="4:54" ht="15" customHeight="1" x14ac:dyDescent="0.3">
      <c r="D51" s="26" t="s">
        <v>125</v>
      </c>
      <c r="E51" s="22"/>
      <c r="F51" s="10"/>
      <c r="G51" s="10"/>
      <c r="H51" s="10"/>
      <c r="I51" s="10"/>
      <c r="J51" s="12"/>
      <c r="K51" s="181" t="s">
        <v>2342</v>
      </c>
      <c r="L51" s="148"/>
      <c r="M51" s="149"/>
      <c r="N51" s="147" t="s">
        <v>2343</v>
      </c>
      <c r="O51" s="148"/>
      <c r="P51" s="149"/>
      <c r="Q51" s="147" t="s">
        <v>2344</v>
      </c>
      <c r="R51" s="148"/>
      <c r="S51" s="149"/>
      <c r="T51" s="147" t="s">
        <v>2345</v>
      </c>
      <c r="U51" s="148"/>
      <c r="V51" s="149"/>
      <c r="W51" s="147" t="s">
        <v>2346</v>
      </c>
      <c r="X51" s="148"/>
      <c r="Y51" s="149"/>
      <c r="Z51" s="147" t="s">
        <v>2347</v>
      </c>
      <c r="AA51" s="148"/>
      <c r="AB51" s="149"/>
      <c r="AC51" s="147" t="s">
        <v>2348</v>
      </c>
      <c r="AD51" s="148"/>
      <c r="AE51" s="149"/>
      <c r="AF51" s="147" t="s">
        <v>2349</v>
      </c>
      <c r="AG51" s="148"/>
      <c r="AH51" s="149"/>
      <c r="AI51" s="147" t="s">
        <v>2350</v>
      </c>
      <c r="AJ51" s="148"/>
      <c r="AK51" s="149"/>
      <c r="AL51" s="147" t="s">
        <v>2351</v>
      </c>
      <c r="AM51" s="148"/>
      <c r="AN51" s="149"/>
      <c r="AO51" s="147" t="s">
        <v>2352</v>
      </c>
      <c r="AP51" s="148"/>
      <c r="AQ51" s="149"/>
      <c r="AR51" s="147" t="s">
        <v>2353</v>
      </c>
      <c r="AS51" s="148"/>
      <c r="AT51" s="189"/>
      <c r="AU51" s="181" t="s">
        <v>2354</v>
      </c>
      <c r="AV51" s="148"/>
      <c r="AW51" s="148"/>
      <c r="AX51" s="189"/>
      <c r="AY51" s="181" t="s">
        <v>2355</v>
      </c>
      <c r="AZ51" s="148"/>
      <c r="BA51" s="148"/>
      <c r="BB51" s="148"/>
    </row>
    <row r="52" spans="4:54" ht="15" customHeight="1" x14ac:dyDescent="0.3">
      <c r="D52" s="26" t="s">
        <v>126</v>
      </c>
      <c r="E52" s="22"/>
      <c r="F52" s="10"/>
      <c r="G52" s="10"/>
      <c r="H52" s="10"/>
      <c r="I52" s="10"/>
      <c r="J52" s="12"/>
      <c r="K52" s="181" t="s">
        <v>2356</v>
      </c>
      <c r="L52" s="148"/>
      <c r="M52" s="149"/>
      <c r="N52" s="147" t="s">
        <v>2357</v>
      </c>
      <c r="O52" s="148"/>
      <c r="P52" s="149"/>
      <c r="Q52" s="147" t="s">
        <v>2358</v>
      </c>
      <c r="R52" s="148"/>
      <c r="S52" s="149"/>
      <c r="T52" s="147" t="s">
        <v>2359</v>
      </c>
      <c r="U52" s="148"/>
      <c r="V52" s="149"/>
      <c r="W52" s="147" t="s">
        <v>2360</v>
      </c>
      <c r="X52" s="148"/>
      <c r="Y52" s="149"/>
      <c r="Z52" s="147" t="s">
        <v>2361</v>
      </c>
      <c r="AA52" s="148"/>
      <c r="AB52" s="149"/>
      <c r="AC52" s="147" t="s">
        <v>2362</v>
      </c>
      <c r="AD52" s="148"/>
      <c r="AE52" s="149"/>
      <c r="AF52" s="147" t="s">
        <v>2363</v>
      </c>
      <c r="AG52" s="148"/>
      <c r="AH52" s="149"/>
      <c r="AI52" s="147" t="s">
        <v>2364</v>
      </c>
      <c r="AJ52" s="148"/>
      <c r="AK52" s="149"/>
      <c r="AL52" s="147" t="s">
        <v>2365</v>
      </c>
      <c r="AM52" s="148"/>
      <c r="AN52" s="149"/>
      <c r="AO52" s="147" t="s">
        <v>2366</v>
      </c>
      <c r="AP52" s="148"/>
      <c r="AQ52" s="149"/>
      <c r="AR52" s="147" t="s">
        <v>2367</v>
      </c>
      <c r="AS52" s="148"/>
      <c r="AT52" s="189"/>
      <c r="AU52" s="181" t="s">
        <v>2368</v>
      </c>
      <c r="AV52" s="148"/>
      <c r="AW52" s="148"/>
      <c r="AX52" s="189"/>
      <c r="AY52" s="181" t="s">
        <v>2369</v>
      </c>
      <c r="AZ52" s="148"/>
      <c r="BA52" s="148"/>
      <c r="BB52" s="148"/>
    </row>
    <row r="53" spans="4:54" ht="15" customHeight="1" x14ac:dyDescent="0.3">
      <c r="D53" s="26" t="s">
        <v>127</v>
      </c>
      <c r="E53" s="22"/>
      <c r="F53" s="10"/>
      <c r="G53" s="10"/>
      <c r="H53" s="10"/>
      <c r="I53" s="10"/>
      <c r="J53" s="12"/>
      <c r="K53" s="181" t="s">
        <v>2370</v>
      </c>
      <c r="L53" s="148"/>
      <c r="M53" s="149"/>
      <c r="N53" s="147" t="s">
        <v>2371</v>
      </c>
      <c r="O53" s="148"/>
      <c r="P53" s="149"/>
      <c r="Q53" s="147" t="s">
        <v>2372</v>
      </c>
      <c r="R53" s="148"/>
      <c r="S53" s="149"/>
      <c r="T53" s="147" t="s">
        <v>2373</v>
      </c>
      <c r="U53" s="148"/>
      <c r="V53" s="149"/>
      <c r="W53" s="147" t="s">
        <v>2374</v>
      </c>
      <c r="X53" s="148"/>
      <c r="Y53" s="149"/>
      <c r="Z53" s="147" t="s">
        <v>2375</v>
      </c>
      <c r="AA53" s="148"/>
      <c r="AB53" s="149"/>
      <c r="AC53" s="147" t="s">
        <v>2376</v>
      </c>
      <c r="AD53" s="148"/>
      <c r="AE53" s="149"/>
      <c r="AF53" s="147" t="s">
        <v>2377</v>
      </c>
      <c r="AG53" s="148"/>
      <c r="AH53" s="149"/>
      <c r="AI53" s="147" t="s">
        <v>2378</v>
      </c>
      <c r="AJ53" s="148"/>
      <c r="AK53" s="149"/>
      <c r="AL53" s="147" t="s">
        <v>2379</v>
      </c>
      <c r="AM53" s="148"/>
      <c r="AN53" s="149"/>
      <c r="AO53" s="147" t="s">
        <v>2380</v>
      </c>
      <c r="AP53" s="148"/>
      <c r="AQ53" s="149"/>
      <c r="AR53" s="147" t="s">
        <v>2381</v>
      </c>
      <c r="AS53" s="148"/>
      <c r="AT53" s="189"/>
      <c r="AU53" s="181" t="s">
        <v>2382</v>
      </c>
      <c r="AV53" s="148"/>
      <c r="AW53" s="148"/>
      <c r="AX53" s="189"/>
      <c r="AY53" s="181" t="s">
        <v>2383</v>
      </c>
      <c r="AZ53" s="148"/>
      <c r="BA53" s="148"/>
      <c r="BB53" s="148"/>
    </row>
    <row r="54" spans="4:54" ht="15" customHeight="1" x14ac:dyDescent="0.3">
      <c r="D54" s="26" t="s">
        <v>128</v>
      </c>
      <c r="E54" s="22"/>
      <c r="F54" s="10"/>
      <c r="G54" s="10"/>
      <c r="H54" s="10"/>
      <c r="I54" s="10"/>
      <c r="J54" s="12"/>
      <c r="K54" s="181" t="s">
        <v>2384</v>
      </c>
      <c r="L54" s="148"/>
      <c r="M54" s="149"/>
      <c r="N54" s="147" t="s">
        <v>2385</v>
      </c>
      <c r="O54" s="148"/>
      <c r="P54" s="149"/>
      <c r="Q54" s="147" t="s">
        <v>2386</v>
      </c>
      <c r="R54" s="148"/>
      <c r="S54" s="149"/>
      <c r="T54" s="147" t="s">
        <v>2387</v>
      </c>
      <c r="U54" s="148"/>
      <c r="V54" s="149"/>
      <c r="W54" s="147" t="s">
        <v>2388</v>
      </c>
      <c r="X54" s="148"/>
      <c r="Y54" s="149"/>
      <c r="Z54" s="147" t="s">
        <v>2389</v>
      </c>
      <c r="AA54" s="148"/>
      <c r="AB54" s="149"/>
      <c r="AC54" s="147" t="s">
        <v>2390</v>
      </c>
      <c r="AD54" s="148"/>
      <c r="AE54" s="149"/>
      <c r="AF54" s="147" t="s">
        <v>2391</v>
      </c>
      <c r="AG54" s="148"/>
      <c r="AH54" s="149"/>
      <c r="AI54" s="147" t="s">
        <v>2392</v>
      </c>
      <c r="AJ54" s="148"/>
      <c r="AK54" s="149"/>
      <c r="AL54" s="147" t="s">
        <v>2393</v>
      </c>
      <c r="AM54" s="148"/>
      <c r="AN54" s="149"/>
      <c r="AO54" s="147" t="s">
        <v>2394</v>
      </c>
      <c r="AP54" s="148"/>
      <c r="AQ54" s="149"/>
      <c r="AR54" s="147" t="s">
        <v>2395</v>
      </c>
      <c r="AS54" s="148"/>
      <c r="AT54" s="189"/>
      <c r="AU54" s="181" t="s">
        <v>2396</v>
      </c>
      <c r="AV54" s="148"/>
      <c r="AW54" s="148"/>
      <c r="AX54" s="189"/>
      <c r="AY54" s="181" t="s">
        <v>2397</v>
      </c>
      <c r="AZ54" s="148"/>
      <c r="BA54" s="148"/>
      <c r="BB54" s="148"/>
    </row>
    <row r="55" spans="4:54" ht="15" customHeight="1" x14ac:dyDescent="0.3">
      <c r="D55" s="26" t="s">
        <v>129</v>
      </c>
      <c r="E55" s="22"/>
      <c r="F55" s="10"/>
      <c r="G55" s="10"/>
      <c r="H55" s="10"/>
      <c r="I55" s="10"/>
      <c r="J55" s="12"/>
      <c r="K55" s="181" t="s">
        <v>2398</v>
      </c>
      <c r="L55" s="148"/>
      <c r="M55" s="149"/>
      <c r="N55" s="147" t="s">
        <v>2399</v>
      </c>
      <c r="O55" s="148"/>
      <c r="P55" s="149"/>
      <c r="Q55" s="147" t="s">
        <v>2400</v>
      </c>
      <c r="R55" s="148"/>
      <c r="S55" s="149"/>
      <c r="T55" s="147" t="s">
        <v>2401</v>
      </c>
      <c r="U55" s="148"/>
      <c r="V55" s="149"/>
      <c r="W55" s="147" t="s">
        <v>2402</v>
      </c>
      <c r="X55" s="148"/>
      <c r="Y55" s="149"/>
      <c r="Z55" s="147" t="s">
        <v>2403</v>
      </c>
      <c r="AA55" s="148"/>
      <c r="AB55" s="149"/>
      <c r="AC55" s="147" t="s">
        <v>2404</v>
      </c>
      <c r="AD55" s="148"/>
      <c r="AE55" s="149"/>
      <c r="AF55" s="147" t="s">
        <v>2405</v>
      </c>
      <c r="AG55" s="148"/>
      <c r="AH55" s="149"/>
      <c r="AI55" s="147" t="s">
        <v>2406</v>
      </c>
      <c r="AJ55" s="148"/>
      <c r="AK55" s="149"/>
      <c r="AL55" s="147" t="s">
        <v>2407</v>
      </c>
      <c r="AM55" s="148"/>
      <c r="AN55" s="149"/>
      <c r="AO55" s="147" t="s">
        <v>2408</v>
      </c>
      <c r="AP55" s="148"/>
      <c r="AQ55" s="149"/>
      <c r="AR55" s="147" t="s">
        <v>2409</v>
      </c>
      <c r="AS55" s="148"/>
      <c r="AT55" s="189"/>
      <c r="AU55" s="181" t="s">
        <v>2410</v>
      </c>
      <c r="AV55" s="148"/>
      <c r="AW55" s="148"/>
      <c r="AX55" s="189"/>
      <c r="AY55" s="181" t="s">
        <v>2411</v>
      </c>
      <c r="AZ55" s="148"/>
      <c r="BA55" s="148"/>
      <c r="BB55" s="148"/>
    </row>
    <row r="56" spans="4:54" ht="15" customHeight="1" x14ac:dyDescent="0.3">
      <c r="D56" s="27" t="s">
        <v>132</v>
      </c>
      <c r="E56" s="23"/>
      <c r="F56" s="11"/>
      <c r="G56" s="11"/>
      <c r="H56" s="11"/>
      <c r="I56" s="11"/>
      <c r="J56" s="13"/>
      <c r="K56" s="182" t="s">
        <v>2412</v>
      </c>
      <c r="L56" s="151"/>
      <c r="M56" s="152"/>
      <c r="N56" s="150" t="s">
        <v>2413</v>
      </c>
      <c r="O56" s="151"/>
      <c r="P56" s="152"/>
      <c r="Q56" s="150" t="s">
        <v>2414</v>
      </c>
      <c r="R56" s="151"/>
      <c r="S56" s="152"/>
      <c r="T56" s="150" t="s">
        <v>2415</v>
      </c>
      <c r="U56" s="151"/>
      <c r="V56" s="152"/>
      <c r="W56" s="150" t="s">
        <v>2416</v>
      </c>
      <c r="X56" s="151"/>
      <c r="Y56" s="152"/>
      <c r="Z56" s="150" t="s">
        <v>2417</v>
      </c>
      <c r="AA56" s="151"/>
      <c r="AB56" s="152"/>
      <c r="AC56" s="150" t="s">
        <v>2418</v>
      </c>
      <c r="AD56" s="151"/>
      <c r="AE56" s="152"/>
      <c r="AF56" s="150" t="s">
        <v>2419</v>
      </c>
      <c r="AG56" s="151"/>
      <c r="AH56" s="152"/>
      <c r="AI56" s="150" t="s">
        <v>2420</v>
      </c>
      <c r="AJ56" s="151"/>
      <c r="AK56" s="152"/>
      <c r="AL56" s="150" t="s">
        <v>2421</v>
      </c>
      <c r="AM56" s="151"/>
      <c r="AN56" s="152"/>
      <c r="AO56" s="150" t="s">
        <v>2422</v>
      </c>
      <c r="AP56" s="151"/>
      <c r="AQ56" s="152"/>
      <c r="AR56" s="150" t="s">
        <v>2423</v>
      </c>
      <c r="AS56" s="151"/>
      <c r="AT56" s="193"/>
      <c r="AU56" s="182" t="s">
        <v>2424</v>
      </c>
      <c r="AV56" s="151"/>
      <c r="AW56" s="151"/>
      <c r="AX56" s="193"/>
      <c r="AY56" s="182" t="s">
        <v>2425</v>
      </c>
      <c r="AZ56" s="151"/>
      <c r="BA56" s="151"/>
      <c r="BB56" s="151"/>
    </row>
  </sheetData>
  <mergeCells count="197">
    <mergeCell ref="Z56:AB56"/>
    <mergeCell ref="AC56:AE56"/>
    <mergeCell ref="Z55:AB55"/>
    <mergeCell ref="AC55:AE55"/>
    <mergeCell ref="AY56:BB56"/>
    <mergeCell ref="AF56:AH56"/>
    <mergeCell ref="AI56:AK56"/>
    <mergeCell ref="AL56:AN56"/>
    <mergeCell ref="AO56:AQ56"/>
    <mergeCell ref="AR56:AT56"/>
    <mergeCell ref="AU56:AX56"/>
    <mergeCell ref="AR55:AT55"/>
    <mergeCell ref="AU55:AX55"/>
    <mergeCell ref="AY55:BB55"/>
    <mergeCell ref="AF55:AH55"/>
    <mergeCell ref="AI55:AK55"/>
    <mergeCell ref="AL55:AN55"/>
    <mergeCell ref="AO55:AQ55"/>
    <mergeCell ref="K55:M55"/>
    <mergeCell ref="N55:P55"/>
    <mergeCell ref="Q55:S55"/>
    <mergeCell ref="T55:V55"/>
    <mergeCell ref="W55:Y55"/>
    <mergeCell ref="K56:M56"/>
    <mergeCell ref="N56:P56"/>
    <mergeCell ref="Q56:S56"/>
    <mergeCell ref="T56:V56"/>
    <mergeCell ref="W56:Y56"/>
    <mergeCell ref="AY53:BB53"/>
    <mergeCell ref="AF53:AH53"/>
    <mergeCell ref="AI53:AK53"/>
    <mergeCell ref="K54:M54"/>
    <mergeCell ref="N54:P54"/>
    <mergeCell ref="Q54:S54"/>
    <mergeCell ref="T54:V54"/>
    <mergeCell ref="W54:Y54"/>
    <mergeCell ref="Z54:AB54"/>
    <mergeCell ref="AC54:AE54"/>
    <mergeCell ref="AF54:AH54"/>
    <mergeCell ref="AI54:AK54"/>
    <mergeCell ref="AL53:AN53"/>
    <mergeCell ref="AO53:AQ53"/>
    <mergeCell ref="AR53:AT53"/>
    <mergeCell ref="AU53:AX53"/>
    <mergeCell ref="AL54:AN54"/>
    <mergeCell ref="AO54:AQ54"/>
    <mergeCell ref="AR54:AT54"/>
    <mergeCell ref="AU54:AX54"/>
    <mergeCell ref="AY54:BB54"/>
    <mergeCell ref="K53:M53"/>
    <mergeCell ref="N53:P53"/>
    <mergeCell ref="Q53:S53"/>
    <mergeCell ref="T53:V53"/>
    <mergeCell ref="W53:Y53"/>
    <mergeCell ref="Z53:AB53"/>
    <mergeCell ref="AC53:AE53"/>
    <mergeCell ref="Z52:AB52"/>
    <mergeCell ref="AC52:AE52"/>
    <mergeCell ref="AL51:AN51"/>
    <mergeCell ref="AO51:AQ51"/>
    <mergeCell ref="AR51:AT51"/>
    <mergeCell ref="AU51:AX51"/>
    <mergeCell ref="AY51:BB51"/>
    <mergeCell ref="K52:M52"/>
    <mergeCell ref="N52:P52"/>
    <mergeCell ref="Q52:S52"/>
    <mergeCell ref="T52:V52"/>
    <mergeCell ref="W52:Y52"/>
    <mergeCell ref="AR52:AT52"/>
    <mergeCell ref="AU52:AX52"/>
    <mergeCell ref="AY52:BB52"/>
    <mergeCell ref="AF52:AH52"/>
    <mergeCell ref="AI52:AK52"/>
    <mergeCell ref="AL52:AN52"/>
    <mergeCell ref="AO52:AQ52"/>
    <mergeCell ref="K51:M51"/>
    <mergeCell ref="N51:P51"/>
    <mergeCell ref="Q51:S51"/>
    <mergeCell ref="T51:V51"/>
    <mergeCell ref="W51:Y51"/>
    <mergeCell ref="Z51:AB51"/>
    <mergeCell ref="AC51:AE51"/>
    <mergeCell ref="AF51:AH51"/>
    <mergeCell ref="AI51:AK51"/>
    <mergeCell ref="AU45:AX45"/>
    <mergeCell ref="AY45:BB45"/>
    <mergeCell ref="K50:M50"/>
    <mergeCell ref="N50:P50"/>
    <mergeCell ref="Q50:S50"/>
    <mergeCell ref="T50:V50"/>
    <mergeCell ref="W50:Y50"/>
    <mergeCell ref="Z50:AB50"/>
    <mergeCell ref="AC50:AE50"/>
    <mergeCell ref="Z45:AB45"/>
    <mergeCell ref="AC45:AE45"/>
    <mergeCell ref="AF45:AH45"/>
    <mergeCell ref="AI45:AK45"/>
    <mergeCell ref="AL45:AN45"/>
    <mergeCell ref="AO45:AQ45"/>
    <mergeCell ref="AY50:BB50"/>
    <mergeCell ref="AF50:AH50"/>
    <mergeCell ref="AI50:AK50"/>
    <mergeCell ref="AL50:AN50"/>
    <mergeCell ref="AO50:AQ50"/>
    <mergeCell ref="AR50:AT50"/>
    <mergeCell ref="AU50:AX50"/>
    <mergeCell ref="K43:M43"/>
    <mergeCell ref="N43:P43"/>
    <mergeCell ref="Q43:S43"/>
    <mergeCell ref="K45:M45"/>
    <mergeCell ref="N45:P45"/>
    <mergeCell ref="Q45:S45"/>
    <mergeCell ref="T45:V45"/>
    <mergeCell ref="W45:Y45"/>
    <mergeCell ref="AR45:AT45"/>
    <mergeCell ref="AO41:AQ41"/>
    <mergeCell ref="AR41:AT41"/>
    <mergeCell ref="AU41:AX41"/>
    <mergeCell ref="AY43:BB43"/>
    <mergeCell ref="K44:M44"/>
    <mergeCell ref="N44:P44"/>
    <mergeCell ref="Q44:S44"/>
    <mergeCell ref="T44:V44"/>
    <mergeCell ref="W44:Y44"/>
    <mergeCell ref="Z44:AB44"/>
    <mergeCell ref="AC44:AE44"/>
    <mergeCell ref="AF44:AH44"/>
    <mergeCell ref="AI44:AK44"/>
    <mergeCell ref="AF43:AH43"/>
    <mergeCell ref="AI43:AK43"/>
    <mergeCell ref="AL43:AN43"/>
    <mergeCell ref="AO43:AQ43"/>
    <mergeCell ref="AR43:AT43"/>
    <mergeCell ref="AU43:AX43"/>
    <mergeCell ref="AL44:AN44"/>
    <mergeCell ref="AO44:AQ44"/>
    <mergeCell ref="AR44:AT44"/>
    <mergeCell ref="AU44:AX44"/>
    <mergeCell ref="AY44:BB44"/>
    <mergeCell ref="N39:P39"/>
    <mergeCell ref="Q39:S39"/>
    <mergeCell ref="AI40:AK40"/>
    <mergeCell ref="AL40:AN40"/>
    <mergeCell ref="AO40:AQ40"/>
    <mergeCell ref="AY41:BB41"/>
    <mergeCell ref="K42:M42"/>
    <mergeCell ref="N42:P42"/>
    <mergeCell ref="Q42:S42"/>
    <mergeCell ref="T42:V42"/>
    <mergeCell ref="W42:Y42"/>
    <mergeCell ref="AR42:AT42"/>
    <mergeCell ref="AU42:AX42"/>
    <mergeCell ref="AY42:BB42"/>
    <mergeCell ref="AF42:AH42"/>
    <mergeCell ref="AI42:AK42"/>
    <mergeCell ref="AL42:AN42"/>
    <mergeCell ref="AO42:AQ42"/>
    <mergeCell ref="K41:M41"/>
    <mergeCell ref="N41:P41"/>
    <mergeCell ref="Q41:S41"/>
    <mergeCell ref="T41:V41"/>
    <mergeCell ref="W41:Y41"/>
    <mergeCell ref="AL41:AN41"/>
    <mergeCell ref="Z41:AB41"/>
    <mergeCell ref="AC41:AE41"/>
    <mergeCell ref="AF41:AH41"/>
    <mergeCell ref="AI41:AK41"/>
    <mergeCell ref="T43:V43"/>
    <mergeCell ref="W43:Y43"/>
    <mergeCell ref="Z43:AB43"/>
    <mergeCell ref="AC43:AE43"/>
    <mergeCell ref="Z42:AB42"/>
    <mergeCell ref="AC42:AE42"/>
    <mergeCell ref="F12:L12"/>
    <mergeCell ref="AR39:AT39"/>
    <mergeCell ref="AU39:AX39"/>
    <mergeCell ref="AY39:BB39"/>
    <mergeCell ref="K40:M40"/>
    <mergeCell ref="N40:P40"/>
    <mergeCell ref="Q40:S40"/>
    <mergeCell ref="T40:V40"/>
    <mergeCell ref="W40:Y40"/>
    <mergeCell ref="Z40:AB40"/>
    <mergeCell ref="AC40:AE40"/>
    <mergeCell ref="Z39:AB39"/>
    <mergeCell ref="AC39:AE39"/>
    <mergeCell ref="AF39:AH39"/>
    <mergeCell ref="AI39:AK39"/>
    <mergeCell ref="AL39:AN39"/>
    <mergeCell ref="AR40:AT40"/>
    <mergeCell ref="AU40:AX40"/>
    <mergeCell ref="T39:V39"/>
    <mergeCell ref="W39:Y39"/>
    <mergeCell ref="AY40:BB40"/>
    <mergeCell ref="AF40:AH40"/>
    <mergeCell ref="AO39:AQ39"/>
    <mergeCell ref="K39:M39"/>
  </mergeCells>
  <phoneticPr fontId="1" type="noConversion"/>
  <pageMargins left="0.25" right="0.25" top="0.75" bottom="0.75" header="0.3" footer="0.3"/>
  <pageSetup paperSize="9" scale="7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9E55-AE5D-4800-B72E-3947FAF75360}">
  <dimension ref="B1:BM43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1" t="s">
        <v>232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</row>
    <row r="3" spans="2:64" ht="5.0999999999999996" customHeight="1" x14ac:dyDescent="0.3">
      <c r="B3"/>
      <c r="C3"/>
      <c r="D3"/>
      <c r="E3"/>
      <c r="F3"/>
      <c r="G3"/>
      <c r="H3"/>
      <c r="I3"/>
      <c r="J3"/>
      <c r="K3"/>
      <c r="L3"/>
      <c r="M3"/>
      <c r="N3" s="76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2:64" ht="15" customHeight="1" x14ac:dyDescent="0.3">
      <c r="B4" s="2" t="s">
        <v>233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</row>
    <row r="5" spans="2:64" ht="5.25" customHeight="1" x14ac:dyDescent="0.3">
      <c r="B5"/>
      <c r="C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2:64" ht="15" customHeight="1" x14ac:dyDescent="0.3">
      <c r="B6" s="21"/>
      <c r="C6"/>
      <c r="D6" s="5" t="s">
        <v>1931</v>
      </c>
      <c r="E6" s="76"/>
      <c r="F6" s="76"/>
      <c r="G6"/>
      <c r="H6" s="78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2:64" ht="15" customHeight="1" x14ac:dyDescent="0.3">
      <c r="B7"/>
      <c r="C7"/>
      <c r="D7" s="25" t="s">
        <v>234</v>
      </c>
      <c r="E7" s="25"/>
      <c r="F7" s="76"/>
      <c r="G7" s="76"/>
      <c r="H7" s="76"/>
      <c r="I7" s="76"/>
      <c r="J7" s="76"/>
      <c r="K7" s="76"/>
      <c r="L7" s="76"/>
      <c r="M7" s="76"/>
      <c r="N7" s="76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2:64" ht="15" customHeight="1" x14ac:dyDescent="0.3">
      <c r="B8"/>
      <c r="C8"/>
      <c r="D8" s="15" t="s">
        <v>235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80"/>
      <c r="AG8" s="80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83" t="s">
        <v>236</v>
      </c>
    </row>
    <row r="9" spans="2:64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42</v>
      </c>
      <c r="BH9" s="24" t="s">
        <v>242</v>
      </c>
      <c r="BI9" s="24" t="s">
        <v>243</v>
      </c>
      <c r="BJ9" s="24" t="s">
        <v>61</v>
      </c>
      <c r="BK9" s="24" t="s">
        <v>244</v>
      </c>
      <c r="BL9" s="24" t="s">
        <v>245</v>
      </c>
    </row>
    <row r="10" spans="2:64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43</v>
      </c>
      <c r="BH10" s="73" t="s">
        <v>2625</v>
      </c>
      <c r="BI10" s="73" t="s">
        <v>2626</v>
      </c>
      <c r="BJ10" s="73" t="s">
        <v>2627</v>
      </c>
      <c r="BK10" s="73" t="s">
        <v>246</v>
      </c>
      <c r="BL10" s="73" t="s">
        <v>247</v>
      </c>
    </row>
    <row r="11" spans="2:64" ht="15" customHeight="1" x14ac:dyDescent="0.3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BG11" s="24" t="s">
        <v>44</v>
      </c>
      <c r="BH11" s="73" t="s">
        <v>2628</v>
      </c>
      <c r="BI11" s="73" t="s">
        <v>2629</v>
      </c>
      <c r="BJ11" s="73" t="s">
        <v>2630</v>
      </c>
      <c r="BK11" s="73" t="s">
        <v>248</v>
      </c>
      <c r="BL11" s="73" t="s">
        <v>249</v>
      </c>
    </row>
    <row r="12" spans="2:64" ht="15" customHeight="1" x14ac:dyDescent="0.3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BG12" s="24" t="s">
        <v>45</v>
      </c>
      <c r="BH12" s="73" t="s">
        <v>2631</v>
      </c>
      <c r="BI12" s="73" t="s">
        <v>2632</v>
      </c>
      <c r="BJ12" s="73" t="s">
        <v>2633</v>
      </c>
      <c r="BK12" s="73" t="s">
        <v>250</v>
      </c>
      <c r="BL12" s="73" t="s">
        <v>251</v>
      </c>
    </row>
    <row r="13" spans="2:64" ht="15" customHeight="1" x14ac:dyDescent="0.3">
      <c r="B13" s="43"/>
      <c r="C13" s="43"/>
      <c r="D13" s="43"/>
      <c r="E13" s="43"/>
      <c r="F13" s="43"/>
      <c r="G13" s="43"/>
      <c r="H13" s="43"/>
      <c r="I13" s="74" t="s">
        <v>237</v>
      </c>
      <c r="J13" s="43"/>
      <c r="K13" s="43"/>
      <c r="L13" s="43"/>
      <c r="M13" s="43"/>
      <c r="N13" s="43"/>
      <c r="BG13" s="24" t="s">
        <v>46</v>
      </c>
      <c r="BH13" s="73" t="s">
        <v>2634</v>
      </c>
      <c r="BI13" s="73" t="s">
        <v>2635</v>
      </c>
      <c r="BJ13" s="73" t="s">
        <v>2636</v>
      </c>
      <c r="BK13" s="73" t="s">
        <v>252</v>
      </c>
      <c r="BL13" s="73" t="s">
        <v>253</v>
      </c>
    </row>
    <row r="14" spans="2:64" ht="15" customHeight="1" x14ac:dyDescent="0.3">
      <c r="B14" s="43"/>
      <c r="C14" s="43"/>
      <c r="D14" s="43"/>
      <c r="E14" s="43"/>
      <c r="F14" s="164" t="s">
        <v>241</v>
      </c>
      <c r="G14" s="164"/>
      <c r="H14" s="164"/>
      <c r="I14" s="164"/>
      <c r="J14" s="164"/>
      <c r="K14" s="164"/>
      <c r="L14" s="164"/>
      <c r="M14" s="43"/>
      <c r="N14" s="43"/>
      <c r="BG14" s="24" t="s">
        <v>47</v>
      </c>
      <c r="BH14" s="73" t="s">
        <v>2637</v>
      </c>
      <c r="BI14" s="73" t="s">
        <v>2638</v>
      </c>
      <c r="BJ14" s="73" t="s">
        <v>2639</v>
      </c>
      <c r="BK14" s="73" t="s">
        <v>254</v>
      </c>
      <c r="BL14" s="73" t="s">
        <v>255</v>
      </c>
    </row>
    <row r="15" spans="2:64" ht="15" customHeight="1" x14ac:dyDescent="0.3"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BG15" s="24" t="s">
        <v>48</v>
      </c>
      <c r="BH15" s="73" t="s">
        <v>2640</v>
      </c>
      <c r="BI15" s="73" t="s">
        <v>2641</v>
      </c>
      <c r="BJ15" s="73" t="s">
        <v>2642</v>
      </c>
      <c r="BK15" s="73" t="s">
        <v>256</v>
      </c>
      <c r="BL15" s="73" t="s">
        <v>257</v>
      </c>
    </row>
    <row r="16" spans="2:64" ht="15" customHeight="1" x14ac:dyDescent="0.3">
      <c r="BG16" s="24" t="s">
        <v>49</v>
      </c>
      <c r="BH16" s="73" t="s">
        <v>2643</v>
      </c>
      <c r="BI16" s="73" t="s">
        <v>2644</v>
      </c>
      <c r="BJ16" s="73" t="s">
        <v>2645</v>
      </c>
      <c r="BK16" s="73" t="s">
        <v>258</v>
      </c>
      <c r="BL16" s="73" t="s">
        <v>259</v>
      </c>
    </row>
    <row r="17" spans="4:64" ht="15" customHeight="1" x14ac:dyDescent="0.3">
      <c r="BG17" s="24" t="s">
        <v>50</v>
      </c>
      <c r="BH17" s="73" t="s">
        <v>2646</v>
      </c>
      <c r="BI17" s="73" t="s">
        <v>2647</v>
      </c>
      <c r="BJ17" s="73" t="s">
        <v>2648</v>
      </c>
      <c r="BK17" s="73" t="s">
        <v>260</v>
      </c>
      <c r="BL17" s="73" t="s">
        <v>261</v>
      </c>
    </row>
    <row r="18" spans="4:64" ht="15" customHeight="1" x14ac:dyDescent="0.3">
      <c r="BG18" s="24" t="s">
        <v>51</v>
      </c>
      <c r="BH18" s="73" t="s">
        <v>2649</v>
      </c>
      <c r="BI18" s="73" t="s">
        <v>2650</v>
      </c>
      <c r="BJ18" s="73" t="s">
        <v>2651</v>
      </c>
      <c r="BK18" s="73" t="s">
        <v>262</v>
      </c>
      <c r="BL18" s="73" t="s">
        <v>263</v>
      </c>
    </row>
    <row r="19" spans="4:64" ht="15" customHeight="1" x14ac:dyDescent="0.3">
      <c r="BG19" s="24" t="s">
        <v>52</v>
      </c>
      <c r="BH19" s="73" t="s">
        <v>2652</v>
      </c>
      <c r="BI19" s="73" t="s">
        <v>2653</v>
      </c>
      <c r="BJ19" s="73" t="s">
        <v>2654</v>
      </c>
      <c r="BK19" s="73" t="s">
        <v>264</v>
      </c>
      <c r="BL19" s="73" t="s">
        <v>265</v>
      </c>
    </row>
    <row r="20" spans="4:64" ht="15" customHeight="1" x14ac:dyDescent="0.3">
      <c r="BG20" s="24" t="s">
        <v>53</v>
      </c>
      <c r="BH20" s="73" t="s">
        <v>2655</v>
      </c>
      <c r="BI20" s="73" t="s">
        <v>2656</v>
      </c>
      <c r="BJ20" s="73" t="s">
        <v>2657</v>
      </c>
      <c r="BK20" s="73" t="s">
        <v>266</v>
      </c>
      <c r="BL20" s="73" t="s">
        <v>267</v>
      </c>
    </row>
    <row r="21" spans="4:64" ht="15" customHeight="1" x14ac:dyDescent="0.3">
      <c r="D21" s="15" t="s">
        <v>238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G21" s="24" t="s">
        <v>54</v>
      </c>
      <c r="BH21" s="73" t="s">
        <v>2658</v>
      </c>
      <c r="BI21" s="73" t="s">
        <v>2659</v>
      </c>
      <c r="BJ21" s="73" t="s">
        <v>2660</v>
      </c>
      <c r="BK21" s="73" t="s">
        <v>268</v>
      </c>
      <c r="BL21" s="73" t="s">
        <v>269</v>
      </c>
    </row>
    <row r="22" spans="4:64" ht="15" customHeight="1" x14ac:dyDescent="0.3">
      <c r="BG22" s="24" t="s">
        <v>139</v>
      </c>
      <c r="BH22" s="73" t="s">
        <v>2661</v>
      </c>
      <c r="BI22" s="73" t="s">
        <v>2662</v>
      </c>
      <c r="BJ22" s="73" t="s">
        <v>2663</v>
      </c>
      <c r="BK22" s="73" t="s">
        <v>240</v>
      </c>
      <c r="BL22" s="73" t="s">
        <v>270</v>
      </c>
    </row>
    <row r="27" spans="4:64" ht="15" customHeight="1" x14ac:dyDescent="0.3">
      <c r="G27" s="65"/>
    </row>
    <row r="28" spans="4:64" ht="15" customHeight="1" x14ac:dyDescent="0.3">
      <c r="T28" s="65"/>
      <c r="BH28" s="73"/>
      <c r="BI28" s="73"/>
      <c r="BJ28" s="73"/>
      <c r="BK28" s="73"/>
      <c r="BL28" s="73"/>
    </row>
    <row r="36" spans="4:65" ht="15" customHeight="1" x14ac:dyDescent="0.3">
      <c r="D36" s="5" t="s">
        <v>1932</v>
      </c>
      <c r="E36"/>
      <c r="F36"/>
      <c r="G36"/>
      <c r="H36"/>
      <c r="I36"/>
      <c r="J36"/>
      <c r="K36" s="78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4:65" ht="15" customHeight="1" x14ac:dyDescent="0.3">
      <c r="D37" s="15" t="s">
        <v>239</v>
      </c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66"/>
      <c r="BD37" s="66"/>
    </row>
    <row r="38" spans="4:65" ht="3" customHeight="1" x14ac:dyDescent="0.3"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G38"/>
      <c r="BL38" s="82"/>
      <c r="BM38" s="82"/>
    </row>
    <row r="39" spans="4:65" ht="15" customHeight="1" x14ac:dyDescent="0.3">
      <c r="D39" s="28" t="s">
        <v>40</v>
      </c>
      <c r="E39" s="28"/>
      <c r="F39" s="28"/>
      <c r="G39" s="28"/>
      <c r="H39" s="28"/>
      <c r="I39" s="28"/>
      <c r="J39" s="28"/>
      <c r="K39" s="29" t="s">
        <v>12</v>
      </c>
      <c r="L39" s="30"/>
      <c r="M39" s="32"/>
      <c r="N39" s="33" t="s">
        <v>13</v>
      </c>
      <c r="O39" s="30"/>
      <c r="P39" s="32"/>
      <c r="Q39" s="33" t="s">
        <v>14</v>
      </c>
      <c r="R39" s="30"/>
      <c r="S39" s="32"/>
      <c r="T39" s="33" t="s">
        <v>15</v>
      </c>
      <c r="U39" s="30"/>
      <c r="V39" s="32"/>
      <c r="W39" s="33" t="s">
        <v>16</v>
      </c>
      <c r="X39" s="30"/>
      <c r="Y39" s="32"/>
      <c r="Z39" s="33" t="s">
        <v>17</v>
      </c>
      <c r="AA39" s="30"/>
      <c r="AB39" s="32"/>
      <c r="AC39" s="33" t="s">
        <v>18</v>
      </c>
      <c r="AD39" s="30"/>
      <c r="AE39" s="32"/>
      <c r="AF39" s="33" t="s">
        <v>19</v>
      </c>
      <c r="AG39" s="30"/>
      <c r="AH39" s="32"/>
      <c r="AI39" s="33" t="s">
        <v>20</v>
      </c>
      <c r="AJ39" s="30"/>
      <c r="AK39" s="32"/>
      <c r="AL39" s="33" t="s">
        <v>21</v>
      </c>
      <c r="AM39" s="30"/>
      <c r="AN39" s="32"/>
      <c r="AO39" s="33" t="s">
        <v>22</v>
      </c>
      <c r="AP39" s="30"/>
      <c r="AQ39" s="32"/>
      <c r="AR39" s="33" t="s">
        <v>23</v>
      </c>
      <c r="AS39" s="30"/>
      <c r="AT39" s="32"/>
      <c r="AU39" s="29" t="s">
        <v>271</v>
      </c>
      <c r="AV39" s="30"/>
      <c r="AW39" s="30"/>
      <c r="AX39" s="31"/>
      <c r="AY39" s="29" t="s">
        <v>272</v>
      </c>
      <c r="AZ39" s="30"/>
      <c r="BA39" s="30"/>
      <c r="BB39" s="30"/>
    </row>
    <row r="40" spans="4:65" ht="15" customHeight="1" x14ac:dyDescent="0.3">
      <c r="D40" s="69" t="s">
        <v>55</v>
      </c>
      <c r="E40" s="70"/>
      <c r="F40" s="71"/>
      <c r="G40" s="71"/>
      <c r="H40" s="71"/>
      <c r="I40" s="71"/>
      <c r="J40" s="12"/>
      <c r="K40" s="147" t="s">
        <v>1452</v>
      </c>
      <c r="L40" s="148"/>
      <c r="M40" s="149"/>
      <c r="N40" s="147" t="s">
        <v>1453</v>
      </c>
      <c r="O40" s="148"/>
      <c r="P40" s="149"/>
      <c r="Q40" s="147" t="s">
        <v>1454</v>
      </c>
      <c r="R40" s="148"/>
      <c r="S40" s="149"/>
      <c r="T40" s="147" t="s">
        <v>1455</v>
      </c>
      <c r="U40" s="148"/>
      <c r="V40" s="149"/>
      <c r="W40" s="147" t="s">
        <v>1456</v>
      </c>
      <c r="X40" s="148"/>
      <c r="Y40" s="149"/>
      <c r="Z40" s="147" t="s">
        <v>1457</v>
      </c>
      <c r="AA40" s="148"/>
      <c r="AB40" s="149"/>
      <c r="AC40" s="147" t="s">
        <v>1458</v>
      </c>
      <c r="AD40" s="148"/>
      <c r="AE40" s="149"/>
      <c r="AF40" s="147" t="s">
        <v>1459</v>
      </c>
      <c r="AG40" s="148"/>
      <c r="AH40" s="149"/>
      <c r="AI40" s="147" t="s">
        <v>1460</v>
      </c>
      <c r="AJ40" s="148"/>
      <c r="AK40" s="149"/>
      <c r="AL40" s="147" t="s">
        <v>1461</v>
      </c>
      <c r="AM40" s="148"/>
      <c r="AN40" s="149"/>
      <c r="AO40" s="147" t="s">
        <v>1462</v>
      </c>
      <c r="AP40" s="148"/>
      <c r="AQ40" s="149"/>
      <c r="AR40" s="153" t="s">
        <v>1463</v>
      </c>
      <c r="AS40" s="154"/>
      <c r="AT40" s="154"/>
      <c r="AU40" s="199" t="s">
        <v>1464</v>
      </c>
      <c r="AV40" s="200"/>
      <c r="AW40" s="200"/>
      <c r="AX40" s="201"/>
      <c r="AY40" s="199" t="s">
        <v>1465</v>
      </c>
      <c r="AZ40" s="200"/>
      <c r="BA40" s="200"/>
      <c r="BB40" s="200"/>
    </row>
    <row r="41" spans="4:65" ht="15" customHeight="1" x14ac:dyDescent="0.3">
      <c r="D41" s="69" t="s">
        <v>56</v>
      </c>
      <c r="E41" s="70"/>
      <c r="F41" s="71"/>
      <c r="G41" s="71"/>
      <c r="H41" s="71"/>
      <c r="I41" s="71"/>
      <c r="J41" s="12"/>
      <c r="K41" s="147" t="s">
        <v>1466</v>
      </c>
      <c r="L41" s="148"/>
      <c r="M41" s="149"/>
      <c r="N41" s="147" t="s">
        <v>1467</v>
      </c>
      <c r="O41" s="148"/>
      <c r="P41" s="149"/>
      <c r="Q41" s="147" t="s">
        <v>1468</v>
      </c>
      <c r="R41" s="148"/>
      <c r="S41" s="149"/>
      <c r="T41" s="147" t="s">
        <v>1469</v>
      </c>
      <c r="U41" s="148"/>
      <c r="V41" s="149"/>
      <c r="W41" s="147" t="s">
        <v>1470</v>
      </c>
      <c r="X41" s="148"/>
      <c r="Y41" s="149"/>
      <c r="Z41" s="147" t="s">
        <v>1471</v>
      </c>
      <c r="AA41" s="148"/>
      <c r="AB41" s="149"/>
      <c r="AC41" s="147" t="s">
        <v>1472</v>
      </c>
      <c r="AD41" s="148"/>
      <c r="AE41" s="149"/>
      <c r="AF41" s="147" t="s">
        <v>1473</v>
      </c>
      <c r="AG41" s="148"/>
      <c r="AH41" s="149"/>
      <c r="AI41" s="147" t="s">
        <v>1474</v>
      </c>
      <c r="AJ41" s="148"/>
      <c r="AK41" s="149"/>
      <c r="AL41" s="147" t="s">
        <v>1475</v>
      </c>
      <c r="AM41" s="148"/>
      <c r="AN41" s="149"/>
      <c r="AO41" s="147" t="s">
        <v>1476</v>
      </c>
      <c r="AP41" s="148"/>
      <c r="AQ41" s="149"/>
      <c r="AR41" s="153" t="s">
        <v>1477</v>
      </c>
      <c r="AS41" s="154"/>
      <c r="AT41" s="154"/>
      <c r="AU41" s="181" t="s">
        <v>1478</v>
      </c>
      <c r="AV41" s="148"/>
      <c r="AW41" s="148"/>
      <c r="AX41" s="189"/>
      <c r="AY41" s="181" t="s">
        <v>1479</v>
      </c>
      <c r="AZ41" s="148"/>
      <c r="BA41" s="148"/>
      <c r="BB41" s="148"/>
    </row>
    <row r="42" spans="4:65" ht="15" customHeight="1" x14ac:dyDescent="0.3">
      <c r="D42" s="69" t="s">
        <v>57</v>
      </c>
      <c r="E42" s="70"/>
      <c r="F42" s="71"/>
      <c r="G42" s="71"/>
      <c r="H42" s="71"/>
      <c r="I42" s="71"/>
      <c r="J42" s="12"/>
      <c r="K42" s="147" t="s">
        <v>1480</v>
      </c>
      <c r="L42" s="148"/>
      <c r="M42" s="149"/>
      <c r="N42" s="147" t="s">
        <v>1481</v>
      </c>
      <c r="O42" s="148"/>
      <c r="P42" s="149"/>
      <c r="Q42" s="147" t="s">
        <v>1482</v>
      </c>
      <c r="R42" s="148"/>
      <c r="S42" s="149"/>
      <c r="T42" s="147" t="s">
        <v>1483</v>
      </c>
      <c r="U42" s="148"/>
      <c r="V42" s="149"/>
      <c r="W42" s="147" t="s">
        <v>1484</v>
      </c>
      <c r="X42" s="148"/>
      <c r="Y42" s="149"/>
      <c r="Z42" s="147" t="s">
        <v>1485</v>
      </c>
      <c r="AA42" s="148"/>
      <c r="AB42" s="149"/>
      <c r="AC42" s="147" t="s">
        <v>1486</v>
      </c>
      <c r="AD42" s="148"/>
      <c r="AE42" s="149"/>
      <c r="AF42" s="147" t="s">
        <v>1487</v>
      </c>
      <c r="AG42" s="148"/>
      <c r="AH42" s="149"/>
      <c r="AI42" s="147" t="s">
        <v>1488</v>
      </c>
      <c r="AJ42" s="148"/>
      <c r="AK42" s="149"/>
      <c r="AL42" s="147" t="s">
        <v>1489</v>
      </c>
      <c r="AM42" s="148"/>
      <c r="AN42" s="149"/>
      <c r="AO42" s="147" t="s">
        <v>1490</v>
      </c>
      <c r="AP42" s="148"/>
      <c r="AQ42" s="149"/>
      <c r="AR42" s="153" t="s">
        <v>1491</v>
      </c>
      <c r="AS42" s="154"/>
      <c r="AT42" s="154"/>
      <c r="AU42" s="181" t="s">
        <v>1492</v>
      </c>
      <c r="AV42" s="148"/>
      <c r="AW42" s="148"/>
      <c r="AX42" s="189"/>
      <c r="AY42" s="181" t="s">
        <v>1493</v>
      </c>
      <c r="AZ42" s="148"/>
      <c r="BA42" s="148"/>
      <c r="BB42" s="148"/>
    </row>
    <row r="43" spans="4:65" ht="15" customHeight="1" x14ac:dyDescent="0.3">
      <c r="D43" s="27" t="s">
        <v>58</v>
      </c>
      <c r="E43" s="72"/>
      <c r="F43" s="11"/>
      <c r="G43" s="11"/>
      <c r="H43" s="11"/>
      <c r="I43" s="11"/>
      <c r="J43" s="13"/>
      <c r="K43" s="150" t="s">
        <v>1494</v>
      </c>
      <c r="L43" s="151"/>
      <c r="M43" s="152"/>
      <c r="N43" s="150" t="s">
        <v>1495</v>
      </c>
      <c r="O43" s="151"/>
      <c r="P43" s="152"/>
      <c r="Q43" s="150" t="s">
        <v>1496</v>
      </c>
      <c r="R43" s="151"/>
      <c r="S43" s="152"/>
      <c r="T43" s="150" t="s">
        <v>1497</v>
      </c>
      <c r="U43" s="151"/>
      <c r="V43" s="152"/>
      <c r="W43" s="150" t="s">
        <v>1498</v>
      </c>
      <c r="X43" s="151"/>
      <c r="Y43" s="152"/>
      <c r="Z43" s="150" t="s">
        <v>1499</v>
      </c>
      <c r="AA43" s="151"/>
      <c r="AB43" s="152"/>
      <c r="AC43" s="150" t="s">
        <v>1500</v>
      </c>
      <c r="AD43" s="151"/>
      <c r="AE43" s="152"/>
      <c r="AF43" s="150" t="s">
        <v>1501</v>
      </c>
      <c r="AG43" s="151"/>
      <c r="AH43" s="152"/>
      <c r="AI43" s="150" t="s">
        <v>1502</v>
      </c>
      <c r="AJ43" s="151"/>
      <c r="AK43" s="152"/>
      <c r="AL43" s="150" t="s">
        <v>1503</v>
      </c>
      <c r="AM43" s="151"/>
      <c r="AN43" s="152"/>
      <c r="AO43" s="150" t="s">
        <v>1504</v>
      </c>
      <c r="AP43" s="151"/>
      <c r="AQ43" s="152"/>
      <c r="AR43" s="158" t="s">
        <v>1505</v>
      </c>
      <c r="AS43" s="157"/>
      <c r="AT43" s="157"/>
      <c r="AU43" s="182" t="s">
        <v>1506</v>
      </c>
      <c r="AV43" s="151"/>
      <c r="AW43" s="151"/>
      <c r="AX43" s="193"/>
      <c r="AY43" s="182" t="s">
        <v>1507</v>
      </c>
      <c r="AZ43" s="151"/>
      <c r="BA43" s="151"/>
      <c r="BB43" s="151"/>
    </row>
  </sheetData>
  <mergeCells count="57">
    <mergeCell ref="AR43:AT43"/>
    <mergeCell ref="AU43:AX43"/>
    <mergeCell ref="AY43:BB43"/>
    <mergeCell ref="Z43:AB43"/>
    <mergeCell ref="AC43:AE43"/>
    <mergeCell ref="AF43:AH43"/>
    <mergeCell ref="AI43:AK43"/>
    <mergeCell ref="AL43:AN43"/>
    <mergeCell ref="AO43:AQ43"/>
    <mergeCell ref="AL42:AN42"/>
    <mergeCell ref="AO42:AQ42"/>
    <mergeCell ref="AR42:AT42"/>
    <mergeCell ref="AU42:AX42"/>
    <mergeCell ref="AY42:BB42"/>
    <mergeCell ref="K43:M43"/>
    <mergeCell ref="N43:P43"/>
    <mergeCell ref="Q43:S43"/>
    <mergeCell ref="T43:V43"/>
    <mergeCell ref="W43:Y43"/>
    <mergeCell ref="AY41:BB41"/>
    <mergeCell ref="K42:M42"/>
    <mergeCell ref="N42:P42"/>
    <mergeCell ref="Q42:S42"/>
    <mergeCell ref="T42:V42"/>
    <mergeCell ref="W42:Y42"/>
    <mergeCell ref="Z42:AB42"/>
    <mergeCell ref="AC42:AE42"/>
    <mergeCell ref="AF42:AH42"/>
    <mergeCell ref="AI42:AK42"/>
    <mergeCell ref="AF41:AH41"/>
    <mergeCell ref="AI41:AK41"/>
    <mergeCell ref="AL41:AN41"/>
    <mergeCell ref="AO41:AQ41"/>
    <mergeCell ref="AR41:AT41"/>
    <mergeCell ref="AU41:AX41"/>
    <mergeCell ref="AR40:AT40"/>
    <mergeCell ref="AU40:AX40"/>
    <mergeCell ref="AY40:BB40"/>
    <mergeCell ref="K41:M41"/>
    <mergeCell ref="N41:P41"/>
    <mergeCell ref="Q41:S41"/>
    <mergeCell ref="T41:V41"/>
    <mergeCell ref="W41:Y41"/>
    <mergeCell ref="Z41:AB41"/>
    <mergeCell ref="AC41:AE41"/>
    <mergeCell ref="Z40:AB40"/>
    <mergeCell ref="AC40:AE40"/>
    <mergeCell ref="AF40:AH40"/>
    <mergeCell ref="AI40:AK40"/>
    <mergeCell ref="AL40:AN40"/>
    <mergeCell ref="AO40:AQ40"/>
    <mergeCell ref="W40:Y40"/>
    <mergeCell ref="F14:L14"/>
    <mergeCell ref="K40:M40"/>
    <mergeCell ref="N40:P40"/>
    <mergeCell ref="Q40:S40"/>
    <mergeCell ref="T40:V40"/>
  </mergeCells>
  <phoneticPr fontId="1" type="noConversion"/>
  <pageMargins left="0.25" right="0.25" top="0.75" bottom="0.75" header="0.3" footer="0.3"/>
  <pageSetup paperSize="9" scale="9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2FEB9-2AEC-4867-9FEB-1874532A57C1}">
  <dimension ref="B1:BM41"/>
  <sheetViews>
    <sheetView showGridLines="0" view="pageBreakPreview" zoomScaleNormal="100" zoomScaleSheetLayoutView="100" workbookViewId="0"/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5" ht="8.1" customHeight="1" x14ac:dyDescent="0.3"/>
    <row r="2" spans="2:65" ht="15" customHeight="1" x14ac:dyDescent="0.3">
      <c r="B2" s="2" t="s">
        <v>273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</row>
    <row r="3" spans="2:65" ht="5.25" customHeight="1" x14ac:dyDescent="0.3">
      <c r="B3"/>
      <c r="C3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2:65" ht="15" customHeight="1" x14ac:dyDescent="0.3">
      <c r="B4" s="21"/>
      <c r="C4"/>
      <c r="D4" s="78" t="s">
        <v>1934</v>
      </c>
      <c r="E4" s="76"/>
      <c r="F4" s="76"/>
      <c r="G4"/>
      <c r="H4" s="78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2:65" ht="15" customHeight="1" x14ac:dyDescent="0.3">
      <c r="B5"/>
      <c r="C5"/>
      <c r="D5" s="25" t="s">
        <v>274</v>
      </c>
      <c r="E5" s="25"/>
      <c r="F5" s="76"/>
      <c r="G5" s="76"/>
      <c r="H5" s="76"/>
      <c r="I5" s="76"/>
      <c r="J5" s="76"/>
      <c r="K5" s="76"/>
      <c r="L5" s="76"/>
      <c r="M5" s="76"/>
      <c r="N5" s="76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2:65" ht="15" customHeight="1" x14ac:dyDescent="0.3">
      <c r="B6"/>
      <c r="C6"/>
      <c r="D6" s="15" t="s">
        <v>275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80"/>
      <c r="AG6" s="80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81" t="s">
        <v>276</v>
      </c>
    </row>
    <row r="7" spans="2:65" ht="15" customHeight="1" x14ac:dyDescent="0.3"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BG7" s="24" t="s">
        <v>42</v>
      </c>
      <c r="BH7" s="24" t="s">
        <v>279</v>
      </c>
      <c r="BI7" s="24" t="s">
        <v>280</v>
      </c>
      <c r="BJ7" s="24" t="s">
        <v>281</v>
      </c>
      <c r="BK7" s="24" t="s">
        <v>282</v>
      </c>
      <c r="BL7" s="24" t="s">
        <v>283</v>
      </c>
      <c r="BM7" s="24" t="s">
        <v>284</v>
      </c>
    </row>
    <row r="8" spans="2:65" ht="15" customHeight="1" x14ac:dyDescent="0.3"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BG8" s="24" t="s">
        <v>43</v>
      </c>
      <c r="BH8" s="73" t="s">
        <v>2664</v>
      </c>
      <c r="BI8" s="73" t="s">
        <v>2665</v>
      </c>
      <c r="BJ8" s="73" t="s">
        <v>2666</v>
      </c>
      <c r="BK8" s="73" t="s">
        <v>2667</v>
      </c>
      <c r="BL8" s="73" t="s">
        <v>288</v>
      </c>
      <c r="BM8" s="73" t="s">
        <v>289</v>
      </c>
    </row>
    <row r="9" spans="2:65" ht="15" customHeight="1" x14ac:dyDescent="0.3"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BG9" s="24" t="s">
        <v>44</v>
      </c>
      <c r="BH9" s="73" t="s">
        <v>2668</v>
      </c>
      <c r="BI9" s="73" t="s">
        <v>2669</v>
      </c>
      <c r="BJ9" s="73" t="s">
        <v>2670</v>
      </c>
      <c r="BK9" s="73" t="s">
        <v>2671</v>
      </c>
      <c r="BL9" s="73" t="s">
        <v>290</v>
      </c>
      <c r="BM9" s="73" t="s">
        <v>291</v>
      </c>
    </row>
    <row r="10" spans="2:65" ht="15" customHeight="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BG10" s="24" t="s">
        <v>45</v>
      </c>
      <c r="BH10" s="73" t="s">
        <v>2672</v>
      </c>
      <c r="BI10" s="73" t="s">
        <v>2673</v>
      </c>
      <c r="BJ10" s="73" t="s">
        <v>2674</v>
      </c>
      <c r="BK10" s="73" t="s">
        <v>2675</v>
      </c>
      <c r="BL10" s="73" t="s">
        <v>292</v>
      </c>
      <c r="BM10" s="73" t="s">
        <v>293</v>
      </c>
    </row>
    <row r="11" spans="2:65" ht="15" customHeight="1" x14ac:dyDescent="0.3">
      <c r="B11" s="43"/>
      <c r="C11" s="43"/>
      <c r="D11" s="43"/>
      <c r="E11" s="43"/>
      <c r="F11" s="43"/>
      <c r="G11" s="43"/>
      <c r="H11" s="43"/>
      <c r="I11" s="74" t="s">
        <v>287</v>
      </c>
      <c r="J11" s="43"/>
      <c r="K11" s="43"/>
      <c r="L11" s="43"/>
      <c r="M11" s="43"/>
      <c r="N11" s="43"/>
      <c r="BG11" s="24" t="s">
        <v>46</v>
      </c>
      <c r="BH11" s="73" t="s">
        <v>2676</v>
      </c>
      <c r="BI11" s="73" t="s">
        <v>2677</v>
      </c>
      <c r="BJ11" s="73" t="s">
        <v>2678</v>
      </c>
      <c r="BK11" s="73" t="s">
        <v>2679</v>
      </c>
      <c r="BL11" s="73" t="s">
        <v>294</v>
      </c>
      <c r="BM11" s="73" t="s">
        <v>295</v>
      </c>
    </row>
    <row r="12" spans="2:65" ht="15" customHeight="1" x14ac:dyDescent="0.3">
      <c r="B12" s="43"/>
      <c r="C12" s="43"/>
      <c r="D12" s="43"/>
      <c r="E12" s="43"/>
      <c r="F12" s="164" t="s">
        <v>286</v>
      </c>
      <c r="G12" s="164"/>
      <c r="H12" s="164"/>
      <c r="I12" s="164"/>
      <c r="J12" s="164"/>
      <c r="K12" s="164"/>
      <c r="L12" s="164"/>
      <c r="M12" s="43"/>
      <c r="N12" s="43"/>
      <c r="BG12" s="24" t="s">
        <v>47</v>
      </c>
      <c r="BH12" s="73" t="s">
        <v>2680</v>
      </c>
      <c r="BI12" s="73" t="s">
        <v>2681</v>
      </c>
      <c r="BJ12" s="73" t="s">
        <v>2682</v>
      </c>
      <c r="BK12" s="73" t="s">
        <v>2683</v>
      </c>
      <c r="BL12" s="73" t="s">
        <v>296</v>
      </c>
      <c r="BM12" s="73" t="s">
        <v>297</v>
      </c>
    </row>
    <row r="13" spans="2:65" ht="15" customHeight="1" x14ac:dyDescent="0.3"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BG13" s="24" t="s">
        <v>48</v>
      </c>
      <c r="BH13" s="73" t="s">
        <v>2684</v>
      </c>
      <c r="BI13" s="73" t="s">
        <v>2685</v>
      </c>
      <c r="BJ13" s="73" t="s">
        <v>2686</v>
      </c>
      <c r="BK13" s="73" t="s">
        <v>2687</v>
      </c>
      <c r="BL13" s="73" t="s">
        <v>298</v>
      </c>
      <c r="BM13" s="73" t="s">
        <v>299</v>
      </c>
    </row>
    <row r="14" spans="2:65" ht="15" customHeight="1" x14ac:dyDescent="0.3">
      <c r="BG14" s="24" t="s">
        <v>49</v>
      </c>
      <c r="BH14" s="73" t="s">
        <v>2688</v>
      </c>
      <c r="BI14" s="73" t="s">
        <v>2689</v>
      </c>
      <c r="BJ14" s="73" t="s">
        <v>2690</v>
      </c>
      <c r="BK14" s="73" t="s">
        <v>2691</v>
      </c>
      <c r="BL14" s="73" t="s">
        <v>300</v>
      </c>
      <c r="BM14" s="73" t="s">
        <v>301</v>
      </c>
    </row>
    <row r="15" spans="2:65" ht="15" customHeight="1" x14ac:dyDescent="0.3">
      <c r="BG15" s="24" t="s">
        <v>50</v>
      </c>
      <c r="BH15" s="73" t="s">
        <v>2692</v>
      </c>
      <c r="BI15" s="73" t="s">
        <v>2693</v>
      </c>
      <c r="BJ15" s="73" t="s">
        <v>2694</v>
      </c>
      <c r="BK15" s="73" t="s">
        <v>2695</v>
      </c>
      <c r="BL15" s="73" t="s">
        <v>302</v>
      </c>
      <c r="BM15" s="73" t="s">
        <v>303</v>
      </c>
    </row>
    <row r="16" spans="2:65" ht="15" customHeight="1" x14ac:dyDescent="0.3">
      <c r="BG16" s="24" t="s">
        <v>51</v>
      </c>
      <c r="BH16" s="73" t="s">
        <v>2696</v>
      </c>
      <c r="BI16" s="73" t="s">
        <v>2697</v>
      </c>
      <c r="BJ16" s="73" t="s">
        <v>2698</v>
      </c>
      <c r="BK16" s="73" t="s">
        <v>2699</v>
      </c>
      <c r="BL16" s="73" t="s">
        <v>304</v>
      </c>
      <c r="BM16" s="73" t="s">
        <v>305</v>
      </c>
    </row>
    <row r="17" spans="4:65" ht="15" customHeight="1" x14ac:dyDescent="0.3">
      <c r="BG17" s="24" t="s">
        <v>52</v>
      </c>
      <c r="BH17" s="73" t="s">
        <v>2700</v>
      </c>
      <c r="BI17" s="73" t="s">
        <v>2701</v>
      </c>
      <c r="BJ17" s="73" t="s">
        <v>2702</v>
      </c>
      <c r="BK17" s="73" t="s">
        <v>2703</v>
      </c>
      <c r="BL17" s="73" t="s">
        <v>306</v>
      </c>
      <c r="BM17" s="73" t="s">
        <v>307</v>
      </c>
    </row>
    <row r="18" spans="4:65" ht="15" customHeight="1" x14ac:dyDescent="0.3">
      <c r="BG18" s="24" t="s">
        <v>53</v>
      </c>
      <c r="BH18" s="73" t="s">
        <v>2704</v>
      </c>
      <c r="BI18" s="73" t="s">
        <v>2705</v>
      </c>
      <c r="BJ18" s="73" t="s">
        <v>2706</v>
      </c>
      <c r="BK18" s="73" t="s">
        <v>2707</v>
      </c>
      <c r="BL18" s="73" t="s">
        <v>308</v>
      </c>
      <c r="BM18" s="73" t="s">
        <v>309</v>
      </c>
    </row>
    <row r="19" spans="4:65" ht="15" customHeight="1" x14ac:dyDescent="0.3">
      <c r="D19" s="15" t="s">
        <v>277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G19" s="24" t="s">
        <v>54</v>
      </c>
      <c r="BH19" s="73" t="s">
        <v>2708</v>
      </c>
      <c r="BI19" s="73" t="s">
        <v>2709</v>
      </c>
      <c r="BJ19" s="73" t="s">
        <v>2710</v>
      </c>
      <c r="BK19" s="73" t="s">
        <v>2711</v>
      </c>
      <c r="BL19" s="73" t="s">
        <v>310</v>
      </c>
      <c r="BM19" s="73" t="s">
        <v>311</v>
      </c>
    </row>
    <row r="20" spans="4:65" ht="15" customHeight="1" x14ac:dyDescent="0.3">
      <c r="BG20" s="24" t="s">
        <v>139</v>
      </c>
      <c r="BH20" s="73" t="s">
        <v>2712</v>
      </c>
      <c r="BI20" s="73" t="s">
        <v>2713</v>
      </c>
      <c r="BJ20" s="73" t="s">
        <v>2714</v>
      </c>
      <c r="BK20" s="73" t="s">
        <v>2715</v>
      </c>
      <c r="BL20" s="73" t="s">
        <v>285</v>
      </c>
      <c r="BM20" s="73" t="s">
        <v>312</v>
      </c>
    </row>
    <row r="25" spans="4:65" ht="15" customHeight="1" x14ac:dyDescent="0.3">
      <c r="G25" s="65"/>
    </row>
    <row r="26" spans="4:65" ht="15" customHeight="1" x14ac:dyDescent="0.3">
      <c r="T26" s="65"/>
    </row>
    <row r="34" spans="4:65" ht="15" customHeight="1" x14ac:dyDescent="0.3">
      <c r="D34" s="5" t="s">
        <v>1933</v>
      </c>
      <c r="E34"/>
      <c r="F34"/>
      <c r="G34"/>
      <c r="H34"/>
      <c r="I34"/>
      <c r="J34"/>
      <c r="K34" s="78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4:65" ht="15" customHeight="1" x14ac:dyDescent="0.3">
      <c r="D35" s="15" t="s">
        <v>278</v>
      </c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66"/>
      <c r="BD35" s="66"/>
    </row>
    <row r="36" spans="4:65" ht="3" customHeight="1" x14ac:dyDescent="0.3"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G36"/>
      <c r="BL36" s="82"/>
      <c r="BM36" s="82"/>
    </row>
    <row r="37" spans="4:65" ht="15" customHeight="1" x14ac:dyDescent="0.3">
      <c r="D37" s="28" t="s">
        <v>40</v>
      </c>
      <c r="E37" s="28"/>
      <c r="F37" s="28"/>
      <c r="G37" s="28"/>
      <c r="H37" s="28"/>
      <c r="I37" s="28"/>
      <c r="J37" s="28"/>
      <c r="K37" s="29" t="s">
        <v>12</v>
      </c>
      <c r="L37" s="30"/>
      <c r="M37" s="32"/>
      <c r="N37" s="33" t="s">
        <v>13</v>
      </c>
      <c r="O37" s="30"/>
      <c r="P37" s="32"/>
      <c r="Q37" s="33" t="s">
        <v>14</v>
      </c>
      <c r="R37" s="30"/>
      <c r="S37" s="32"/>
      <c r="T37" s="33" t="s">
        <v>15</v>
      </c>
      <c r="U37" s="30"/>
      <c r="V37" s="32"/>
      <c r="W37" s="33" t="s">
        <v>16</v>
      </c>
      <c r="X37" s="30"/>
      <c r="Y37" s="32"/>
      <c r="Z37" s="33" t="s">
        <v>17</v>
      </c>
      <c r="AA37" s="30"/>
      <c r="AB37" s="32"/>
      <c r="AC37" s="33" t="s">
        <v>18</v>
      </c>
      <c r="AD37" s="30"/>
      <c r="AE37" s="32"/>
      <c r="AF37" s="33" t="s">
        <v>19</v>
      </c>
      <c r="AG37" s="30"/>
      <c r="AH37" s="32"/>
      <c r="AI37" s="33" t="s">
        <v>20</v>
      </c>
      <c r="AJ37" s="30"/>
      <c r="AK37" s="32"/>
      <c r="AL37" s="33" t="s">
        <v>21</v>
      </c>
      <c r="AM37" s="30"/>
      <c r="AN37" s="32"/>
      <c r="AO37" s="33" t="s">
        <v>22</v>
      </c>
      <c r="AP37" s="30"/>
      <c r="AQ37" s="32"/>
      <c r="AR37" s="33" t="s">
        <v>23</v>
      </c>
      <c r="AS37" s="30"/>
      <c r="AT37" s="32"/>
      <c r="AU37" s="29" t="s">
        <v>271</v>
      </c>
      <c r="AV37" s="30"/>
      <c r="AW37" s="30"/>
      <c r="AX37" s="31"/>
      <c r="AY37" s="29" t="s">
        <v>272</v>
      </c>
      <c r="AZ37" s="30"/>
      <c r="BA37" s="30"/>
      <c r="BB37" s="30"/>
    </row>
    <row r="38" spans="4:65" ht="15" customHeight="1" x14ac:dyDescent="0.3">
      <c r="D38" s="69" t="s">
        <v>55</v>
      </c>
      <c r="E38" s="70"/>
      <c r="F38" s="71"/>
      <c r="G38" s="71"/>
      <c r="H38" s="71"/>
      <c r="I38" s="71"/>
      <c r="J38" s="12"/>
      <c r="K38" s="147" t="s">
        <v>1522</v>
      </c>
      <c r="L38" s="148"/>
      <c r="M38" s="149"/>
      <c r="N38" s="147" t="s">
        <v>1523</v>
      </c>
      <c r="O38" s="148"/>
      <c r="P38" s="149"/>
      <c r="Q38" s="147" t="s">
        <v>1524</v>
      </c>
      <c r="R38" s="148"/>
      <c r="S38" s="149"/>
      <c r="T38" s="147" t="s">
        <v>1525</v>
      </c>
      <c r="U38" s="148"/>
      <c r="V38" s="149"/>
      <c r="W38" s="147" t="s">
        <v>1526</v>
      </c>
      <c r="X38" s="148"/>
      <c r="Y38" s="149"/>
      <c r="Z38" s="147" t="s">
        <v>1527</v>
      </c>
      <c r="AA38" s="148"/>
      <c r="AB38" s="149"/>
      <c r="AC38" s="147" t="s">
        <v>1528</v>
      </c>
      <c r="AD38" s="148"/>
      <c r="AE38" s="149"/>
      <c r="AF38" s="147" t="s">
        <v>1529</v>
      </c>
      <c r="AG38" s="148"/>
      <c r="AH38" s="149"/>
      <c r="AI38" s="147" t="s">
        <v>1530</v>
      </c>
      <c r="AJ38" s="148"/>
      <c r="AK38" s="149"/>
      <c r="AL38" s="147" t="s">
        <v>1531</v>
      </c>
      <c r="AM38" s="148"/>
      <c r="AN38" s="149"/>
      <c r="AO38" s="147" t="s">
        <v>1532</v>
      </c>
      <c r="AP38" s="148"/>
      <c r="AQ38" s="149"/>
      <c r="AR38" s="153" t="s">
        <v>1533</v>
      </c>
      <c r="AS38" s="154"/>
      <c r="AT38" s="154"/>
      <c r="AU38" s="199" t="s">
        <v>1534</v>
      </c>
      <c r="AV38" s="200"/>
      <c r="AW38" s="200"/>
      <c r="AX38" s="201"/>
      <c r="AY38" s="199" t="s">
        <v>1535</v>
      </c>
      <c r="AZ38" s="200"/>
      <c r="BA38" s="200"/>
      <c r="BB38" s="200"/>
    </row>
    <row r="39" spans="4:65" ht="15" customHeight="1" x14ac:dyDescent="0.3">
      <c r="D39" s="69" t="s">
        <v>56</v>
      </c>
      <c r="E39" s="70"/>
      <c r="F39" s="71"/>
      <c r="G39" s="71"/>
      <c r="H39" s="71"/>
      <c r="I39" s="71"/>
      <c r="J39" s="12"/>
      <c r="K39" s="147" t="s">
        <v>1536</v>
      </c>
      <c r="L39" s="148"/>
      <c r="M39" s="149"/>
      <c r="N39" s="147" t="s">
        <v>1537</v>
      </c>
      <c r="O39" s="148"/>
      <c r="P39" s="149"/>
      <c r="Q39" s="147" t="s">
        <v>1538</v>
      </c>
      <c r="R39" s="148"/>
      <c r="S39" s="149"/>
      <c r="T39" s="147" t="s">
        <v>1539</v>
      </c>
      <c r="U39" s="148"/>
      <c r="V39" s="149"/>
      <c r="W39" s="147" t="s">
        <v>1540</v>
      </c>
      <c r="X39" s="148"/>
      <c r="Y39" s="149"/>
      <c r="Z39" s="147" t="s">
        <v>1541</v>
      </c>
      <c r="AA39" s="148"/>
      <c r="AB39" s="149"/>
      <c r="AC39" s="147" t="s">
        <v>1542</v>
      </c>
      <c r="AD39" s="148"/>
      <c r="AE39" s="149"/>
      <c r="AF39" s="147" t="s">
        <v>1543</v>
      </c>
      <c r="AG39" s="148"/>
      <c r="AH39" s="149"/>
      <c r="AI39" s="147" t="s">
        <v>1544</v>
      </c>
      <c r="AJ39" s="148"/>
      <c r="AK39" s="149"/>
      <c r="AL39" s="147" t="s">
        <v>1545</v>
      </c>
      <c r="AM39" s="148"/>
      <c r="AN39" s="149"/>
      <c r="AO39" s="147" t="s">
        <v>1546</v>
      </c>
      <c r="AP39" s="148"/>
      <c r="AQ39" s="149"/>
      <c r="AR39" s="153" t="s">
        <v>1547</v>
      </c>
      <c r="AS39" s="154"/>
      <c r="AT39" s="154"/>
      <c r="AU39" s="181" t="s">
        <v>1548</v>
      </c>
      <c r="AV39" s="148"/>
      <c r="AW39" s="148"/>
      <c r="AX39" s="189"/>
      <c r="AY39" s="181" t="s">
        <v>1549</v>
      </c>
      <c r="AZ39" s="148"/>
      <c r="BA39" s="148"/>
      <c r="BB39" s="148"/>
    </row>
    <row r="40" spans="4:65" ht="15" customHeight="1" x14ac:dyDescent="0.3">
      <c r="D40" s="69" t="s">
        <v>57</v>
      </c>
      <c r="E40" s="70"/>
      <c r="F40" s="71"/>
      <c r="G40" s="71"/>
      <c r="H40" s="71"/>
      <c r="I40" s="71"/>
      <c r="J40" s="12"/>
      <c r="K40" s="147" t="s">
        <v>1550</v>
      </c>
      <c r="L40" s="148"/>
      <c r="M40" s="149"/>
      <c r="N40" s="147" t="s">
        <v>1551</v>
      </c>
      <c r="O40" s="148"/>
      <c r="P40" s="149"/>
      <c r="Q40" s="147" t="s">
        <v>1552</v>
      </c>
      <c r="R40" s="148"/>
      <c r="S40" s="149"/>
      <c r="T40" s="147" t="s">
        <v>1553</v>
      </c>
      <c r="U40" s="148"/>
      <c r="V40" s="149"/>
      <c r="W40" s="147" t="s">
        <v>1554</v>
      </c>
      <c r="X40" s="148"/>
      <c r="Y40" s="149"/>
      <c r="Z40" s="147" t="s">
        <v>1555</v>
      </c>
      <c r="AA40" s="148"/>
      <c r="AB40" s="149"/>
      <c r="AC40" s="147" t="s">
        <v>1556</v>
      </c>
      <c r="AD40" s="148"/>
      <c r="AE40" s="149"/>
      <c r="AF40" s="147" t="s">
        <v>1557</v>
      </c>
      <c r="AG40" s="148"/>
      <c r="AH40" s="149"/>
      <c r="AI40" s="147" t="s">
        <v>1558</v>
      </c>
      <c r="AJ40" s="148"/>
      <c r="AK40" s="149"/>
      <c r="AL40" s="147" t="s">
        <v>1559</v>
      </c>
      <c r="AM40" s="148"/>
      <c r="AN40" s="149"/>
      <c r="AO40" s="147" t="s">
        <v>1560</v>
      </c>
      <c r="AP40" s="148"/>
      <c r="AQ40" s="149"/>
      <c r="AR40" s="153" t="s">
        <v>1561</v>
      </c>
      <c r="AS40" s="154"/>
      <c r="AT40" s="154"/>
      <c r="AU40" s="181" t="s">
        <v>1562</v>
      </c>
      <c r="AV40" s="148"/>
      <c r="AW40" s="148"/>
      <c r="AX40" s="189"/>
      <c r="AY40" s="181" t="s">
        <v>1563</v>
      </c>
      <c r="AZ40" s="148"/>
      <c r="BA40" s="148"/>
      <c r="BB40" s="148"/>
    </row>
    <row r="41" spans="4:65" ht="15" customHeight="1" x14ac:dyDescent="0.3">
      <c r="D41" s="27" t="s">
        <v>58</v>
      </c>
      <c r="E41" s="72"/>
      <c r="F41" s="11"/>
      <c r="G41" s="11"/>
      <c r="H41" s="11"/>
      <c r="I41" s="11"/>
      <c r="J41" s="13"/>
      <c r="K41" s="150" t="s">
        <v>1564</v>
      </c>
      <c r="L41" s="151"/>
      <c r="M41" s="152"/>
      <c r="N41" s="150" t="s">
        <v>1565</v>
      </c>
      <c r="O41" s="151"/>
      <c r="P41" s="152"/>
      <c r="Q41" s="150" t="s">
        <v>1566</v>
      </c>
      <c r="R41" s="151"/>
      <c r="S41" s="152"/>
      <c r="T41" s="150" t="s">
        <v>1567</v>
      </c>
      <c r="U41" s="151"/>
      <c r="V41" s="152"/>
      <c r="W41" s="150" t="s">
        <v>1568</v>
      </c>
      <c r="X41" s="151"/>
      <c r="Y41" s="152"/>
      <c r="Z41" s="150" t="s">
        <v>1569</v>
      </c>
      <c r="AA41" s="151"/>
      <c r="AB41" s="152"/>
      <c r="AC41" s="150" t="s">
        <v>1570</v>
      </c>
      <c r="AD41" s="151"/>
      <c r="AE41" s="152"/>
      <c r="AF41" s="150" t="s">
        <v>1571</v>
      </c>
      <c r="AG41" s="151"/>
      <c r="AH41" s="152"/>
      <c r="AI41" s="150" t="s">
        <v>1572</v>
      </c>
      <c r="AJ41" s="151"/>
      <c r="AK41" s="152"/>
      <c r="AL41" s="150" t="s">
        <v>1573</v>
      </c>
      <c r="AM41" s="151"/>
      <c r="AN41" s="152"/>
      <c r="AO41" s="150" t="s">
        <v>1574</v>
      </c>
      <c r="AP41" s="151"/>
      <c r="AQ41" s="152"/>
      <c r="AR41" s="158" t="s">
        <v>1575</v>
      </c>
      <c r="AS41" s="157"/>
      <c r="AT41" s="157"/>
      <c r="AU41" s="182" t="s">
        <v>1576</v>
      </c>
      <c r="AV41" s="151"/>
      <c r="AW41" s="151"/>
      <c r="AX41" s="193"/>
      <c r="AY41" s="182" t="s">
        <v>1577</v>
      </c>
      <c r="AZ41" s="151"/>
      <c r="BA41" s="151"/>
      <c r="BB41" s="151"/>
    </row>
  </sheetData>
  <mergeCells count="57">
    <mergeCell ref="AR41:AT41"/>
    <mergeCell ref="AU41:AX41"/>
    <mergeCell ref="AY41:BB41"/>
    <mergeCell ref="Z41:AB41"/>
    <mergeCell ref="AC41:AE41"/>
    <mergeCell ref="AF41:AH41"/>
    <mergeCell ref="AI41:AK41"/>
    <mergeCell ref="AL41:AN41"/>
    <mergeCell ref="AO41:AQ41"/>
    <mergeCell ref="AL40:AN40"/>
    <mergeCell ref="AO40:AQ40"/>
    <mergeCell ref="AR40:AT40"/>
    <mergeCell ref="AU40:AX40"/>
    <mergeCell ref="AY40:BB40"/>
    <mergeCell ref="K41:M41"/>
    <mergeCell ref="N41:P41"/>
    <mergeCell ref="Q41:S41"/>
    <mergeCell ref="T41:V41"/>
    <mergeCell ref="W41:Y41"/>
    <mergeCell ref="AY39:BB39"/>
    <mergeCell ref="K40:M40"/>
    <mergeCell ref="N40:P40"/>
    <mergeCell ref="Q40:S40"/>
    <mergeCell ref="T40:V40"/>
    <mergeCell ref="W40:Y40"/>
    <mergeCell ref="Z40:AB40"/>
    <mergeCell ref="AC40:AE40"/>
    <mergeCell ref="AF40:AH40"/>
    <mergeCell ref="AI40:AK40"/>
    <mergeCell ref="AF39:AH39"/>
    <mergeCell ref="AI39:AK39"/>
    <mergeCell ref="AL39:AN39"/>
    <mergeCell ref="AO39:AQ39"/>
    <mergeCell ref="AR39:AT39"/>
    <mergeCell ref="AU39:AX39"/>
    <mergeCell ref="AR38:AT38"/>
    <mergeCell ref="AU38:AX38"/>
    <mergeCell ref="AY38:BB38"/>
    <mergeCell ref="K39:M39"/>
    <mergeCell ref="N39:P39"/>
    <mergeCell ref="Q39:S39"/>
    <mergeCell ref="T39:V39"/>
    <mergeCell ref="W39:Y39"/>
    <mergeCell ref="Z39:AB39"/>
    <mergeCell ref="AC39:AE39"/>
    <mergeCell ref="Z38:AB38"/>
    <mergeCell ref="AC38:AE38"/>
    <mergeCell ref="AF38:AH38"/>
    <mergeCell ref="AI38:AK38"/>
    <mergeCell ref="AL38:AN38"/>
    <mergeCell ref="AO38:AQ38"/>
    <mergeCell ref="W38:Y38"/>
    <mergeCell ref="F12:L12"/>
    <mergeCell ref="K38:M38"/>
    <mergeCell ref="N38:P38"/>
    <mergeCell ref="Q38:S38"/>
    <mergeCell ref="T38:V38"/>
  </mergeCells>
  <phoneticPr fontId="1" type="noConversion"/>
  <pageMargins left="0.25" right="0.25" top="0.75" bottom="0.75" header="0.3" footer="0.3"/>
  <pageSetup paperSize="9" scale="9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D454-4F16-43D1-9328-4518E1E91CA7}">
  <dimension ref="B1:BQ41"/>
  <sheetViews>
    <sheetView showGridLines="0" view="pageBreakPreview" zoomScaleNormal="100" zoomScaleSheetLayoutView="100" workbookViewId="0">
      <selection activeCell="AD23" sqref="AD23:AH23"/>
    </sheetView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9" ht="7.5" customHeight="1" x14ac:dyDescent="0.3"/>
    <row r="2" spans="2:69" ht="15" customHeight="1" x14ac:dyDescent="0.3">
      <c r="B2" s="1" t="s">
        <v>314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</row>
    <row r="3" spans="2:69" ht="5.0999999999999996" customHeight="1" x14ac:dyDescent="0.3">
      <c r="N3" s="43"/>
    </row>
    <row r="4" spans="2:69" ht="15" customHeight="1" x14ac:dyDescent="0.3">
      <c r="B4" s="2" t="s">
        <v>36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</row>
    <row r="5" spans="2:69" ht="15" customHeight="1" x14ac:dyDescent="0.3">
      <c r="B5" s="6"/>
      <c r="D5" s="78" t="str">
        <f>"【NPS 관리활동 현황】 ’{{cm_yy}}년 {{cm_mm}}월말 기준 배분 VOC "&amp;BI10&amp;"건 중 "&amp;BJ10&amp;"건("&amp;BK10&amp;") 검토"</f>
        <v>【NPS 관리활동 현황】 ’{{cm_yy}}년 {{cm_mm}}월말 기준 배분 VOC {{S9_배분_1}}건 중 {{S9_검토_1}}건({{S9_검토율_1}}) 검토</v>
      </c>
      <c r="E5" s="43"/>
      <c r="F5" s="25"/>
      <c r="G5" s="43"/>
      <c r="H5" s="43"/>
      <c r="I5" s="43"/>
      <c r="J5" s="43"/>
      <c r="K5" s="43"/>
      <c r="L5" s="43"/>
      <c r="M5" s="43"/>
      <c r="N5" s="43"/>
    </row>
    <row r="6" spans="2:69" ht="15" customHeight="1" x14ac:dyDescent="0.3">
      <c r="B6" s="6"/>
      <c r="C6" s="65"/>
      <c r="D6" s="25" t="s">
        <v>315</v>
      </c>
      <c r="E6" s="25"/>
      <c r="F6" s="25"/>
      <c r="G6" s="43"/>
      <c r="H6" s="43"/>
      <c r="I6" s="43"/>
      <c r="J6" s="43"/>
      <c r="K6" s="43"/>
      <c r="L6" s="43"/>
      <c r="M6" s="43"/>
      <c r="N6" s="43"/>
    </row>
    <row r="7" spans="2:69" ht="15" customHeight="1" x14ac:dyDescent="0.3"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</row>
    <row r="8" spans="2:69" ht="15" customHeight="1" x14ac:dyDescent="0.3">
      <c r="B8" s="228" t="s">
        <v>316</v>
      </c>
      <c r="C8" s="240"/>
      <c r="D8" s="240"/>
      <c r="E8" s="240"/>
      <c r="F8" s="240"/>
      <c r="G8" s="240"/>
      <c r="H8" s="240"/>
      <c r="I8" s="240"/>
      <c r="J8" s="226" t="s">
        <v>317</v>
      </c>
      <c r="K8" s="227"/>
      <c r="L8" s="227"/>
      <c r="M8" s="227"/>
      <c r="N8" s="227"/>
      <c r="O8" s="227"/>
      <c r="P8" s="227"/>
      <c r="Q8" s="227"/>
      <c r="R8" s="227"/>
      <c r="S8" s="228"/>
      <c r="T8" s="202" t="s">
        <v>318</v>
      </c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3" t="s">
        <v>319</v>
      </c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</row>
    <row r="9" spans="2:69" ht="15" customHeight="1" x14ac:dyDescent="0.3">
      <c r="B9" s="231"/>
      <c r="C9" s="241"/>
      <c r="D9" s="241"/>
      <c r="E9" s="241"/>
      <c r="F9" s="241"/>
      <c r="G9" s="241"/>
      <c r="H9" s="241"/>
      <c r="I9" s="241"/>
      <c r="J9" s="229"/>
      <c r="K9" s="230"/>
      <c r="L9" s="230"/>
      <c r="M9" s="230"/>
      <c r="N9" s="230"/>
      <c r="O9" s="230"/>
      <c r="P9" s="230"/>
      <c r="Q9" s="230"/>
      <c r="R9" s="230"/>
      <c r="S9" s="231"/>
      <c r="T9" s="202" t="s">
        <v>320</v>
      </c>
      <c r="U9" s="202"/>
      <c r="V9" s="202"/>
      <c r="W9" s="202"/>
      <c r="X9" s="202"/>
      <c r="Y9" s="202" t="s">
        <v>321</v>
      </c>
      <c r="Z9" s="202"/>
      <c r="AA9" s="202"/>
      <c r="AB9" s="202"/>
      <c r="AC9" s="202"/>
      <c r="AD9" s="202" t="s">
        <v>322</v>
      </c>
      <c r="AE9" s="202"/>
      <c r="AF9" s="202"/>
      <c r="AG9" s="202"/>
      <c r="AH9" s="202"/>
      <c r="AI9" s="202" t="s">
        <v>323</v>
      </c>
      <c r="AJ9" s="202"/>
      <c r="AK9" s="202"/>
      <c r="AL9" s="202"/>
      <c r="AM9" s="202"/>
      <c r="AN9" s="202" t="s">
        <v>324</v>
      </c>
      <c r="AO9" s="202"/>
      <c r="AP9" s="202"/>
      <c r="AQ9" s="202"/>
      <c r="AR9" s="202"/>
      <c r="AS9" s="202" t="s">
        <v>325</v>
      </c>
      <c r="AT9" s="202"/>
      <c r="AU9" s="202"/>
      <c r="AV9" s="202"/>
      <c r="AW9" s="202" t="s">
        <v>271</v>
      </c>
      <c r="AX9" s="202"/>
      <c r="AY9" s="202"/>
      <c r="AZ9" s="202"/>
      <c r="BA9" s="203" t="s">
        <v>272</v>
      </c>
      <c r="BB9" s="204"/>
      <c r="BC9" s="204"/>
      <c r="BD9" s="204"/>
      <c r="BG9" s="24" t="s">
        <v>367</v>
      </c>
      <c r="BH9" s="24" t="s">
        <v>368</v>
      </c>
      <c r="BI9" s="24" t="s">
        <v>369</v>
      </c>
      <c r="BJ9" s="24" t="s">
        <v>370</v>
      </c>
      <c r="BK9" s="24" t="s">
        <v>371</v>
      </c>
      <c r="BL9" s="24" t="s">
        <v>322</v>
      </c>
      <c r="BM9" s="24" t="s">
        <v>372</v>
      </c>
      <c r="BN9" s="24" t="s">
        <v>373</v>
      </c>
      <c r="BO9" s="24" t="s">
        <v>374</v>
      </c>
      <c r="BP9" s="24" t="s">
        <v>375</v>
      </c>
      <c r="BQ9" s="24" t="s">
        <v>376</v>
      </c>
    </row>
    <row r="10" spans="2:69" ht="15" customHeight="1" x14ac:dyDescent="0.3">
      <c r="B10" s="238" t="s">
        <v>326</v>
      </c>
      <c r="C10" s="238"/>
      <c r="D10" s="238"/>
      <c r="E10" s="238"/>
      <c r="F10" s="238"/>
      <c r="G10" s="238"/>
      <c r="H10" s="238"/>
      <c r="I10" s="239"/>
      <c r="J10" s="118"/>
      <c r="K10" s="95"/>
      <c r="L10" s="95"/>
      <c r="M10" s="95"/>
      <c r="N10" s="95"/>
      <c r="O10" s="95"/>
      <c r="P10" s="95"/>
      <c r="Q10" s="95"/>
      <c r="R10" s="95"/>
      <c r="S10" s="95"/>
      <c r="T10" s="205" t="s">
        <v>379</v>
      </c>
      <c r="U10" s="205"/>
      <c r="V10" s="205"/>
      <c r="W10" s="205"/>
      <c r="X10" s="205"/>
      <c r="Y10" s="205" t="str">
        <f>BJ10&amp;"("&amp;BK10&amp;")"</f>
        <v>{{S9_검토_1}}({{S9_검토율_1}})</v>
      </c>
      <c r="Z10" s="205"/>
      <c r="AA10" s="205"/>
      <c r="AB10" s="205"/>
      <c r="AC10" s="205"/>
      <c r="AD10" s="205" t="str">
        <f>BL10&amp;"("&amp;BM10&amp;")"</f>
        <v>{{S9_현행유지_1}}({{S9_현행유지비율_1}})</v>
      </c>
      <c r="AE10" s="205"/>
      <c r="AF10" s="205"/>
      <c r="AG10" s="205"/>
      <c r="AH10" s="205"/>
      <c r="AI10" s="205" t="str">
        <f>BN10&amp;"("&amp;BO10&amp;")"</f>
        <v>{{S9_개선불가_1}}({{S9_개선불가비율_1}})</v>
      </c>
      <c r="AJ10" s="205"/>
      <c r="AK10" s="205"/>
      <c r="AL10" s="205"/>
      <c r="AM10" s="205"/>
      <c r="AN10" s="206" t="str">
        <f>BP10&amp;"("&amp;BQ10&amp;")"</f>
        <v>{{S9_개선예정_1}}({{S9_개선예정비율_1}})</v>
      </c>
      <c r="AO10" s="206"/>
      <c r="AP10" s="206"/>
      <c r="AQ10" s="206"/>
      <c r="AR10" s="206"/>
      <c r="AS10" s="207"/>
      <c r="AT10" s="207"/>
      <c r="AU10" s="207"/>
      <c r="AV10" s="207"/>
      <c r="AW10" s="207"/>
      <c r="AX10" s="207"/>
      <c r="AY10" s="207"/>
      <c r="AZ10" s="207"/>
      <c r="BA10" s="208"/>
      <c r="BB10" s="209"/>
      <c r="BC10" s="209"/>
      <c r="BD10" s="209"/>
      <c r="BG10" s="73" t="s">
        <v>377</v>
      </c>
      <c r="BH10" s="73" t="s">
        <v>378</v>
      </c>
      <c r="BI10" s="73" t="s">
        <v>379</v>
      </c>
      <c r="BJ10" s="73" t="s">
        <v>380</v>
      </c>
      <c r="BK10" s="73" t="s">
        <v>381</v>
      </c>
      <c r="BL10" s="73" t="s">
        <v>382</v>
      </c>
      <c r="BM10" s="73" t="s">
        <v>383</v>
      </c>
      <c r="BN10" s="73" t="s">
        <v>384</v>
      </c>
      <c r="BO10" s="73" t="s">
        <v>385</v>
      </c>
      <c r="BP10" s="73" t="s">
        <v>386</v>
      </c>
      <c r="BQ10" s="73" t="s">
        <v>387</v>
      </c>
    </row>
    <row r="11" spans="2:69" ht="15" customHeight="1" x14ac:dyDescent="0.3">
      <c r="B11" s="232" t="s">
        <v>327</v>
      </c>
      <c r="C11" s="232"/>
      <c r="D11" s="232"/>
      <c r="E11" s="232"/>
      <c r="F11" s="232"/>
      <c r="G11" s="232"/>
      <c r="H11" s="232"/>
      <c r="I11" s="233"/>
      <c r="J11" s="114" t="s">
        <v>328</v>
      </c>
      <c r="K11" s="115"/>
      <c r="L11" s="115"/>
      <c r="M11" s="115"/>
      <c r="N11" s="115"/>
      <c r="O11" s="115"/>
      <c r="P11" s="115"/>
      <c r="Q11" s="115"/>
      <c r="R11" s="115"/>
      <c r="S11" s="115"/>
      <c r="T11" s="224" t="s">
        <v>390</v>
      </c>
      <c r="U11" s="224"/>
      <c r="V11" s="224"/>
      <c r="W11" s="224"/>
      <c r="X11" s="224"/>
      <c r="Y11" s="224" t="str">
        <f t="shared" ref="Y11:Y24" si="0">BJ11&amp;"("&amp;BK11&amp;")"</f>
        <v>{{S9_검토_2}}({{S9_검토율_2}})</v>
      </c>
      <c r="Z11" s="224"/>
      <c r="AA11" s="224"/>
      <c r="AB11" s="224"/>
      <c r="AC11" s="224"/>
      <c r="AD11" s="224" t="str">
        <f t="shared" ref="AD11:AD24" si="1">BL11&amp;"("&amp;BM11&amp;")"</f>
        <v>{{S9_현행유지_2}}({{S9_현행유지비율_2}})</v>
      </c>
      <c r="AE11" s="224"/>
      <c r="AF11" s="224"/>
      <c r="AG11" s="224"/>
      <c r="AH11" s="224"/>
      <c r="AI11" s="224" t="str">
        <f t="shared" ref="AI11:AI24" si="2">BN11&amp;"("&amp;BO11&amp;")"</f>
        <v>{{S9_개선불가_2}}({{S9_개선불가비율_2}})</v>
      </c>
      <c r="AJ11" s="224"/>
      <c r="AK11" s="224"/>
      <c r="AL11" s="224"/>
      <c r="AM11" s="224"/>
      <c r="AN11" s="210" t="str">
        <f t="shared" ref="AN11:AN24" si="3">BP11&amp;"("&amp;BQ11&amp;")"</f>
        <v>{{S9_개선예정_2}}({{S9_개선예정비율_2}})</v>
      </c>
      <c r="AO11" s="210"/>
      <c r="AP11" s="210"/>
      <c r="AQ11" s="210"/>
      <c r="AR11" s="210"/>
      <c r="AS11" s="211" t="s">
        <v>1379</v>
      </c>
      <c r="AT11" s="211"/>
      <c r="AU11" s="211"/>
      <c r="AV11" s="211"/>
      <c r="AW11" s="211" t="s">
        <v>1427</v>
      </c>
      <c r="AX11" s="211"/>
      <c r="AY11" s="211"/>
      <c r="AZ11" s="211"/>
      <c r="BA11" s="215" t="s">
        <v>1428</v>
      </c>
      <c r="BB11" s="216"/>
      <c r="BC11" s="216"/>
      <c r="BD11" s="216"/>
      <c r="BG11" s="73" t="s">
        <v>388</v>
      </c>
      <c r="BH11" s="73" t="s">
        <v>389</v>
      </c>
      <c r="BI11" s="73" t="s">
        <v>390</v>
      </c>
      <c r="BJ11" s="73" t="s">
        <v>391</v>
      </c>
      <c r="BK11" s="73" t="s">
        <v>392</v>
      </c>
      <c r="BL11" s="73" t="s">
        <v>393</v>
      </c>
      <c r="BM11" s="73" t="s">
        <v>394</v>
      </c>
      <c r="BN11" s="73" t="s">
        <v>395</v>
      </c>
      <c r="BO11" s="73" t="s">
        <v>396</v>
      </c>
      <c r="BP11" s="73" t="s">
        <v>397</v>
      </c>
      <c r="BQ11" s="73" t="s">
        <v>398</v>
      </c>
    </row>
    <row r="12" spans="2:69" ht="15" customHeight="1" x14ac:dyDescent="0.3">
      <c r="B12" s="234"/>
      <c r="C12" s="234"/>
      <c r="D12" s="234"/>
      <c r="E12" s="234"/>
      <c r="F12" s="234"/>
      <c r="G12" s="234"/>
      <c r="H12" s="234"/>
      <c r="I12" s="235"/>
      <c r="J12" s="116" t="s">
        <v>329</v>
      </c>
      <c r="K12" s="117"/>
      <c r="L12" s="117"/>
      <c r="M12" s="117"/>
      <c r="N12" s="117"/>
      <c r="O12" s="117"/>
      <c r="P12" s="117"/>
      <c r="Q12" s="117"/>
      <c r="R12" s="117"/>
      <c r="S12" s="117"/>
      <c r="T12" s="213" t="s">
        <v>401</v>
      </c>
      <c r="U12" s="213"/>
      <c r="V12" s="213"/>
      <c r="W12" s="213"/>
      <c r="X12" s="213"/>
      <c r="Y12" s="213" t="str">
        <f t="shared" si="0"/>
        <v>{{S9_검토_3}}({{S9_검토율_3}})</v>
      </c>
      <c r="Z12" s="213"/>
      <c r="AA12" s="213"/>
      <c r="AB12" s="213"/>
      <c r="AC12" s="213"/>
      <c r="AD12" s="213" t="str">
        <f t="shared" si="1"/>
        <v>{{S9_현행유지_3}}({{S9_현행유지비율_3}})</v>
      </c>
      <c r="AE12" s="213"/>
      <c r="AF12" s="213"/>
      <c r="AG12" s="213"/>
      <c r="AH12" s="213"/>
      <c r="AI12" s="213" t="str">
        <f t="shared" si="2"/>
        <v>{{S9_개선불가_3}}({{S9_개선불가비율_3}})</v>
      </c>
      <c r="AJ12" s="213"/>
      <c r="AK12" s="213"/>
      <c r="AL12" s="213"/>
      <c r="AM12" s="213"/>
      <c r="AN12" s="214" t="str">
        <f t="shared" si="3"/>
        <v>{{S9_개선예정_3}}({{S9_개선예정비율_3}})</v>
      </c>
      <c r="AO12" s="214"/>
      <c r="AP12" s="214"/>
      <c r="AQ12" s="214"/>
      <c r="AR12" s="214"/>
      <c r="AS12" s="211"/>
      <c r="AT12" s="211"/>
      <c r="AU12" s="211"/>
      <c r="AV12" s="211"/>
      <c r="AW12" s="211"/>
      <c r="AX12" s="211"/>
      <c r="AY12" s="211"/>
      <c r="AZ12" s="211"/>
      <c r="BA12" s="218"/>
      <c r="BB12" s="174"/>
      <c r="BC12" s="174"/>
      <c r="BD12" s="174"/>
      <c r="BE12" s="109"/>
      <c r="BG12" s="73" t="s">
        <v>399</v>
      </c>
      <c r="BH12" s="73" t="s">
        <v>400</v>
      </c>
      <c r="BI12" s="73" t="s">
        <v>401</v>
      </c>
      <c r="BJ12" s="73" t="s">
        <v>402</v>
      </c>
      <c r="BK12" s="73" t="s">
        <v>403</v>
      </c>
      <c r="BL12" s="73" t="s">
        <v>404</v>
      </c>
      <c r="BM12" s="73" t="s">
        <v>405</v>
      </c>
      <c r="BN12" s="73" t="s">
        <v>406</v>
      </c>
      <c r="BO12" s="73" t="s">
        <v>407</v>
      </c>
      <c r="BP12" s="73" t="s">
        <v>408</v>
      </c>
      <c r="BQ12" s="73" t="s">
        <v>409</v>
      </c>
    </row>
    <row r="13" spans="2:69" ht="15" customHeight="1" x14ac:dyDescent="0.3">
      <c r="B13" s="234"/>
      <c r="C13" s="234"/>
      <c r="D13" s="234"/>
      <c r="E13" s="234"/>
      <c r="F13" s="234"/>
      <c r="G13" s="234"/>
      <c r="H13" s="234"/>
      <c r="I13" s="235"/>
      <c r="J13" s="116" t="s">
        <v>330</v>
      </c>
      <c r="K13" s="117"/>
      <c r="L13" s="117"/>
      <c r="M13" s="117"/>
      <c r="N13" s="117"/>
      <c r="O13" s="117"/>
      <c r="P13" s="117"/>
      <c r="Q13" s="117"/>
      <c r="R13" s="117"/>
      <c r="S13" s="117"/>
      <c r="T13" s="213" t="s">
        <v>412</v>
      </c>
      <c r="U13" s="213"/>
      <c r="V13" s="213"/>
      <c r="W13" s="213"/>
      <c r="X13" s="213"/>
      <c r="Y13" s="213" t="str">
        <f t="shared" si="0"/>
        <v>{{S9_검토_4}}({{S9_검토율_4}})</v>
      </c>
      <c r="Z13" s="213"/>
      <c r="AA13" s="213"/>
      <c r="AB13" s="213"/>
      <c r="AC13" s="213"/>
      <c r="AD13" s="213" t="str">
        <f t="shared" si="1"/>
        <v>{{S9_현행유지_4}}({{S9_현행유지비율_4}})</v>
      </c>
      <c r="AE13" s="213"/>
      <c r="AF13" s="213"/>
      <c r="AG13" s="213"/>
      <c r="AH13" s="213"/>
      <c r="AI13" s="213" t="str">
        <f t="shared" si="2"/>
        <v>{{S9_개선불가_4}}({{S9_개선불가비율_4}})</v>
      </c>
      <c r="AJ13" s="213"/>
      <c r="AK13" s="213"/>
      <c r="AL13" s="213"/>
      <c r="AM13" s="213"/>
      <c r="AN13" s="214" t="str">
        <f t="shared" si="3"/>
        <v>{{S9_개선예정_4}}({{S9_개선예정비율_4}})</v>
      </c>
      <c r="AO13" s="214"/>
      <c r="AP13" s="214"/>
      <c r="AQ13" s="214"/>
      <c r="AR13" s="214"/>
      <c r="AS13" s="211"/>
      <c r="AT13" s="211"/>
      <c r="AU13" s="211"/>
      <c r="AV13" s="211"/>
      <c r="AW13" s="211"/>
      <c r="AX13" s="211"/>
      <c r="AY13" s="211"/>
      <c r="AZ13" s="211"/>
      <c r="BA13" s="218"/>
      <c r="BB13" s="174"/>
      <c r="BC13" s="174"/>
      <c r="BD13" s="174"/>
      <c r="BE13" s="109"/>
      <c r="BG13" s="73" t="s">
        <v>410</v>
      </c>
      <c r="BH13" s="73" t="s">
        <v>411</v>
      </c>
      <c r="BI13" s="73" t="s">
        <v>412</v>
      </c>
      <c r="BJ13" s="73" t="s">
        <v>413</v>
      </c>
      <c r="BK13" s="73" t="s">
        <v>414</v>
      </c>
      <c r="BL13" s="73" t="s">
        <v>415</v>
      </c>
      <c r="BM13" s="73" t="s">
        <v>416</v>
      </c>
      <c r="BN13" s="73" t="s">
        <v>417</v>
      </c>
      <c r="BO13" s="73" t="s">
        <v>418</v>
      </c>
      <c r="BP13" s="73" t="s">
        <v>419</v>
      </c>
      <c r="BQ13" s="73" t="s">
        <v>420</v>
      </c>
    </row>
    <row r="14" spans="2:69" ht="15" customHeight="1" x14ac:dyDescent="0.3">
      <c r="B14" s="234"/>
      <c r="C14" s="234"/>
      <c r="D14" s="234"/>
      <c r="E14" s="234"/>
      <c r="F14" s="234"/>
      <c r="G14" s="234"/>
      <c r="H14" s="234"/>
      <c r="I14" s="235"/>
      <c r="J14" s="116" t="s">
        <v>331</v>
      </c>
      <c r="K14" s="117"/>
      <c r="L14" s="117"/>
      <c r="M14" s="117"/>
      <c r="N14" s="117"/>
      <c r="O14" s="117"/>
      <c r="P14" s="117"/>
      <c r="Q14" s="117"/>
      <c r="R14" s="117"/>
      <c r="S14" s="117"/>
      <c r="T14" s="213" t="s">
        <v>423</v>
      </c>
      <c r="U14" s="213"/>
      <c r="V14" s="213"/>
      <c r="W14" s="213"/>
      <c r="X14" s="213"/>
      <c r="Y14" s="213" t="str">
        <f t="shared" si="0"/>
        <v>{{S9_검토_5}}({{S9_검토율_5}})</v>
      </c>
      <c r="Z14" s="213"/>
      <c r="AA14" s="213"/>
      <c r="AB14" s="213"/>
      <c r="AC14" s="213"/>
      <c r="AD14" s="213" t="str">
        <f t="shared" si="1"/>
        <v>{{S9_현행유지_5}}({{S9_현행유지비율_5}})</v>
      </c>
      <c r="AE14" s="213"/>
      <c r="AF14" s="213"/>
      <c r="AG14" s="213"/>
      <c r="AH14" s="213"/>
      <c r="AI14" s="213" t="str">
        <f t="shared" si="2"/>
        <v>{{S9_개선불가_5}}({{S9_개선불가비율_5}})</v>
      </c>
      <c r="AJ14" s="213"/>
      <c r="AK14" s="213"/>
      <c r="AL14" s="213"/>
      <c r="AM14" s="213"/>
      <c r="AN14" s="214" t="str">
        <f t="shared" si="3"/>
        <v>{{S9_개선예정_5}}({{S9_개선예정비율_5}})</v>
      </c>
      <c r="AO14" s="214"/>
      <c r="AP14" s="214"/>
      <c r="AQ14" s="214"/>
      <c r="AR14" s="214"/>
      <c r="AS14" s="211"/>
      <c r="AT14" s="211"/>
      <c r="AU14" s="211"/>
      <c r="AV14" s="211"/>
      <c r="AW14" s="211"/>
      <c r="AX14" s="211"/>
      <c r="AY14" s="211"/>
      <c r="AZ14" s="211"/>
      <c r="BA14" s="218"/>
      <c r="BB14" s="174"/>
      <c r="BC14" s="174"/>
      <c r="BD14" s="174"/>
      <c r="BE14" s="109"/>
      <c r="BG14" s="73" t="s">
        <v>421</v>
      </c>
      <c r="BH14" s="73" t="s">
        <v>422</v>
      </c>
      <c r="BI14" s="73" t="s">
        <v>423</v>
      </c>
      <c r="BJ14" s="73" t="s">
        <v>424</v>
      </c>
      <c r="BK14" s="73" t="s">
        <v>425</v>
      </c>
      <c r="BL14" s="73" t="s">
        <v>426</v>
      </c>
      <c r="BM14" s="73" t="s">
        <v>427</v>
      </c>
      <c r="BN14" s="73" t="s">
        <v>428</v>
      </c>
      <c r="BO14" s="73" t="s">
        <v>429</v>
      </c>
      <c r="BP14" s="73" t="s">
        <v>430</v>
      </c>
      <c r="BQ14" s="73" t="s">
        <v>431</v>
      </c>
    </row>
    <row r="15" spans="2:69" ht="15" customHeight="1" x14ac:dyDescent="0.3">
      <c r="B15" s="236"/>
      <c r="C15" s="236"/>
      <c r="D15" s="236"/>
      <c r="E15" s="236"/>
      <c r="F15" s="236"/>
      <c r="G15" s="236"/>
      <c r="H15" s="236"/>
      <c r="I15" s="237"/>
      <c r="J15" s="112" t="s">
        <v>332</v>
      </c>
      <c r="K15" s="113"/>
      <c r="L15" s="113"/>
      <c r="M15" s="113"/>
      <c r="N15" s="113"/>
      <c r="O15" s="113"/>
      <c r="P15" s="113"/>
      <c r="Q15" s="113"/>
      <c r="R15" s="113"/>
      <c r="S15" s="113"/>
      <c r="T15" s="225" t="s">
        <v>434</v>
      </c>
      <c r="U15" s="225"/>
      <c r="V15" s="225"/>
      <c r="W15" s="225"/>
      <c r="X15" s="225"/>
      <c r="Y15" s="225" t="str">
        <f t="shared" si="0"/>
        <v>{{S9_검토_6}}({{S9_검토율_6}})</v>
      </c>
      <c r="Z15" s="225"/>
      <c r="AA15" s="225"/>
      <c r="AB15" s="225"/>
      <c r="AC15" s="225"/>
      <c r="AD15" s="225" t="str">
        <f t="shared" si="1"/>
        <v>{{S9_현행유지_6}}({{S9_현행유지비율_6}})</v>
      </c>
      <c r="AE15" s="225"/>
      <c r="AF15" s="225"/>
      <c r="AG15" s="225"/>
      <c r="AH15" s="225"/>
      <c r="AI15" s="225" t="str">
        <f t="shared" si="2"/>
        <v>{{S9_개선불가_6}}({{S9_개선불가비율_6}})</v>
      </c>
      <c r="AJ15" s="225"/>
      <c r="AK15" s="225"/>
      <c r="AL15" s="225"/>
      <c r="AM15" s="225"/>
      <c r="AN15" s="212" t="str">
        <f t="shared" si="3"/>
        <v>{{S9_개선예정_6}}({{S9_개선예정비율_6}})</v>
      </c>
      <c r="AO15" s="212"/>
      <c r="AP15" s="212"/>
      <c r="AQ15" s="212"/>
      <c r="AR15" s="212"/>
      <c r="AS15" s="211"/>
      <c r="AT15" s="211"/>
      <c r="AU15" s="211"/>
      <c r="AV15" s="211"/>
      <c r="AW15" s="211"/>
      <c r="AX15" s="211"/>
      <c r="AY15" s="211"/>
      <c r="AZ15" s="211"/>
      <c r="BA15" s="218"/>
      <c r="BB15" s="174"/>
      <c r="BC15" s="174"/>
      <c r="BD15" s="174"/>
      <c r="BE15" s="109"/>
      <c r="BG15" s="73" t="s">
        <v>432</v>
      </c>
      <c r="BH15" s="73" t="s">
        <v>433</v>
      </c>
      <c r="BI15" s="73" t="s">
        <v>434</v>
      </c>
      <c r="BJ15" s="73" t="s">
        <v>435</v>
      </c>
      <c r="BK15" s="73" t="s">
        <v>436</v>
      </c>
      <c r="BL15" s="73" t="s">
        <v>437</v>
      </c>
      <c r="BM15" s="73" t="s">
        <v>438</v>
      </c>
      <c r="BN15" s="73" t="s">
        <v>439</v>
      </c>
      <c r="BO15" s="73" t="s">
        <v>440</v>
      </c>
      <c r="BP15" s="73" t="s">
        <v>441</v>
      </c>
      <c r="BQ15" s="73" t="s">
        <v>442</v>
      </c>
    </row>
    <row r="16" spans="2:69" ht="15" customHeight="1" x14ac:dyDescent="0.3">
      <c r="B16" s="232" t="s">
        <v>333</v>
      </c>
      <c r="C16" s="232"/>
      <c r="D16" s="232"/>
      <c r="E16" s="232"/>
      <c r="F16" s="232"/>
      <c r="G16" s="232"/>
      <c r="H16" s="232"/>
      <c r="I16" s="233"/>
      <c r="J16" s="114" t="s">
        <v>328</v>
      </c>
      <c r="K16" s="115"/>
      <c r="L16" s="115"/>
      <c r="M16" s="115"/>
      <c r="N16" s="115"/>
      <c r="O16" s="115"/>
      <c r="P16" s="115"/>
      <c r="Q16" s="115"/>
      <c r="R16" s="115"/>
      <c r="S16" s="115"/>
      <c r="T16" s="224" t="s">
        <v>445</v>
      </c>
      <c r="U16" s="224"/>
      <c r="V16" s="224"/>
      <c r="W16" s="224"/>
      <c r="X16" s="224"/>
      <c r="Y16" s="224" t="str">
        <f t="shared" si="0"/>
        <v>{{S9_검토_7}}({{S9_검토율_7}})</v>
      </c>
      <c r="Z16" s="224"/>
      <c r="AA16" s="224"/>
      <c r="AB16" s="224"/>
      <c r="AC16" s="224"/>
      <c r="AD16" s="224" t="str">
        <f t="shared" si="1"/>
        <v>{{S9_현행유지_7}}({{S9_현행유지비율_7}})</v>
      </c>
      <c r="AE16" s="224"/>
      <c r="AF16" s="224"/>
      <c r="AG16" s="224"/>
      <c r="AH16" s="224"/>
      <c r="AI16" s="224" t="str">
        <f t="shared" si="2"/>
        <v>{{S9_개선불가_7}}({{S9_개선불가비율_7}})</v>
      </c>
      <c r="AJ16" s="224"/>
      <c r="AK16" s="224"/>
      <c r="AL16" s="224"/>
      <c r="AM16" s="224"/>
      <c r="AN16" s="210" t="str">
        <f t="shared" si="3"/>
        <v>{{S9_개선예정_7}}({{S9_개선예정비율_7}})</v>
      </c>
      <c r="AO16" s="210"/>
      <c r="AP16" s="210"/>
      <c r="AQ16" s="210"/>
      <c r="AR16" s="210"/>
      <c r="AS16" s="215" t="s">
        <v>1380</v>
      </c>
      <c r="AT16" s="216"/>
      <c r="AU16" s="216"/>
      <c r="AV16" s="217"/>
      <c r="AW16" s="215" t="s">
        <v>1429</v>
      </c>
      <c r="AX16" s="216"/>
      <c r="AY16" s="216"/>
      <c r="AZ16" s="217"/>
      <c r="BA16" s="215" t="s">
        <v>1430</v>
      </c>
      <c r="BB16" s="216"/>
      <c r="BC16" s="216"/>
      <c r="BD16" s="216"/>
      <c r="BE16" s="111"/>
      <c r="BG16" s="73" t="s">
        <v>443</v>
      </c>
      <c r="BH16" s="73" t="s">
        <v>444</v>
      </c>
      <c r="BI16" s="73" t="s">
        <v>445</v>
      </c>
      <c r="BJ16" s="73" t="s">
        <v>446</v>
      </c>
      <c r="BK16" s="73" t="s">
        <v>447</v>
      </c>
      <c r="BL16" s="73" t="s">
        <v>448</v>
      </c>
      <c r="BM16" s="73" t="s">
        <v>449</v>
      </c>
      <c r="BN16" s="73" t="s">
        <v>450</v>
      </c>
      <c r="BO16" s="73" t="s">
        <v>451</v>
      </c>
      <c r="BP16" s="73" t="s">
        <v>452</v>
      </c>
      <c r="BQ16" s="73" t="s">
        <v>453</v>
      </c>
    </row>
    <row r="17" spans="2:69" ht="15" customHeight="1" x14ac:dyDescent="0.3">
      <c r="B17" s="234"/>
      <c r="C17" s="234"/>
      <c r="D17" s="234"/>
      <c r="E17" s="234"/>
      <c r="F17" s="234"/>
      <c r="G17" s="234"/>
      <c r="H17" s="234"/>
      <c r="I17" s="235"/>
      <c r="J17" s="116" t="s">
        <v>2818</v>
      </c>
      <c r="K17" s="117"/>
      <c r="L17" s="117"/>
      <c r="M17" s="117"/>
      <c r="N17" s="117"/>
      <c r="O17" s="117"/>
      <c r="P17" s="117"/>
      <c r="Q17" s="117"/>
      <c r="R17" s="117"/>
      <c r="S17" s="117"/>
      <c r="T17" s="213" t="s">
        <v>456</v>
      </c>
      <c r="U17" s="213"/>
      <c r="V17" s="213"/>
      <c r="W17" s="213"/>
      <c r="X17" s="213"/>
      <c r="Y17" s="213" t="str">
        <f t="shared" si="0"/>
        <v>{{S9_검토_8}}({{S9_검토율_8}})</v>
      </c>
      <c r="Z17" s="213"/>
      <c r="AA17" s="213"/>
      <c r="AB17" s="213"/>
      <c r="AC17" s="213"/>
      <c r="AD17" s="213" t="str">
        <f t="shared" si="1"/>
        <v>{{S9_현행유지_8}}({{S9_현행유지비율_8}})</v>
      </c>
      <c r="AE17" s="213"/>
      <c r="AF17" s="213"/>
      <c r="AG17" s="213"/>
      <c r="AH17" s="213"/>
      <c r="AI17" s="213" t="str">
        <f t="shared" si="2"/>
        <v>{{S9_개선불가_8}}({{S9_개선불가비율_8}})</v>
      </c>
      <c r="AJ17" s="213"/>
      <c r="AK17" s="213"/>
      <c r="AL17" s="213"/>
      <c r="AM17" s="213"/>
      <c r="AN17" s="214" t="str">
        <f t="shared" si="3"/>
        <v>{{S9_개선예정_8}}({{S9_개선예정비율_8}})</v>
      </c>
      <c r="AO17" s="214"/>
      <c r="AP17" s="214"/>
      <c r="AQ17" s="214"/>
      <c r="AR17" s="214"/>
      <c r="AS17" s="218"/>
      <c r="AT17" s="219"/>
      <c r="AU17" s="219"/>
      <c r="AV17" s="220"/>
      <c r="AW17" s="218"/>
      <c r="AX17" s="219"/>
      <c r="AY17" s="219"/>
      <c r="AZ17" s="220"/>
      <c r="BA17" s="218"/>
      <c r="BB17" s="219"/>
      <c r="BC17" s="219"/>
      <c r="BD17" s="219"/>
      <c r="BE17" s="109"/>
      <c r="BG17" s="73" t="s">
        <v>454</v>
      </c>
      <c r="BH17" s="73" t="s">
        <v>455</v>
      </c>
      <c r="BI17" s="73" t="s">
        <v>456</v>
      </c>
      <c r="BJ17" s="73" t="s">
        <v>457</v>
      </c>
      <c r="BK17" s="73" t="s">
        <v>458</v>
      </c>
      <c r="BL17" s="73" t="s">
        <v>459</v>
      </c>
      <c r="BM17" s="73" t="s">
        <v>460</v>
      </c>
      <c r="BN17" s="73" t="s">
        <v>461</v>
      </c>
      <c r="BO17" s="73" t="s">
        <v>462</v>
      </c>
      <c r="BP17" s="73" t="s">
        <v>463</v>
      </c>
      <c r="BQ17" s="73" t="s">
        <v>464</v>
      </c>
    </row>
    <row r="18" spans="2:69" ht="15" customHeight="1" x14ac:dyDescent="0.3">
      <c r="B18" s="236"/>
      <c r="C18" s="236"/>
      <c r="D18" s="236"/>
      <c r="E18" s="236"/>
      <c r="F18" s="236"/>
      <c r="G18" s="236"/>
      <c r="H18" s="236"/>
      <c r="I18" s="237"/>
      <c r="J18" s="112" t="s">
        <v>334</v>
      </c>
      <c r="K18" s="113"/>
      <c r="L18" s="113"/>
      <c r="M18" s="113"/>
      <c r="N18" s="113"/>
      <c r="O18" s="113"/>
      <c r="P18" s="113"/>
      <c r="Q18" s="113"/>
      <c r="R18" s="113"/>
      <c r="S18" s="113"/>
      <c r="T18" s="225" t="s">
        <v>467</v>
      </c>
      <c r="U18" s="225"/>
      <c r="V18" s="225"/>
      <c r="W18" s="225"/>
      <c r="X18" s="225"/>
      <c r="Y18" s="225" t="str">
        <f t="shared" si="0"/>
        <v>{{S9_검토_9}}({{S9_검토율_9}})</v>
      </c>
      <c r="Z18" s="225"/>
      <c r="AA18" s="225"/>
      <c r="AB18" s="225"/>
      <c r="AC18" s="225"/>
      <c r="AD18" s="225" t="str">
        <f t="shared" si="1"/>
        <v>{{S9_현행유지_9}}({{S9_현행유지비율_9}})</v>
      </c>
      <c r="AE18" s="225"/>
      <c r="AF18" s="225"/>
      <c r="AG18" s="225"/>
      <c r="AH18" s="225"/>
      <c r="AI18" s="225" t="str">
        <f t="shared" si="2"/>
        <v>{{S9_개선불가_9}}({{S9_개선불가비율_9}})</v>
      </c>
      <c r="AJ18" s="225"/>
      <c r="AK18" s="225"/>
      <c r="AL18" s="225"/>
      <c r="AM18" s="225"/>
      <c r="AN18" s="212" t="str">
        <f t="shared" si="3"/>
        <v>{{S9_개선예정_9}}({{S9_개선예정비율_9}})</v>
      </c>
      <c r="AO18" s="212"/>
      <c r="AP18" s="212"/>
      <c r="AQ18" s="212"/>
      <c r="AR18" s="212"/>
      <c r="AS18" s="221"/>
      <c r="AT18" s="222"/>
      <c r="AU18" s="222"/>
      <c r="AV18" s="223"/>
      <c r="AW18" s="221"/>
      <c r="AX18" s="222"/>
      <c r="AY18" s="222"/>
      <c r="AZ18" s="223"/>
      <c r="BA18" s="221"/>
      <c r="BB18" s="222"/>
      <c r="BC18" s="222"/>
      <c r="BD18" s="222"/>
      <c r="BE18" s="109"/>
      <c r="BG18" s="73" t="s">
        <v>465</v>
      </c>
      <c r="BH18" s="73" t="s">
        <v>466</v>
      </c>
      <c r="BI18" s="73" t="s">
        <v>467</v>
      </c>
      <c r="BJ18" s="73" t="s">
        <v>468</v>
      </c>
      <c r="BK18" s="73" t="s">
        <v>469</v>
      </c>
      <c r="BL18" s="73" t="s">
        <v>470</v>
      </c>
      <c r="BM18" s="73" t="s">
        <v>471</v>
      </c>
      <c r="BN18" s="73" t="s">
        <v>472</v>
      </c>
      <c r="BO18" s="73" t="s">
        <v>473</v>
      </c>
      <c r="BP18" s="73" t="s">
        <v>474</v>
      </c>
      <c r="BQ18" s="73" t="s">
        <v>475</v>
      </c>
    </row>
    <row r="19" spans="2:69" ht="15" customHeight="1" x14ac:dyDescent="0.3">
      <c r="B19" s="232" t="s">
        <v>335</v>
      </c>
      <c r="C19" s="232"/>
      <c r="D19" s="232"/>
      <c r="E19" s="232"/>
      <c r="F19" s="232"/>
      <c r="G19" s="232"/>
      <c r="H19" s="232"/>
      <c r="I19" s="233"/>
      <c r="J19" s="114" t="s">
        <v>328</v>
      </c>
      <c r="K19" s="115"/>
      <c r="L19" s="115"/>
      <c r="M19" s="115"/>
      <c r="N19" s="115"/>
      <c r="O19" s="115"/>
      <c r="P19" s="115"/>
      <c r="Q19" s="115"/>
      <c r="R19" s="115"/>
      <c r="S19" s="115"/>
      <c r="T19" s="224" t="s">
        <v>478</v>
      </c>
      <c r="U19" s="224"/>
      <c r="V19" s="224"/>
      <c r="W19" s="224"/>
      <c r="X19" s="224"/>
      <c r="Y19" s="224" t="str">
        <f t="shared" si="0"/>
        <v>{{S9_검토_10}}({{S9_검토율_10}})</v>
      </c>
      <c r="Z19" s="224"/>
      <c r="AA19" s="224"/>
      <c r="AB19" s="224"/>
      <c r="AC19" s="224"/>
      <c r="AD19" s="224" t="str">
        <f t="shared" si="1"/>
        <v>{{S9_현행유지_10}}({{S9_현행유지비율_10}})</v>
      </c>
      <c r="AE19" s="224"/>
      <c r="AF19" s="224"/>
      <c r="AG19" s="224"/>
      <c r="AH19" s="224"/>
      <c r="AI19" s="224" t="str">
        <f t="shared" si="2"/>
        <v>{{S9_개선불가_10}}({{S9_개선불가비율_10}})</v>
      </c>
      <c r="AJ19" s="224"/>
      <c r="AK19" s="224"/>
      <c r="AL19" s="224"/>
      <c r="AM19" s="224"/>
      <c r="AN19" s="210" t="str">
        <f t="shared" si="3"/>
        <v>{{S9_개선예정_10}}({{S9_개선예정비율_10}})</v>
      </c>
      <c r="AO19" s="210"/>
      <c r="AP19" s="210"/>
      <c r="AQ19" s="210"/>
      <c r="AR19" s="210"/>
      <c r="AS19" s="215" t="s">
        <v>1381</v>
      </c>
      <c r="AT19" s="216"/>
      <c r="AU19" s="216"/>
      <c r="AV19" s="217"/>
      <c r="AW19" s="215" t="s">
        <v>1431</v>
      </c>
      <c r="AX19" s="216"/>
      <c r="AY19" s="216"/>
      <c r="AZ19" s="217"/>
      <c r="BA19" s="215" t="s">
        <v>1432</v>
      </c>
      <c r="BB19" s="216"/>
      <c r="BC19" s="216"/>
      <c r="BD19" s="216"/>
      <c r="BE19" s="111"/>
      <c r="BG19" s="73" t="s">
        <v>476</v>
      </c>
      <c r="BH19" s="73" t="s">
        <v>477</v>
      </c>
      <c r="BI19" s="73" t="s">
        <v>478</v>
      </c>
      <c r="BJ19" s="73" t="s">
        <v>479</v>
      </c>
      <c r="BK19" s="73" t="s">
        <v>480</v>
      </c>
      <c r="BL19" s="73" t="s">
        <v>481</v>
      </c>
      <c r="BM19" s="73" t="s">
        <v>482</v>
      </c>
      <c r="BN19" s="73" t="s">
        <v>483</v>
      </c>
      <c r="BO19" s="73" t="s">
        <v>484</v>
      </c>
      <c r="BP19" s="73" t="s">
        <v>485</v>
      </c>
      <c r="BQ19" s="73" t="s">
        <v>486</v>
      </c>
    </row>
    <row r="20" spans="2:69" ht="15" customHeight="1" x14ac:dyDescent="0.3">
      <c r="B20" s="236"/>
      <c r="C20" s="236"/>
      <c r="D20" s="236"/>
      <c r="E20" s="236"/>
      <c r="F20" s="236"/>
      <c r="G20" s="236"/>
      <c r="H20" s="236"/>
      <c r="I20" s="237"/>
      <c r="J20" s="112" t="s">
        <v>336</v>
      </c>
      <c r="K20" s="113"/>
      <c r="L20" s="113"/>
      <c r="M20" s="113"/>
      <c r="N20" s="113"/>
      <c r="O20" s="113"/>
      <c r="P20" s="113"/>
      <c r="Q20" s="113"/>
      <c r="R20" s="113"/>
      <c r="S20" s="113"/>
      <c r="T20" s="225" t="s">
        <v>489</v>
      </c>
      <c r="U20" s="225"/>
      <c r="V20" s="225"/>
      <c r="W20" s="225"/>
      <c r="X20" s="225"/>
      <c r="Y20" s="225" t="str">
        <f t="shared" si="0"/>
        <v>{{S9_검토_11}}({{S9_검토율_11}})</v>
      </c>
      <c r="Z20" s="225"/>
      <c r="AA20" s="225"/>
      <c r="AB20" s="225"/>
      <c r="AC20" s="225"/>
      <c r="AD20" s="225" t="str">
        <f t="shared" si="1"/>
        <v>{{S9_현행유지_11}}({{S9_현행유지비율_11}})</v>
      </c>
      <c r="AE20" s="225"/>
      <c r="AF20" s="225"/>
      <c r="AG20" s="225"/>
      <c r="AH20" s="225"/>
      <c r="AI20" s="225" t="str">
        <f t="shared" si="2"/>
        <v>{{S9_개선불가_11}}({{S9_개선불가비율_11}})</v>
      </c>
      <c r="AJ20" s="225"/>
      <c r="AK20" s="225"/>
      <c r="AL20" s="225"/>
      <c r="AM20" s="225"/>
      <c r="AN20" s="212" t="str">
        <f t="shared" si="3"/>
        <v>{{S9_개선예정_11}}({{S9_개선예정비율_11}})</v>
      </c>
      <c r="AO20" s="212"/>
      <c r="AP20" s="212"/>
      <c r="AQ20" s="212"/>
      <c r="AR20" s="212"/>
      <c r="AS20" s="221"/>
      <c r="AT20" s="222"/>
      <c r="AU20" s="222"/>
      <c r="AV20" s="223"/>
      <c r="AW20" s="221"/>
      <c r="AX20" s="222"/>
      <c r="AY20" s="222"/>
      <c r="AZ20" s="223"/>
      <c r="BA20" s="221"/>
      <c r="BB20" s="222"/>
      <c r="BC20" s="222"/>
      <c r="BD20" s="222"/>
      <c r="BE20" s="111"/>
      <c r="BG20" s="73" t="s">
        <v>487</v>
      </c>
      <c r="BH20" s="73" t="s">
        <v>488</v>
      </c>
      <c r="BI20" s="73" t="s">
        <v>489</v>
      </c>
      <c r="BJ20" s="73" t="s">
        <v>490</v>
      </c>
      <c r="BK20" s="73" t="s">
        <v>491</v>
      </c>
      <c r="BL20" s="73" t="s">
        <v>492</v>
      </c>
      <c r="BM20" s="73" t="s">
        <v>493</v>
      </c>
      <c r="BN20" s="73" t="s">
        <v>494</v>
      </c>
      <c r="BO20" s="73" t="s">
        <v>495</v>
      </c>
      <c r="BP20" s="73" t="s">
        <v>496</v>
      </c>
      <c r="BQ20" s="73" t="s">
        <v>497</v>
      </c>
    </row>
    <row r="21" spans="2:69" ht="15" customHeight="1" x14ac:dyDescent="0.3">
      <c r="B21" s="232" t="s">
        <v>337</v>
      </c>
      <c r="C21" s="232"/>
      <c r="D21" s="232"/>
      <c r="E21" s="232"/>
      <c r="F21" s="232"/>
      <c r="G21" s="232"/>
      <c r="H21" s="232"/>
      <c r="I21" s="233"/>
      <c r="J21" s="114" t="s">
        <v>328</v>
      </c>
      <c r="K21" s="115"/>
      <c r="L21" s="115"/>
      <c r="M21" s="115"/>
      <c r="N21" s="115"/>
      <c r="O21" s="115"/>
      <c r="P21" s="115"/>
      <c r="Q21" s="115"/>
      <c r="R21" s="115"/>
      <c r="S21" s="115"/>
      <c r="T21" s="224" t="s">
        <v>500</v>
      </c>
      <c r="U21" s="224"/>
      <c r="V21" s="224"/>
      <c r="W21" s="224"/>
      <c r="X21" s="224"/>
      <c r="Y21" s="224" t="str">
        <f t="shared" si="0"/>
        <v>{{S9_검토_12}}({{S9_검토율_12}})</v>
      </c>
      <c r="Z21" s="224"/>
      <c r="AA21" s="224"/>
      <c r="AB21" s="224"/>
      <c r="AC21" s="224"/>
      <c r="AD21" s="224" t="str">
        <f t="shared" si="1"/>
        <v>{{S9_현행유지_12}}({{S9_현행유지비율_12}})</v>
      </c>
      <c r="AE21" s="224"/>
      <c r="AF21" s="224"/>
      <c r="AG21" s="224"/>
      <c r="AH21" s="224"/>
      <c r="AI21" s="224" t="str">
        <f t="shared" si="2"/>
        <v>{{S9_개선불가_12}}({{S9_개선불가비율_12}})</v>
      </c>
      <c r="AJ21" s="224"/>
      <c r="AK21" s="224"/>
      <c r="AL21" s="224"/>
      <c r="AM21" s="224"/>
      <c r="AN21" s="210" t="str">
        <f t="shared" si="3"/>
        <v>{{S9_개선예정_12}}({{S9_개선예정비율_12}})</v>
      </c>
      <c r="AO21" s="210"/>
      <c r="AP21" s="210"/>
      <c r="AQ21" s="210"/>
      <c r="AR21" s="210"/>
      <c r="AS21" s="211" t="s">
        <v>1381</v>
      </c>
      <c r="AT21" s="211"/>
      <c r="AU21" s="211"/>
      <c r="AV21" s="211"/>
      <c r="AW21" s="211" t="s">
        <v>1431</v>
      </c>
      <c r="AX21" s="211"/>
      <c r="AY21" s="211"/>
      <c r="AZ21" s="211"/>
      <c r="BA21" s="215" t="s">
        <v>1432</v>
      </c>
      <c r="BB21" s="216"/>
      <c r="BC21" s="216"/>
      <c r="BD21" s="216"/>
      <c r="BE21" s="111"/>
      <c r="BG21" s="73" t="s">
        <v>498</v>
      </c>
      <c r="BH21" s="73" t="s">
        <v>499</v>
      </c>
      <c r="BI21" s="73" t="s">
        <v>500</v>
      </c>
      <c r="BJ21" s="73" t="s">
        <v>501</v>
      </c>
      <c r="BK21" s="73" t="s">
        <v>502</v>
      </c>
      <c r="BL21" s="73" t="s">
        <v>503</v>
      </c>
      <c r="BM21" s="73" t="s">
        <v>504</v>
      </c>
      <c r="BN21" s="73" t="s">
        <v>505</v>
      </c>
      <c r="BO21" s="73" t="s">
        <v>506</v>
      </c>
      <c r="BP21" s="73" t="s">
        <v>507</v>
      </c>
      <c r="BQ21" s="73" t="s">
        <v>508</v>
      </c>
    </row>
    <row r="22" spans="2:69" ht="15" customHeight="1" x14ac:dyDescent="0.3">
      <c r="B22" s="234"/>
      <c r="C22" s="234"/>
      <c r="D22" s="234"/>
      <c r="E22" s="234"/>
      <c r="F22" s="234"/>
      <c r="G22" s="234"/>
      <c r="H22" s="234"/>
      <c r="I22" s="235"/>
      <c r="J22" s="116" t="s">
        <v>330</v>
      </c>
      <c r="K22" s="117"/>
      <c r="L22" s="117"/>
      <c r="M22" s="117"/>
      <c r="N22" s="117"/>
      <c r="O22" s="117"/>
      <c r="P22" s="117"/>
      <c r="Q22" s="117"/>
      <c r="R22" s="117"/>
      <c r="S22" s="117"/>
      <c r="T22" s="213" t="s">
        <v>511</v>
      </c>
      <c r="U22" s="213"/>
      <c r="V22" s="213"/>
      <c r="W22" s="213"/>
      <c r="X22" s="213"/>
      <c r="Y22" s="213" t="str">
        <f t="shared" si="0"/>
        <v>{{S9_검토_13}}({{S9_검토율_13}})</v>
      </c>
      <c r="Z22" s="213"/>
      <c r="AA22" s="213"/>
      <c r="AB22" s="213"/>
      <c r="AC22" s="213"/>
      <c r="AD22" s="213" t="str">
        <f t="shared" si="1"/>
        <v>{{S9_현행유지_13}}({{S9_현행유지비율_13}})</v>
      </c>
      <c r="AE22" s="213"/>
      <c r="AF22" s="213"/>
      <c r="AG22" s="213"/>
      <c r="AH22" s="213"/>
      <c r="AI22" s="213" t="str">
        <f t="shared" si="2"/>
        <v>{{S9_개선불가_13}}({{S9_개선불가비율_13}})</v>
      </c>
      <c r="AJ22" s="213"/>
      <c r="AK22" s="213"/>
      <c r="AL22" s="213"/>
      <c r="AM22" s="213"/>
      <c r="AN22" s="214" t="str">
        <f t="shared" si="3"/>
        <v>{{S9_개선예정_13}}({{S9_개선예정비율_13}})</v>
      </c>
      <c r="AO22" s="214"/>
      <c r="AP22" s="214"/>
      <c r="AQ22" s="214"/>
      <c r="AR22" s="214"/>
      <c r="AS22" s="211"/>
      <c r="AT22" s="211"/>
      <c r="AU22" s="211"/>
      <c r="AV22" s="211"/>
      <c r="AW22" s="211"/>
      <c r="AX22" s="211"/>
      <c r="AY22" s="211"/>
      <c r="AZ22" s="211"/>
      <c r="BA22" s="218"/>
      <c r="BB22" s="219"/>
      <c r="BC22" s="219"/>
      <c r="BD22" s="219"/>
      <c r="BE22" s="111"/>
      <c r="BG22" s="73" t="s">
        <v>509</v>
      </c>
      <c r="BH22" s="73" t="s">
        <v>510</v>
      </c>
      <c r="BI22" s="73" t="s">
        <v>511</v>
      </c>
      <c r="BJ22" s="73" t="s">
        <v>512</v>
      </c>
      <c r="BK22" s="73" t="s">
        <v>513</v>
      </c>
      <c r="BL22" s="73" t="s">
        <v>514</v>
      </c>
      <c r="BM22" s="73" t="s">
        <v>515</v>
      </c>
      <c r="BN22" s="73" t="s">
        <v>516</v>
      </c>
      <c r="BO22" s="73" t="s">
        <v>517</v>
      </c>
      <c r="BP22" s="73" t="s">
        <v>518</v>
      </c>
      <c r="BQ22" s="73" t="s">
        <v>519</v>
      </c>
    </row>
    <row r="23" spans="2:69" ht="15" customHeight="1" x14ac:dyDescent="0.3">
      <c r="B23" s="234"/>
      <c r="C23" s="234"/>
      <c r="D23" s="234"/>
      <c r="E23" s="234"/>
      <c r="F23" s="234"/>
      <c r="G23" s="234"/>
      <c r="H23" s="234"/>
      <c r="I23" s="235"/>
      <c r="J23" s="116" t="s">
        <v>331</v>
      </c>
      <c r="K23" s="117"/>
      <c r="L23" s="117"/>
      <c r="M23" s="117"/>
      <c r="N23" s="117"/>
      <c r="O23" s="117"/>
      <c r="P23" s="117"/>
      <c r="Q23" s="117"/>
      <c r="R23" s="117"/>
      <c r="S23" s="117"/>
      <c r="T23" s="213" t="s">
        <v>522</v>
      </c>
      <c r="U23" s="213"/>
      <c r="V23" s="213"/>
      <c r="W23" s="213"/>
      <c r="X23" s="213"/>
      <c r="Y23" s="213" t="str">
        <f t="shared" si="0"/>
        <v>{{S9_검토_14}}({{S9_검토율_14}})</v>
      </c>
      <c r="Z23" s="213"/>
      <c r="AA23" s="213"/>
      <c r="AB23" s="213"/>
      <c r="AC23" s="213"/>
      <c r="AD23" s="213" t="str">
        <f t="shared" si="1"/>
        <v>{{S9_현행유지_14}}({{S9_현행유지비율_14}})</v>
      </c>
      <c r="AE23" s="213"/>
      <c r="AF23" s="213"/>
      <c r="AG23" s="213"/>
      <c r="AH23" s="213"/>
      <c r="AI23" s="213" t="str">
        <f t="shared" si="2"/>
        <v>{{S9_개선불가_14}}({{S9_개선불가비율_14}})</v>
      </c>
      <c r="AJ23" s="213"/>
      <c r="AK23" s="213"/>
      <c r="AL23" s="213"/>
      <c r="AM23" s="213"/>
      <c r="AN23" s="214" t="str">
        <f t="shared" si="3"/>
        <v>{{S9_개선예정_14}}({{S9_개선예정비율_14}})</v>
      </c>
      <c r="AO23" s="214"/>
      <c r="AP23" s="214"/>
      <c r="AQ23" s="214"/>
      <c r="AR23" s="214"/>
      <c r="AS23" s="211"/>
      <c r="AT23" s="211"/>
      <c r="AU23" s="211"/>
      <c r="AV23" s="211"/>
      <c r="AW23" s="211"/>
      <c r="AX23" s="211"/>
      <c r="AY23" s="211"/>
      <c r="AZ23" s="211"/>
      <c r="BA23" s="218"/>
      <c r="BB23" s="219"/>
      <c r="BC23" s="219"/>
      <c r="BD23" s="219"/>
      <c r="BE23" s="111"/>
      <c r="BG23" s="73" t="s">
        <v>520</v>
      </c>
      <c r="BH23" s="73" t="s">
        <v>521</v>
      </c>
      <c r="BI23" s="73" t="s">
        <v>522</v>
      </c>
      <c r="BJ23" s="73" t="s">
        <v>523</v>
      </c>
      <c r="BK23" s="73" t="s">
        <v>524</v>
      </c>
      <c r="BL23" s="73" t="s">
        <v>525</v>
      </c>
      <c r="BM23" s="73" t="s">
        <v>526</v>
      </c>
      <c r="BN23" s="73" t="s">
        <v>527</v>
      </c>
      <c r="BO23" s="73" t="s">
        <v>528</v>
      </c>
      <c r="BP23" s="73" t="s">
        <v>529</v>
      </c>
      <c r="BQ23" s="73" t="s">
        <v>530</v>
      </c>
    </row>
    <row r="24" spans="2:69" ht="15" customHeight="1" x14ac:dyDescent="0.3">
      <c r="B24" s="236"/>
      <c r="C24" s="236"/>
      <c r="D24" s="236"/>
      <c r="E24" s="236"/>
      <c r="F24" s="236"/>
      <c r="G24" s="236"/>
      <c r="H24" s="236"/>
      <c r="I24" s="237"/>
      <c r="J24" s="112" t="s">
        <v>332</v>
      </c>
      <c r="K24" s="113"/>
      <c r="L24" s="113"/>
      <c r="M24" s="113"/>
      <c r="N24" s="113"/>
      <c r="O24" s="113"/>
      <c r="P24" s="113"/>
      <c r="Q24" s="113"/>
      <c r="R24" s="113"/>
      <c r="S24" s="113"/>
      <c r="T24" s="225" t="s">
        <v>533</v>
      </c>
      <c r="U24" s="225"/>
      <c r="V24" s="225"/>
      <c r="W24" s="225"/>
      <c r="X24" s="225"/>
      <c r="Y24" s="225" t="str">
        <f t="shared" si="0"/>
        <v>{{S9_검토_15}}({{S9_검토율_15}})</v>
      </c>
      <c r="Z24" s="225"/>
      <c r="AA24" s="225"/>
      <c r="AB24" s="225"/>
      <c r="AC24" s="225"/>
      <c r="AD24" s="225" t="str">
        <f t="shared" si="1"/>
        <v>{{S9_현행유지_15}}({{S9_현행유지비율_15}})</v>
      </c>
      <c r="AE24" s="225"/>
      <c r="AF24" s="225"/>
      <c r="AG24" s="225"/>
      <c r="AH24" s="225"/>
      <c r="AI24" s="225" t="str">
        <f t="shared" si="2"/>
        <v>{{S9_개선불가_15}}({{S9_개선불가비율_15}})</v>
      </c>
      <c r="AJ24" s="225"/>
      <c r="AK24" s="225"/>
      <c r="AL24" s="225"/>
      <c r="AM24" s="225"/>
      <c r="AN24" s="212" t="str">
        <f t="shared" si="3"/>
        <v>{{S9_개선예정_15}}({{S9_개선예정비율_15}})</v>
      </c>
      <c r="AO24" s="212"/>
      <c r="AP24" s="212"/>
      <c r="AQ24" s="212"/>
      <c r="AR24" s="212"/>
      <c r="AS24" s="211"/>
      <c r="AT24" s="211"/>
      <c r="AU24" s="211"/>
      <c r="AV24" s="211"/>
      <c r="AW24" s="211"/>
      <c r="AX24" s="211"/>
      <c r="AY24" s="211"/>
      <c r="AZ24" s="211"/>
      <c r="BA24" s="221"/>
      <c r="BB24" s="222"/>
      <c r="BC24" s="222"/>
      <c r="BD24" s="222"/>
      <c r="BE24" s="111"/>
      <c r="BG24" s="73" t="s">
        <v>531</v>
      </c>
      <c r="BH24" s="73" t="s">
        <v>532</v>
      </c>
      <c r="BI24" s="73" t="s">
        <v>533</v>
      </c>
      <c r="BJ24" s="73" t="s">
        <v>534</v>
      </c>
      <c r="BK24" s="73" t="s">
        <v>535</v>
      </c>
      <c r="BL24" s="73" t="s">
        <v>536</v>
      </c>
      <c r="BM24" s="73" t="s">
        <v>537</v>
      </c>
      <c r="BN24" s="73" t="s">
        <v>538</v>
      </c>
      <c r="BO24" s="73" t="s">
        <v>539</v>
      </c>
      <c r="BP24" s="73" t="s">
        <v>540</v>
      </c>
      <c r="BQ24" s="73" t="s">
        <v>541</v>
      </c>
    </row>
    <row r="25" spans="2:69" ht="5.0999999999999996" customHeight="1" x14ac:dyDescent="0.3"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09"/>
      <c r="AZ25" s="109"/>
      <c r="BA25" s="109"/>
      <c r="BB25" s="109"/>
    </row>
    <row r="28" spans="2:69" ht="15" customHeight="1" x14ac:dyDescent="0.3">
      <c r="BL28" s="109"/>
      <c r="BM28" s="109"/>
    </row>
    <row r="29" spans="2:69" ht="15" customHeight="1" x14ac:dyDescent="0.3">
      <c r="BL29" s="110"/>
      <c r="BM29" s="110"/>
    </row>
    <row r="30" spans="2:69" ht="15" customHeight="1" x14ac:dyDescent="0.3">
      <c r="BL30" s="110"/>
      <c r="BM30" s="110"/>
    </row>
    <row r="31" spans="2:69" ht="15" customHeight="1" x14ac:dyDescent="0.3">
      <c r="BL31" s="110"/>
      <c r="BM31" s="110"/>
    </row>
    <row r="32" spans="2:69" ht="15" customHeight="1" x14ac:dyDescent="0.3">
      <c r="BL32" s="110"/>
      <c r="BM32" s="110"/>
    </row>
    <row r="33" spans="4:65" ht="15" customHeight="1" x14ac:dyDescent="0.3">
      <c r="BL33" s="110"/>
      <c r="BM33" s="110"/>
    </row>
    <row r="34" spans="4:65" ht="15" customHeight="1" x14ac:dyDescent="0.3">
      <c r="BL34" s="110"/>
      <c r="BM34" s="110"/>
    </row>
    <row r="35" spans="4:65" ht="15" customHeight="1" x14ac:dyDescent="0.3">
      <c r="BL35" s="110"/>
      <c r="BM35" s="110"/>
    </row>
    <row r="36" spans="4:65" ht="15" customHeight="1" x14ac:dyDescent="0.3">
      <c r="BL36" s="110"/>
      <c r="BM36" s="110"/>
    </row>
    <row r="37" spans="4:65" ht="15" customHeight="1" x14ac:dyDescent="0.3"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BL37" s="110"/>
      <c r="BM37" s="110"/>
    </row>
    <row r="38" spans="4:65" ht="15" customHeight="1" x14ac:dyDescent="0.3">
      <c r="BL38" s="110"/>
      <c r="BM38" s="110"/>
    </row>
    <row r="39" spans="4:65" ht="15" customHeight="1" x14ac:dyDescent="0.3">
      <c r="BK39" s="110"/>
      <c r="BL39" s="110"/>
      <c r="BM39" s="110"/>
    </row>
    <row r="40" spans="4:65" ht="15" customHeight="1" x14ac:dyDescent="0.3">
      <c r="BK40" s="110"/>
      <c r="BL40" s="110"/>
      <c r="BM40" s="110"/>
    </row>
    <row r="41" spans="4:65" ht="15" customHeight="1" x14ac:dyDescent="0.3">
      <c r="BH41" s="110"/>
      <c r="BI41" s="110"/>
      <c r="BJ41" s="110"/>
      <c r="BK41" s="110"/>
      <c r="BL41" s="110"/>
      <c r="BM41" s="110"/>
    </row>
  </sheetData>
  <mergeCells count="107">
    <mergeCell ref="J8:S9"/>
    <mergeCell ref="B21:I24"/>
    <mergeCell ref="B10:I10"/>
    <mergeCell ref="B11:I15"/>
    <mergeCell ref="B16:I18"/>
    <mergeCell ref="B19:I20"/>
    <mergeCell ref="B8:I9"/>
    <mergeCell ref="AI23:AM23"/>
    <mergeCell ref="T15:X15"/>
    <mergeCell ref="Y15:AC15"/>
    <mergeCell ref="AD15:AH15"/>
    <mergeCell ref="AI15:AM15"/>
    <mergeCell ref="AI14:AM14"/>
    <mergeCell ref="T13:X13"/>
    <mergeCell ref="T11:X11"/>
    <mergeCell ref="Y11:AC11"/>
    <mergeCell ref="AD11:AH11"/>
    <mergeCell ref="AI11:AM11"/>
    <mergeCell ref="BA21:BD24"/>
    <mergeCell ref="T22:X22"/>
    <mergeCell ref="Y22:AC22"/>
    <mergeCell ref="AD22:AH22"/>
    <mergeCell ref="AI22:AM22"/>
    <mergeCell ref="AN22:AR22"/>
    <mergeCell ref="T21:X21"/>
    <mergeCell ref="Y21:AC21"/>
    <mergeCell ref="AD21:AH21"/>
    <mergeCell ref="AI21:AM21"/>
    <mergeCell ref="T23:X23"/>
    <mergeCell ref="Y23:AC23"/>
    <mergeCell ref="AD23:AH23"/>
    <mergeCell ref="AN23:AR23"/>
    <mergeCell ref="T24:X24"/>
    <mergeCell ref="Y24:AC24"/>
    <mergeCell ref="AD24:AH24"/>
    <mergeCell ref="AI24:AM24"/>
    <mergeCell ref="AN24:AR24"/>
    <mergeCell ref="AN21:AR21"/>
    <mergeCell ref="AS21:AV24"/>
    <mergeCell ref="AW21:AZ24"/>
    <mergeCell ref="AW11:AZ15"/>
    <mergeCell ref="BA11:BD15"/>
    <mergeCell ref="T12:X12"/>
    <mergeCell ref="Y12:AC12"/>
    <mergeCell ref="AD12:AH12"/>
    <mergeCell ref="AI12:AM12"/>
    <mergeCell ref="AN12:AR12"/>
    <mergeCell ref="AS19:AV20"/>
    <mergeCell ref="AW19:AZ20"/>
    <mergeCell ref="BA19:BD20"/>
    <mergeCell ref="T20:X20"/>
    <mergeCell ref="Y20:AC20"/>
    <mergeCell ref="AD20:AH20"/>
    <mergeCell ref="AI20:AM20"/>
    <mergeCell ref="AN20:AR20"/>
    <mergeCell ref="AI18:AM18"/>
    <mergeCell ref="AN18:AR18"/>
    <mergeCell ref="T19:X19"/>
    <mergeCell ref="Y19:AC19"/>
    <mergeCell ref="AD19:AH19"/>
    <mergeCell ref="AI19:AM19"/>
    <mergeCell ref="AN19:AR19"/>
    <mergeCell ref="AN16:AR16"/>
    <mergeCell ref="AS16:AV18"/>
    <mergeCell ref="AW16:AZ18"/>
    <mergeCell ref="BA16:BD18"/>
    <mergeCell ref="T17:X17"/>
    <mergeCell ref="Y17:AC17"/>
    <mergeCell ref="AD17:AH17"/>
    <mergeCell ref="AI17:AM17"/>
    <mergeCell ref="AN17:AR17"/>
    <mergeCell ref="T16:X16"/>
    <mergeCell ref="Y16:AC16"/>
    <mergeCell ref="AD16:AH16"/>
    <mergeCell ref="AI16:AM16"/>
    <mergeCell ref="T18:X18"/>
    <mergeCell ref="Y18:AC18"/>
    <mergeCell ref="AD18:AH18"/>
    <mergeCell ref="AN11:AR11"/>
    <mergeCell ref="AS11:AV15"/>
    <mergeCell ref="AN15:AR15"/>
    <mergeCell ref="Y13:AC13"/>
    <mergeCell ref="AD13:AH13"/>
    <mergeCell ref="AI13:AM13"/>
    <mergeCell ref="AN13:AR13"/>
    <mergeCell ref="T14:X14"/>
    <mergeCell ref="Y14:AC14"/>
    <mergeCell ref="AD14:AH14"/>
    <mergeCell ref="AN14:AR14"/>
    <mergeCell ref="AW9:AZ9"/>
    <mergeCell ref="BA9:BD9"/>
    <mergeCell ref="T10:X10"/>
    <mergeCell ref="Y10:AC10"/>
    <mergeCell ref="AD10:AH10"/>
    <mergeCell ref="AI10:AM10"/>
    <mergeCell ref="AN10:AR10"/>
    <mergeCell ref="AS10:AV10"/>
    <mergeCell ref="T8:AR8"/>
    <mergeCell ref="AS8:BD8"/>
    <mergeCell ref="T9:X9"/>
    <mergeCell ref="Y9:AC9"/>
    <mergeCell ref="AD9:AH9"/>
    <mergeCell ref="AI9:AM9"/>
    <mergeCell ref="AN9:AR9"/>
    <mergeCell ref="AS9:AV9"/>
    <mergeCell ref="AW10:AZ10"/>
    <mergeCell ref="BA10:BD10"/>
  </mergeCells>
  <phoneticPr fontId="1" type="noConversion"/>
  <pageMargins left="0.25" right="0.25" top="0.75" bottom="0.75" header="0.3" footer="0.3"/>
  <pageSetup paperSize="9" scale="9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811C-0746-4929-A5B9-64ED2214485C}">
  <dimension ref="B1:BU107"/>
  <sheetViews>
    <sheetView showGridLines="0" view="pageBreakPreview" zoomScaleNormal="100" zoomScaleSheetLayoutView="100" workbookViewId="0">
      <selection activeCell="BL26" sqref="BL26"/>
    </sheetView>
  </sheetViews>
  <sheetFormatPr defaultColWidth="9.625" defaultRowHeight="15" customHeight="1" x14ac:dyDescent="0.3"/>
  <cols>
    <col min="1" max="1" width="1.625" style="24" customWidth="1"/>
    <col min="2" max="3" width="1.625" style="24" hidden="1" customWidth="1"/>
    <col min="4" max="25" width="1.625" style="24" customWidth="1"/>
    <col min="26" max="26" width="0.125" style="24" customWidth="1"/>
    <col min="27" max="45" width="1.625" style="24" customWidth="1"/>
    <col min="46" max="46" width="2.875" style="24" customWidth="1"/>
    <col min="47" max="59" width="1.625" style="24" customWidth="1"/>
    <col min="60" max="16384" width="9.625" style="24"/>
  </cols>
  <sheetData>
    <row r="1" spans="2:73" ht="7.5" customHeight="1" x14ac:dyDescent="0.3"/>
    <row r="2" spans="2:73" ht="15" customHeight="1" x14ac:dyDescent="0.3">
      <c r="D2" s="2" t="s">
        <v>338</v>
      </c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</row>
    <row r="3" spans="2:73" ht="5.0999999999999996" customHeight="1" x14ac:dyDescent="0.3"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</row>
    <row r="4" spans="2:73" ht="15" customHeight="1" x14ac:dyDescent="0.3">
      <c r="D4" s="280" t="s">
        <v>316</v>
      </c>
      <c r="E4" s="202"/>
      <c r="F4" s="202"/>
      <c r="G4" s="202"/>
      <c r="H4" s="202"/>
      <c r="I4" s="202"/>
      <c r="J4" s="202" t="s">
        <v>362</v>
      </c>
      <c r="K4" s="202"/>
      <c r="L4" s="202"/>
      <c r="M4" s="202"/>
      <c r="N4" s="202"/>
      <c r="O4" s="202"/>
      <c r="P4" s="202" t="s">
        <v>317</v>
      </c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 t="s">
        <v>318</v>
      </c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202"/>
      <c r="AM4" s="202"/>
      <c r="AN4" s="202"/>
      <c r="AO4" s="202"/>
      <c r="AP4" s="202"/>
      <c r="AQ4" s="202"/>
      <c r="AR4" s="202"/>
      <c r="AS4" s="202"/>
      <c r="AT4" s="202"/>
      <c r="AU4" s="203" t="s">
        <v>319</v>
      </c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</row>
    <row r="5" spans="2:73" ht="15" customHeight="1" x14ac:dyDescent="0.3">
      <c r="D5" s="280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 t="s">
        <v>320</v>
      </c>
      <c r="AB5" s="202"/>
      <c r="AC5" s="202"/>
      <c r="AD5" s="202"/>
      <c r="AE5" s="202" t="s">
        <v>321</v>
      </c>
      <c r="AF5" s="202"/>
      <c r="AG5" s="202"/>
      <c r="AH5" s="202"/>
      <c r="AI5" s="202" t="s">
        <v>322</v>
      </c>
      <c r="AJ5" s="202"/>
      <c r="AK5" s="202"/>
      <c r="AL5" s="202"/>
      <c r="AM5" s="202" t="s">
        <v>323</v>
      </c>
      <c r="AN5" s="202"/>
      <c r="AO5" s="202"/>
      <c r="AP5" s="202"/>
      <c r="AQ5" s="202" t="s">
        <v>324</v>
      </c>
      <c r="AR5" s="202"/>
      <c r="AS5" s="202"/>
      <c r="AT5" s="202"/>
      <c r="AU5" s="202" t="s">
        <v>325</v>
      </c>
      <c r="AV5" s="202"/>
      <c r="AW5" s="202"/>
      <c r="AX5" s="202"/>
      <c r="AY5" s="202" t="s">
        <v>271</v>
      </c>
      <c r="AZ5" s="202"/>
      <c r="BA5" s="202"/>
      <c r="BB5" s="202"/>
      <c r="BC5" s="203" t="s">
        <v>272</v>
      </c>
      <c r="BD5" s="204"/>
      <c r="BE5" s="204"/>
      <c r="BF5" s="204"/>
      <c r="BI5" s="24" t="s">
        <v>367</v>
      </c>
      <c r="BJ5" s="24" t="s">
        <v>542</v>
      </c>
      <c r="BK5" s="24" t="s">
        <v>543</v>
      </c>
      <c r="BL5" s="24" t="s">
        <v>990</v>
      </c>
      <c r="BM5" s="24" t="s">
        <v>369</v>
      </c>
      <c r="BN5" s="24" t="s">
        <v>370</v>
      </c>
      <c r="BO5" s="24" t="s">
        <v>371</v>
      </c>
      <c r="BP5" s="24" t="s">
        <v>322</v>
      </c>
      <c r="BQ5" s="24" t="s">
        <v>372</v>
      </c>
      <c r="BR5" s="24" t="s">
        <v>373</v>
      </c>
      <c r="BS5" s="24" t="s">
        <v>374</v>
      </c>
      <c r="BT5" s="24" t="s">
        <v>375</v>
      </c>
      <c r="BU5" s="24" t="s">
        <v>376</v>
      </c>
    </row>
    <row r="6" spans="2:73" ht="15" customHeight="1" x14ac:dyDescent="0.3">
      <c r="B6" s="120" t="s">
        <v>1082</v>
      </c>
      <c r="C6" s="120" t="s">
        <v>1081</v>
      </c>
      <c r="D6" s="232" t="s">
        <v>1083</v>
      </c>
      <c r="E6" s="232"/>
      <c r="F6" s="232"/>
      <c r="G6" s="232"/>
      <c r="H6" s="232"/>
      <c r="I6" s="233"/>
      <c r="J6" s="91" t="s">
        <v>363</v>
      </c>
      <c r="K6" s="92"/>
      <c r="L6" s="92"/>
      <c r="M6" s="92"/>
      <c r="N6" s="92"/>
      <c r="O6" s="93"/>
      <c r="P6" s="94"/>
      <c r="Q6" s="92"/>
      <c r="R6" s="95"/>
      <c r="S6" s="95"/>
      <c r="T6" s="95"/>
      <c r="U6" s="95"/>
      <c r="V6" s="95"/>
      <c r="W6" s="95"/>
      <c r="X6" s="95"/>
      <c r="Y6" s="95"/>
      <c r="Z6" s="96"/>
      <c r="AA6" s="272">
        <f>IFERROR(VLOOKUP(B6&amp;C6&amp;P6, $BL$6:$BU$65, 2, 0), 0)</f>
        <v>0</v>
      </c>
      <c r="AB6" s="273"/>
      <c r="AC6" s="273"/>
      <c r="AD6" s="274"/>
      <c r="AE6" s="272" t="str">
        <f>IFERROR(VLOOKUP(B6&amp;C6&amp;P6, $BL$6:$BU$65, 3, 0), 0)&amp;"("&amp;IFERROR(VLOOKUP(B6&amp;C6&amp;P6, $BL$6:$BU$65, 4, 0), 0)&amp;")"</f>
        <v>0(0)</v>
      </c>
      <c r="AF6" s="273"/>
      <c r="AG6" s="273"/>
      <c r="AH6" s="274"/>
      <c r="AI6" s="272" t="str">
        <f>IFERROR(VLOOKUP(B6&amp;C6&amp;P6, $BL$6:$BU$65, 5, 0),0)&amp;"("&amp;IFERROR(VLOOKUP(B6&amp;C6&amp;P6, $BL$6:$BU$65, 6, 0),0)&amp;")"</f>
        <v>0(0)</v>
      </c>
      <c r="AJ6" s="273"/>
      <c r="AK6" s="273"/>
      <c r="AL6" s="274"/>
      <c r="AM6" s="272" t="str">
        <f>IFERROR(VLOOKUP(B6&amp;C6&amp;P6, $BL$6:$BU$65, 7, 0),0)&amp;"("&amp;IFERROR(VLOOKUP(B6&amp;C6&amp;P6, $BL$6:$BU$65, 8, 0),0)&amp;")"</f>
        <v>0(0)</v>
      </c>
      <c r="AN6" s="273"/>
      <c r="AO6" s="273"/>
      <c r="AP6" s="274"/>
      <c r="AQ6" s="266" t="str">
        <f>IFERROR(VLOOKUP(B6&amp;C6&amp;P6, $BL$6:$BU$65, 9, 0),0)&amp;"("&amp;IFERROR(VLOOKUP(B6&amp;C6&amp;P6, $BL$6:$BU$65, 10, 0),0)&amp;")"</f>
        <v>0(0)</v>
      </c>
      <c r="AR6" s="267"/>
      <c r="AS6" s="267"/>
      <c r="AT6" s="268"/>
      <c r="AU6" s="272" t="s">
        <v>1379</v>
      </c>
      <c r="AV6" s="273"/>
      <c r="AW6" s="273"/>
      <c r="AX6" s="274"/>
      <c r="AY6" s="272" t="s">
        <v>1427</v>
      </c>
      <c r="AZ6" s="273"/>
      <c r="BA6" s="273"/>
      <c r="BB6" s="274"/>
      <c r="BC6" s="272" t="s">
        <v>1428</v>
      </c>
      <c r="BD6" s="273"/>
      <c r="BE6" s="273"/>
      <c r="BF6" s="273"/>
      <c r="BI6" s="73" t="s">
        <v>544</v>
      </c>
      <c r="BJ6" s="73" t="s">
        <v>554</v>
      </c>
      <c r="BK6" s="73" t="s">
        <v>555</v>
      </c>
      <c r="BL6" s="73" t="str">
        <f>BI6&amp;BJ6&amp;BK6</f>
        <v>{{S10_채널_1}}{{S10_고객경험단계_1}}{{S10_부서명_1}}</v>
      </c>
      <c r="BM6" s="73" t="s">
        <v>545</v>
      </c>
      <c r="BN6" s="73" t="s">
        <v>546</v>
      </c>
      <c r="BO6" s="73" t="s">
        <v>547</v>
      </c>
      <c r="BP6" s="73" t="s">
        <v>548</v>
      </c>
      <c r="BQ6" s="73" t="s">
        <v>549</v>
      </c>
      <c r="BR6" s="73" t="s">
        <v>550</v>
      </c>
      <c r="BS6" s="73" t="s">
        <v>551</v>
      </c>
      <c r="BT6" s="73" t="s">
        <v>552</v>
      </c>
      <c r="BU6" s="73" t="s">
        <v>553</v>
      </c>
    </row>
    <row r="7" spans="2:73" ht="15" customHeight="1" x14ac:dyDescent="0.3">
      <c r="B7" s="120" t="s">
        <v>1082</v>
      </c>
      <c r="C7" s="120" t="s">
        <v>125</v>
      </c>
      <c r="D7" s="234"/>
      <c r="E7" s="234"/>
      <c r="F7" s="234"/>
      <c r="G7" s="234"/>
      <c r="H7" s="234"/>
      <c r="I7" s="235"/>
      <c r="J7" s="85" t="s">
        <v>125</v>
      </c>
      <c r="K7" s="86"/>
      <c r="L7" s="86"/>
      <c r="M7" s="86"/>
      <c r="N7" s="86"/>
      <c r="O7" s="87"/>
      <c r="P7" s="88" t="s">
        <v>339</v>
      </c>
      <c r="Q7" s="86"/>
      <c r="R7" s="89"/>
      <c r="S7" s="89"/>
      <c r="T7" s="89"/>
      <c r="U7" s="89"/>
      <c r="V7" s="89"/>
      <c r="W7" s="89"/>
      <c r="X7" s="89"/>
      <c r="Y7" s="89"/>
      <c r="Z7" s="90"/>
      <c r="AA7" s="242">
        <f t="shared" ref="AA7:AA39" si="0">IFERROR(VLOOKUP(B7&amp;C7&amp;P7, $BL$6:$BU$65, 2, 0), 0)</f>
        <v>0</v>
      </c>
      <c r="AB7" s="243"/>
      <c r="AC7" s="243"/>
      <c r="AD7" s="244"/>
      <c r="AE7" s="242" t="str">
        <f t="shared" ref="AE7:AE42" si="1">IFERROR(VLOOKUP(B7&amp;C7&amp;P7, $BL$6:$BU$65, 3, 0), 0)&amp;"("&amp;IFERROR(VLOOKUP(B7&amp;C7&amp;P7, $BL$6:$BU$65, 4, 0), 0)&amp;")"</f>
        <v>0(0)</v>
      </c>
      <c r="AF7" s="243"/>
      <c r="AG7" s="243"/>
      <c r="AH7" s="244"/>
      <c r="AI7" s="242" t="str">
        <f t="shared" ref="AI7:AI42" si="2">IFERROR(VLOOKUP(B7&amp;C7&amp;P7, $BL$6:$BU$65, 5, 0),0)&amp;"("&amp;IFERROR(VLOOKUP(B7&amp;C7&amp;P7, $BL$6:$BU$65, 6, 0),0)&amp;")"</f>
        <v>0(0)</v>
      </c>
      <c r="AJ7" s="243"/>
      <c r="AK7" s="243"/>
      <c r="AL7" s="244"/>
      <c r="AM7" s="242" t="str">
        <f t="shared" ref="AM7:AM42" si="3">IFERROR(VLOOKUP(B7&amp;C7&amp;P7, $BL$6:$BU$65, 7, 0),0)&amp;"("&amp;IFERROR(VLOOKUP(B7&amp;C7&amp;P7, $BL$6:$BU$65, 8, 0),0)&amp;")"</f>
        <v>0(0)</v>
      </c>
      <c r="AN7" s="243"/>
      <c r="AO7" s="243"/>
      <c r="AP7" s="244"/>
      <c r="AQ7" s="266" t="str">
        <f t="shared" ref="AQ7:AQ42" si="4">IFERROR(VLOOKUP(B7&amp;C7&amp;P7, $BL$6:$BU$65, 9, 0),0)&amp;"("&amp;IFERROR(VLOOKUP(B7&amp;C7&amp;P7, $BL$6:$BU$65, 10, 0),0)&amp;")"</f>
        <v>0(0)</v>
      </c>
      <c r="AR7" s="267"/>
      <c r="AS7" s="267"/>
      <c r="AT7" s="268"/>
      <c r="AU7" s="242" t="e">
        <f>VLOOKUP($D$6&amp;$J7, $BK$68:$BN$107, 2, 0)</f>
        <v>#N/A</v>
      </c>
      <c r="AV7" s="243"/>
      <c r="AW7" s="243"/>
      <c r="AX7" s="244"/>
      <c r="AY7" s="242" t="e">
        <f>VLOOKUP($D$6&amp;$J7, $BK$68:$BN$107, 3, 0)</f>
        <v>#N/A</v>
      </c>
      <c r="AZ7" s="243"/>
      <c r="BA7" s="243"/>
      <c r="BB7" s="244"/>
      <c r="BC7" s="242" t="e">
        <f>VLOOKUP($D$6&amp;$J7, $BK$68:$BN$107, 4, 0)</f>
        <v>#N/A</v>
      </c>
      <c r="BD7" s="243"/>
      <c r="BE7" s="243"/>
      <c r="BF7" s="243"/>
      <c r="BI7" s="73" t="s">
        <v>556</v>
      </c>
      <c r="BJ7" s="73" t="s">
        <v>557</v>
      </c>
      <c r="BK7" s="73" t="s">
        <v>558</v>
      </c>
      <c r="BL7" s="73" t="str">
        <f t="shared" ref="BL7:BL42" si="5">BI7&amp;BJ7&amp;BK7</f>
        <v>{{S10_채널_2}}{{S10_고객경험단계_2}}{{S10_부서명_2}}</v>
      </c>
      <c r="BM7" s="73" t="s">
        <v>559</v>
      </c>
      <c r="BN7" s="73" t="s">
        <v>560</v>
      </c>
      <c r="BO7" s="73" t="s">
        <v>561</v>
      </c>
      <c r="BP7" s="73" t="s">
        <v>562</v>
      </c>
      <c r="BQ7" s="73" t="s">
        <v>563</v>
      </c>
      <c r="BR7" s="73" t="s">
        <v>564</v>
      </c>
      <c r="BS7" s="73" t="s">
        <v>565</v>
      </c>
      <c r="BT7" s="73" t="s">
        <v>566</v>
      </c>
      <c r="BU7" s="73" t="s">
        <v>567</v>
      </c>
    </row>
    <row r="8" spans="2:73" ht="15" customHeight="1" x14ac:dyDescent="0.3">
      <c r="B8" s="120" t="s">
        <v>1082</v>
      </c>
      <c r="C8" s="120" t="s">
        <v>126</v>
      </c>
      <c r="D8" s="234"/>
      <c r="E8" s="234"/>
      <c r="F8" s="234"/>
      <c r="G8" s="234"/>
      <c r="H8" s="234"/>
      <c r="I8" s="235"/>
      <c r="J8" s="85" t="s">
        <v>126</v>
      </c>
      <c r="K8" s="86"/>
      <c r="L8" s="86"/>
      <c r="M8" s="86"/>
      <c r="N8" s="86"/>
      <c r="O8" s="87"/>
      <c r="P8" s="88" t="s">
        <v>339</v>
      </c>
      <c r="Q8" s="86"/>
      <c r="R8" s="89"/>
      <c r="S8" s="89"/>
      <c r="T8" s="89"/>
      <c r="U8" s="89"/>
      <c r="V8" s="89"/>
      <c r="W8" s="89"/>
      <c r="X8" s="89"/>
      <c r="Y8" s="89"/>
      <c r="Z8" s="90"/>
      <c r="AA8" s="242">
        <f t="shared" si="0"/>
        <v>0</v>
      </c>
      <c r="AB8" s="243"/>
      <c r="AC8" s="243"/>
      <c r="AD8" s="244"/>
      <c r="AE8" s="242" t="str">
        <f t="shared" si="1"/>
        <v>0(0)</v>
      </c>
      <c r="AF8" s="243"/>
      <c r="AG8" s="243"/>
      <c r="AH8" s="244"/>
      <c r="AI8" s="242" t="str">
        <f t="shared" si="2"/>
        <v>0(0)</v>
      </c>
      <c r="AJ8" s="243"/>
      <c r="AK8" s="243"/>
      <c r="AL8" s="244"/>
      <c r="AM8" s="242" t="str">
        <f t="shared" si="3"/>
        <v>0(0)</v>
      </c>
      <c r="AN8" s="243"/>
      <c r="AO8" s="243"/>
      <c r="AP8" s="244"/>
      <c r="AQ8" s="266" t="str">
        <f t="shared" si="4"/>
        <v>0(0)</v>
      </c>
      <c r="AR8" s="267"/>
      <c r="AS8" s="267"/>
      <c r="AT8" s="268"/>
      <c r="AU8" s="242" t="e">
        <f>VLOOKUP($D$6&amp;$J8, $BK$68:$BN$107, 2, 0)</f>
        <v>#N/A</v>
      </c>
      <c r="AV8" s="243"/>
      <c r="AW8" s="243"/>
      <c r="AX8" s="244"/>
      <c r="AY8" s="242" t="e">
        <f>VLOOKUP($D$6&amp;$J8, $BK$68:$BN$107, 3, 0)</f>
        <v>#N/A</v>
      </c>
      <c r="AZ8" s="243"/>
      <c r="BA8" s="243"/>
      <c r="BB8" s="244"/>
      <c r="BC8" s="242" t="e">
        <f>VLOOKUP($D$6&amp;$J8, $BK$68:$BN$107, 4, 0)</f>
        <v>#N/A</v>
      </c>
      <c r="BD8" s="243"/>
      <c r="BE8" s="243"/>
      <c r="BF8" s="243"/>
      <c r="BI8" s="73" t="s">
        <v>568</v>
      </c>
      <c r="BJ8" s="73" t="s">
        <v>569</v>
      </c>
      <c r="BK8" s="73" t="s">
        <v>570</v>
      </c>
      <c r="BL8" s="73" t="str">
        <f t="shared" si="5"/>
        <v>{{S10_채널_3}}{{S10_고객경험단계_3}}{{S10_부서명_3}}</v>
      </c>
      <c r="BM8" s="73" t="s">
        <v>571</v>
      </c>
      <c r="BN8" s="73" t="s">
        <v>572</v>
      </c>
      <c r="BO8" s="73" t="s">
        <v>573</v>
      </c>
      <c r="BP8" s="73" t="s">
        <v>574</v>
      </c>
      <c r="BQ8" s="73" t="s">
        <v>575</v>
      </c>
      <c r="BR8" s="73" t="s">
        <v>576</v>
      </c>
      <c r="BS8" s="73" t="s">
        <v>577</v>
      </c>
      <c r="BT8" s="73" t="s">
        <v>578</v>
      </c>
      <c r="BU8" s="73" t="s">
        <v>579</v>
      </c>
    </row>
    <row r="9" spans="2:73" ht="15" customHeight="1" x14ac:dyDescent="0.3">
      <c r="B9" s="120" t="s">
        <v>1082</v>
      </c>
      <c r="C9" s="120" t="s">
        <v>128</v>
      </c>
      <c r="D9" s="234"/>
      <c r="E9" s="234"/>
      <c r="F9" s="234"/>
      <c r="G9" s="234"/>
      <c r="H9" s="234"/>
      <c r="I9" s="235"/>
      <c r="J9" s="85" t="s">
        <v>128</v>
      </c>
      <c r="K9" s="86"/>
      <c r="L9" s="86"/>
      <c r="M9" s="86"/>
      <c r="N9" s="86"/>
      <c r="O9" s="87"/>
      <c r="P9" s="88" t="s">
        <v>339</v>
      </c>
      <c r="Q9" s="86"/>
      <c r="R9" s="89"/>
      <c r="S9" s="89"/>
      <c r="T9" s="89"/>
      <c r="U9" s="89"/>
      <c r="V9" s="89"/>
      <c r="W9" s="89"/>
      <c r="X9" s="89"/>
      <c r="Y9" s="89"/>
      <c r="Z9" s="90"/>
      <c r="AA9" s="242">
        <f t="shared" si="0"/>
        <v>0</v>
      </c>
      <c r="AB9" s="243"/>
      <c r="AC9" s="243"/>
      <c r="AD9" s="244"/>
      <c r="AE9" s="242" t="str">
        <f t="shared" si="1"/>
        <v>0(0)</v>
      </c>
      <c r="AF9" s="243"/>
      <c r="AG9" s="243"/>
      <c r="AH9" s="244"/>
      <c r="AI9" s="242" t="str">
        <f t="shared" si="2"/>
        <v>0(0)</v>
      </c>
      <c r="AJ9" s="243"/>
      <c r="AK9" s="243"/>
      <c r="AL9" s="244"/>
      <c r="AM9" s="242" t="str">
        <f t="shared" si="3"/>
        <v>0(0)</v>
      </c>
      <c r="AN9" s="243"/>
      <c r="AO9" s="243"/>
      <c r="AP9" s="244"/>
      <c r="AQ9" s="260" t="str">
        <f t="shared" si="4"/>
        <v>0(0)</v>
      </c>
      <c r="AR9" s="261"/>
      <c r="AS9" s="261"/>
      <c r="AT9" s="262"/>
      <c r="AU9" s="242" t="e">
        <f>VLOOKUP($D$6&amp;$J9, $BK$68:$BN$107, 2, 0)</f>
        <v>#N/A</v>
      </c>
      <c r="AV9" s="243"/>
      <c r="AW9" s="243"/>
      <c r="AX9" s="244"/>
      <c r="AY9" s="242" t="e">
        <f>VLOOKUP($D$6&amp;$J9, $BK$68:$BN$107, 3, 0)</f>
        <v>#N/A</v>
      </c>
      <c r="AZ9" s="243"/>
      <c r="BA9" s="243"/>
      <c r="BB9" s="244"/>
      <c r="BC9" s="242" t="e">
        <f>VLOOKUP($D$6&amp;$J9, $BK$68:$BN$107, 4, 0)</f>
        <v>#N/A</v>
      </c>
      <c r="BD9" s="243"/>
      <c r="BE9" s="243"/>
      <c r="BF9" s="243"/>
      <c r="BI9" s="73" t="s">
        <v>580</v>
      </c>
      <c r="BJ9" s="73" t="s">
        <v>581</v>
      </c>
      <c r="BK9" s="73" t="s">
        <v>582</v>
      </c>
      <c r="BL9" s="73" t="str">
        <f t="shared" si="5"/>
        <v>{{S10_채널_4}}{{S10_고객경험단계_4}}{{S10_부서명_4}}</v>
      </c>
      <c r="BM9" s="73" t="s">
        <v>583</v>
      </c>
      <c r="BN9" s="73" t="s">
        <v>584</v>
      </c>
      <c r="BO9" s="73" t="s">
        <v>585</v>
      </c>
      <c r="BP9" s="73" t="s">
        <v>586</v>
      </c>
      <c r="BQ9" s="73" t="s">
        <v>587</v>
      </c>
      <c r="BR9" s="73" t="s">
        <v>588</v>
      </c>
      <c r="BS9" s="73" t="s">
        <v>589</v>
      </c>
      <c r="BT9" s="73" t="s">
        <v>590</v>
      </c>
      <c r="BU9" s="73" t="s">
        <v>591</v>
      </c>
    </row>
    <row r="10" spans="2:73" ht="15" customHeight="1" x14ac:dyDescent="0.3">
      <c r="B10" s="120" t="s">
        <v>1082</v>
      </c>
      <c r="C10" s="120" t="s">
        <v>130</v>
      </c>
      <c r="D10" s="234"/>
      <c r="E10" s="234"/>
      <c r="F10" s="234"/>
      <c r="G10" s="234"/>
      <c r="H10" s="234"/>
      <c r="I10" s="235"/>
      <c r="J10" s="251" t="s">
        <v>130</v>
      </c>
      <c r="K10" s="252"/>
      <c r="L10" s="252"/>
      <c r="M10" s="252"/>
      <c r="N10" s="252"/>
      <c r="O10" s="253"/>
      <c r="P10" s="97" t="s">
        <v>340</v>
      </c>
      <c r="Q10" s="98"/>
      <c r="R10" s="99"/>
      <c r="S10" s="99"/>
      <c r="T10" s="99"/>
      <c r="U10" s="99"/>
      <c r="V10" s="99"/>
      <c r="W10" s="99"/>
      <c r="X10" s="99"/>
      <c r="Y10" s="99"/>
      <c r="Z10" s="100"/>
      <c r="AA10" s="263">
        <f t="shared" si="0"/>
        <v>0</v>
      </c>
      <c r="AB10" s="264"/>
      <c r="AC10" s="264"/>
      <c r="AD10" s="265"/>
      <c r="AE10" s="263" t="str">
        <f t="shared" si="1"/>
        <v>0(0)</v>
      </c>
      <c r="AF10" s="264"/>
      <c r="AG10" s="264"/>
      <c r="AH10" s="265"/>
      <c r="AI10" s="263" t="str">
        <f t="shared" si="2"/>
        <v>0(0)</v>
      </c>
      <c r="AJ10" s="264"/>
      <c r="AK10" s="264"/>
      <c r="AL10" s="265"/>
      <c r="AM10" s="263" t="str">
        <f t="shared" si="3"/>
        <v>0(0)</v>
      </c>
      <c r="AN10" s="264"/>
      <c r="AO10" s="264"/>
      <c r="AP10" s="264"/>
      <c r="AQ10" s="260" t="str">
        <f t="shared" si="4"/>
        <v>0(0)</v>
      </c>
      <c r="AR10" s="261"/>
      <c r="AS10" s="261"/>
      <c r="AT10" s="262"/>
      <c r="AU10" s="264" t="e">
        <f>VLOOKUP($D$6&amp;$J10, $BK$68:$BN$107, 2, 0)</f>
        <v>#N/A</v>
      </c>
      <c r="AV10" s="264"/>
      <c r="AW10" s="264"/>
      <c r="AX10" s="265"/>
      <c r="AY10" s="263" t="e">
        <f>VLOOKUP($D$6&amp;$J10, $BK$68:$BN$107, 3, 0)</f>
        <v>#N/A</v>
      </c>
      <c r="AZ10" s="264"/>
      <c r="BA10" s="264"/>
      <c r="BB10" s="265"/>
      <c r="BC10" s="263" t="e">
        <f>VLOOKUP($D$6&amp;$J10, $BK$68:$BN$107, 4, 0)</f>
        <v>#N/A</v>
      </c>
      <c r="BD10" s="264"/>
      <c r="BE10" s="264"/>
      <c r="BF10" s="264"/>
      <c r="BI10" s="73" t="s">
        <v>592</v>
      </c>
      <c r="BJ10" s="73" t="s">
        <v>593</v>
      </c>
      <c r="BK10" s="73" t="s">
        <v>594</v>
      </c>
      <c r="BL10" s="73" t="str">
        <f t="shared" si="5"/>
        <v>{{S10_채널_5}}{{S10_고객경험단계_5}}{{S10_부서명_5}}</v>
      </c>
      <c r="BM10" s="73" t="s">
        <v>595</v>
      </c>
      <c r="BN10" s="73" t="s">
        <v>596</v>
      </c>
      <c r="BO10" s="73" t="s">
        <v>597</v>
      </c>
      <c r="BP10" s="73" t="s">
        <v>598</v>
      </c>
      <c r="BQ10" s="73" t="s">
        <v>599</v>
      </c>
      <c r="BR10" s="73" t="s">
        <v>600</v>
      </c>
      <c r="BS10" s="73" t="s">
        <v>601</v>
      </c>
      <c r="BT10" s="73" t="s">
        <v>602</v>
      </c>
      <c r="BU10" s="73" t="s">
        <v>603</v>
      </c>
    </row>
    <row r="11" spans="2:73" ht="15" customHeight="1" x14ac:dyDescent="0.3">
      <c r="B11" s="120" t="s">
        <v>1082</v>
      </c>
      <c r="C11" s="120" t="s">
        <v>130</v>
      </c>
      <c r="D11" s="234"/>
      <c r="E11" s="234"/>
      <c r="F11" s="234"/>
      <c r="G11" s="234"/>
      <c r="H11" s="234"/>
      <c r="I11" s="235"/>
      <c r="J11" s="254"/>
      <c r="K11" s="255"/>
      <c r="L11" s="255"/>
      <c r="M11" s="255"/>
      <c r="N11" s="255"/>
      <c r="O11" s="256"/>
      <c r="P11" s="101" t="s">
        <v>341</v>
      </c>
      <c r="Q11" s="102"/>
      <c r="R11" s="103"/>
      <c r="S11" s="103"/>
      <c r="T11" s="103"/>
      <c r="U11" s="103"/>
      <c r="V11" s="103"/>
      <c r="W11" s="103"/>
      <c r="X11" s="103"/>
      <c r="Y11" s="103"/>
      <c r="Z11" s="104"/>
      <c r="AA11" s="275">
        <f t="shared" si="0"/>
        <v>0</v>
      </c>
      <c r="AB11" s="148"/>
      <c r="AC11" s="148"/>
      <c r="AD11" s="276"/>
      <c r="AE11" s="275" t="str">
        <f t="shared" si="1"/>
        <v>0(0)</v>
      </c>
      <c r="AF11" s="148"/>
      <c r="AG11" s="148"/>
      <c r="AH11" s="276"/>
      <c r="AI11" s="275" t="str">
        <f t="shared" si="2"/>
        <v>0(0)</v>
      </c>
      <c r="AJ11" s="148"/>
      <c r="AK11" s="148"/>
      <c r="AL11" s="276"/>
      <c r="AM11" s="275" t="str">
        <f t="shared" si="3"/>
        <v>0(0)</v>
      </c>
      <c r="AN11" s="148"/>
      <c r="AO11" s="148"/>
      <c r="AP11" s="148"/>
      <c r="AQ11" s="277" t="str">
        <f t="shared" si="4"/>
        <v>0(0)</v>
      </c>
      <c r="AR11" s="278"/>
      <c r="AS11" s="278"/>
      <c r="AT11" s="279"/>
      <c r="AU11" s="148"/>
      <c r="AV11" s="148"/>
      <c r="AW11" s="148"/>
      <c r="AX11" s="276"/>
      <c r="AY11" s="275"/>
      <c r="AZ11" s="148"/>
      <c r="BA11" s="148"/>
      <c r="BB11" s="276"/>
      <c r="BC11" s="275"/>
      <c r="BD11" s="148"/>
      <c r="BE11" s="148"/>
      <c r="BF11" s="148"/>
      <c r="BI11" s="73" t="s">
        <v>604</v>
      </c>
      <c r="BJ11" s="73" t="s">
        <v>605</v>
      </c>
      <c r="BK11" s="73" t="s">
        <v>606</v>
      </c>
      <c r="BL11" s="73" t="str">
        <f t="shared" si="5"/>
        <v>{{S10_채널_6}}{{S10_고객경험단계_6}}{{S10_부서명_6}}</v>
      </c>
      <c r="BM11" s="73" t="s">
        <v>607</v>
      </c>
      <c r="BN11" s="73" t="s">
        <v>608</v>
      </c>
      <c r="BO11" s="73" t="s">
        <v>609</v>
      </c>
      <c r="BP11" s="73" t="s">
        <v>610</v>
      </c>
      <c r="BQ11" s="73" t="s">
        <v>611</v>
      </c>
      <c r="BR11" s="73" t="s">
        <v>612</v>
      </c>
      <c r="BS11" s="73" t="s">
        <v>613</v>
      </c>
      <c r="BT11" s="73" t="s">
        <v>614</v>
      </c>
      <c r="BU11" s="73" t="s">
        <v>615</v>
      </c>
    </row>
    <row r="12" spans="2:73" ht="15" customHeight="1" x14ac:dyDescent="0.3">
      <c r="B12" s="120" t="s">
        <v>1082</v>
      </c>
      <c r="C12" s="120" t="s">
        <v>130</v>
      </c>
      <c r="D12" s="234"/>
      <c r="E12" s="234"/>
      <c r="F12" s="234"/>
      <c r="G12" s="234"/>
      <c r="H12" s="234"/>
      <c r="I12" s="235"/>
      <c r="J12" s="257"/>
      <c r="K12" s="258"/>
      <c r="L12" s="258"/>
      <c r="M12" s="258"/>
      <c r="N12" s="258"/>
      <c r="O12" s="259"/>
      <c r="P12" s="105" t="s">
        <v>342</v>
      </c>
      <c r="Q12" s="106"/>
      <c r="R12" s="107"/>
      <c r="S12" s="107"/>
      <c r="T12" s="107"/>
      <c r="U12" s="107"/>
      <c r="V12" s="107"/>
      <c r="W12" s="107"/>
      <c r="X12" s="107"/>
      <c r="Y12" s="107"/>
      <c r="Z12" s="108"/>
      <c r="AA12" s="245">
        <f t="shared" si="0"/>
        <v>0</v>
      </c>
      <c r="AB12" s="246"/>
      <c r="AC12" s="246"/>
      <c r="AD12" s="247"/>
      <c r="AE12" s="245" t="str">
        <f t="shared" si="1"/>
        <v>0(0)</v>
      </c>
      <c r="AF12" s="246"/>
      <c r="AG12" s="246"/>
      <c r="AH12" s="247"/>
      <c r="AI12" s="245" t="str">
        <f t="shared" si="2"/>
        <v>0(0)</v>
      </c>
      <c r="AJ12" s="246"/>
      <c r="AK12" s="246"/>
      <c r="AL12" s="247"/>
      <c r="AM12" s="245" t="str">
        <f t="shared" si="3"/>
        <v>0(0)</v>
      </c>
      <c r="AN12" s="246"/>
      <c r="AO12" s="246"/>
      <c r="AP12" s="246"/>
      <c r="AQ12" s="248" t="str">
        <f t="shared" si="4"/>
        <v>0(0)</v>
      </c>
      <c r="AR12" s="249"/>
      <c r="AS12" s="249"/>
      <c r="AT12" s="250"/>
      <c r="AU12" s="246"/>
      <c r="AV12" s="246"/>
      <c r="AW12" s="246"/>
      <c r="AX12" s="247"/>
      <c r="AY12" s="245"/>
      <c r="AZ12" s="246"/>
      <c r="BA12" s="246"/>
      <c r="BB12" s="247"/>
      <c r="BC12" s="245"/>
      <c r="BD12" s="246"/>
      <c r="BE12" s="246"/>
      <c r="BF12" s="246"/>
      <c r="BI12" s="73" t="s">
        <v>616</v>
      </c>
      <c r="BJ12" s="73" t="s">
        <v>617</v>
      </c>
      <c r="BK12" s="73" t="s">
        <v>618</v>
      </c>
      <c r="BL12" s="73" t="str">
        <f t="shared" si="5"/>
        <v>{{S10_채널_7}}{{S10_고객경험단계_7}}{{S10_부서명_7}}</v>
      </c>
      <c r="BM12" s="73" t="s">
        <v>619</v>
      </c>
      <c r="BN12" s="73" t="s">
        <v>620</v>
      </c>
      <c r="BO12" s="73" t="s">
        <v>621</v>
      </c>
      <c r="BP12" s="73" t="s">
        <v>622</v>
      </c>
      <c r="BQ12" s="73" t="s">
        <v>623</v>
      </c>
      <c r="BR12" s="73" t="s">
        <v>624</v>
      </c>
      <c r="BS12" s="73" t="s">
        <v>625</v>
      </c>
      <c r="BT12" s="73" t="s">
        <v>626</v>
      </c>
      <c r="BU12" s="73" t="s">
        <v>627</v>
      </c>
    </row>
    <row r="13" spans="2:73" ht="15" customHeight="1" x14ac:dyDescent="0.3">
      <c r="B13" s="120" t="s">
        <v>1082</v>
      </c>
      <c r="C13" s="120" t="s">
        <v>131</v>
      </c>
      <c r="D13" s="234"/>
      <c r="E13" s="234"/>
      <c r="F13" s="234"/>
      <c r="G13" s="234"/>
      <c r="H13" s="234"/>
      <c r="I13" s="235"/>
      <c r="J13" s="85" t="s">
        <v>131</v>
      </c>
      <c r="K13" s="86"/>
      <c r="L13" s="86"/>
      <c r="M13" s="86"/>
      <c r="N13" s="86"/>
      <c r="O13" s="87"/>
      <c r="P13" s="88" t="s">
        <v>341</v>
      </c>
      <c r="Q13" s="86"/>
      <c r="R13" s="89"/>
      <c r="S13" s="89"/>
      <c r="T13" s="89"/>
      <c r="U13" s="89"/>
      <c r="V13" s="89"/>
      <c r="W13" s="89"/>
      <c r="X13" s="89"/>
      <c r="Y13" s="89"/>
      <c r="Z13" s="90"/>
      <c r="AA13" s="242">
        <f t="shared" si="0"/>
        <v>0</v>
      </c>
      <c r="AB13" s="243"/>
      <c r="AC13" s="243"/>
      <c r="AD13" s="244"/>
      <c r="AE13" s="242" t="str">
        <f t="shared" si="1"/>
        <v>0(0)</v>
      </c>
      <c r="AF13" s="243"/>
      <c r="AG13" s="243"/>
      <c r="AH13" s="244"/>
      <c r="AI13" s="242" t="str">
        <f t="shared" si="2"/>
        <v>0(0)</v>
      </c>
      <c r="AJ13" s="243"/>
      <c r="AK13" s="243"/>
      <c r="AL13" s="244"/>
      <c r="AM13" s="242" t="str">
        <f t="shared" si="3"/>
        <v>0(0)</v>
      </c>
      <c r="AN13" s="243"/>
      <c r="AO13" s="243"/>
      <c r="AP13" s="244"/>
      <c r="AQ13" s="266" t="str">
        <f t="shared" si="4"/>
        <v>0(0)</v>
      </c>
      <c r="AR13" s="267"/>
      <c r="AS13" s="267"/>
      <c r="AT13" s="268"/>
      <c r="AU13" s="242" t="e">
        <f>VLOOKUP($D$6&amp;$J13, $BK$68:$BN$107, 2, 0)</f>
        <v>#N/A</v>
      </c>
      <c r="AV13" s="243"/>
      <c r="AW13" s="243"/>
      <c r="AX13" s="244"/>
      <c r="AY13" s="242" t="e">
        <f>VLOOKUP($D$6&amp;$J13, $BK$68:$BN$107, 3, 0)</f>
        <v>#N/A</v>
      </c>
      <c r="AZ13" s="243"/>
      <c r="BA13" s="243"/>
      <c r="BB13" s="244"/>
      <c r="BC13" s="242" t="e">
        <f>VLOOKUP($D$6&amp;$J13, $BK$68:$BN$107, 4, 0)</f>
        <v>#N/A</v>
      </c>
      <c r="BD13" s="243"/>
      <c r="BE13" s="243"/>
      <c r="BF13" s="243"/>
      <c r="BI13" s="73" t="s">
        <v>628</v>
      </c>
      <c r="BJ13" s="73" t="s">
        <v>629</v>
      </c>
      <c r="BK13" s="73" t="s">
        <v>630</v>
      </c>
      <c r="BL13" s="73" t="str">
        <f t="shared" si="5"/>
        <v>{{S10_채널_8}}{{S10_고객경험단계_8}}{{S10_부서명_8}}</v>
      </c>
      <c r="BM13" s="73" t="s">
        <v>631</v>
      </c>
      <c r="BN13" s="73" t="s">
        <v>632</v>
      </c>
      <c r="BO13" s="73" t="s">
        <v>633</v>
      </c>
      <c r="BP13" s="73" t="s">
        <v>634</v>
      </c>
      <c r="BQ13" s="73" t="s">
        <v>635</v>
      </c>
      <c r="BR13" s="73" t="s">
        <v>636</v>
      </c>
      <c r="BS13" s="73" t="s">
        <v>637</v>
      </c>
      <c r="BT13" s="73" t="s">
        <v>638</v>
      </c>
      <c r="BU13" s="73" t="s">
        <v>639</v>
      </c>
    </row>
    <row r="14" spans="2:73" ht="15" customHeight="1" x14ac:dyDescent="0.3">
      <c r="B14" s="120" t="s">
        <v>1082</v>
      </c>
      <c r="C14" s="120" t="s">
        <v>132</v>
      </c>
      <c r="D14" s="234"/>
      <c r="E14" s="234"/>
      <c r="F14" s="234"/>
      <c r="G14" s="234"/>
      <c r="H14" s="234"/>
      <c r="I14" s="235"/>
      <c r="J14" s="251" t="s">
        <v>132</v>
      </c>
      <c r="K14" s="252"/>
      <c r="L14" s="252"/>
      <c r="M14" s="252"/>
      <c r="N14" s="252"/>
      <c r="O14" s="253"/>
      <c r="P14" s="97" t="s">
        <v>343</v>
      </c>
      <c r="Q14" s="98"/>
      <c r="R14" s="99"/>
      <c r="S14" s="99"/>
      <c r="T14" s="99"/>
      <c r="U14" s="99"/>
      <c r="V14" s="99"/>
      <c r="W14" s="99"/>
      <c r="X14" s="99"/>
      <c r="Y14" s="99"/>
      <c r="Z14" s="100"/>
      <c r="AA14" s="263">
        <f t="shared" si="0"/>
        <v>0</v>
      </c>
      <c r="AB14" s="264"/>
      <c r="AC14" s="264"/>
      <c r="AD14" s="265"/>
      <c r="AE14" s="263" t="str">
        <f t="shared" si="1"/>
        <v>0(0)</v>
      </c>
      <c r="AF14" s="264"/>
      <c r="AG14" s="264"/>
      <c r="AH14" s="265"/>
      <c r="AI14" s="263" t="str">
        <f t="shared" si="2"/>
        <v>0(0)</v>
      </c>
      <c r="AJ14" s="264"/>
      <c r="AK14" s="264"/>
      <c r="AL14" s="265"/>
      <c r="AM14" s="263" t="str">
        <f t="shared" si="3"/>
        <v>0(0)</v>
      </c>
      <c r="AN14" s="264"/>
      <c r="AO14" s="264"/>
      <c r="AP14" s="264"/>
      <c r="AQ14" s="260" t="str">
        <f t="shared" si="4"/>
        <v>0(0)</v>
      </c>
      <c r="AR14" s="261"/>
      <c r="AS14" s="261"/>
      <c r="AT14" s="262"/>
      <c r="AU14" s="264" t="e">
        <f>VLOOKUP($D$6&amp;$J14, $BK$68:$BN$107, 2, 0)</f>
        <v>#N/A</v>
      </c>
      <c r="AV14" s="264"/>
      <c r="AW14" s="264"/>
      <c r="AX14" s="265"/>
      <c r="AY14" s="263" t="e">
        <f>VLOOKUP($D$6&amp;$J14, $BK$68:$BN$107, 3, 0)</f>
        <v>#N/A</v>
      </c>
      <c r="AZ14" s="264"/>
      <c r="BA14" s="264"/>
      <c r="BB14" s="265"/>
      <c r="BC14" s="263" t="e">
        <f>VLOOKUP($D$6&amp;$J14, $BK$68:$BN$107, 4, 0)</f>
        <v>#N/A</v>
      </c>
      <c r="BD14" s="264"/>
      <c r="BE14" s="264"/>
      <c r="BF14" s="264"/>
      <c r="BI14" s="73" t="s">
        <v>640</v>
      </c>
      <c r="BJ14" s="73" t="s">
        <v>641</v>
      </c>
      <c r="BK14" s="73" t="s">
        <v>642</v>
      </c>
      <c r="BL14" s="73" t="str">
        <f t="shared" si="5"/>
        <v>{{S10_채널_9}}{{S10_고객경험단계_9}}{{S10_부서명_9}}</v>
      </c>
      <c r="BM14" s="73" t="s">
        <v>643</v>
      </c>
      <c r="BN14" s="73" t="s">
        <v>644</v>
      </c>
      <c r="BO14" s="73" t="s">
        <v>645</v>
      </c>
      <c r="BP14" s="73" t="s">
        <v>646</v>
      </c>
      <c r="BQ14" s="73" t="s">
        <v>647</v>
      </c>
      <c r="BR14" s="73" t="s">
        <v>648</v>
      </c>
      <c r="BS14" s="73" t="s">
        <v>649</v>
      </c>
      <c r="BT14" s="73" t="s">
        <v>650</v>
      </c>
      <c r="BU14" s="73" t="s">
        <v>651</v>
      </c>
    </row>
    <row r="15" spans="2:73" ht="15" customHeight="1" x14ac:dyDescent="0.3">
      <c r="B15" s="120" t="s">
        <v>1082</v>
      </c>
      <c r="C15" s="120" t="s">
        <v>132</v>
      </c>
      <c r="D15" s="234"/>
      <c r="E15" s="234"/>
      <c r="F15" s="234"/>
      <c r="G15" s="234"/>
      <c r="H15" s="234"/>
      <c r="I15" s="235"/>
      <c r="J15" s="254"/>
      <c r="K15" s="255"/>
      <c r="L15" s="255"/>
      <c r="M15" s="255"/>
      <c r="N15" s="255"/>
      <c r="O15" s="256"/>
      <c r="P15" s="101" t="s">
        <v>344</v>
      </c>
      <c r="Q15" s="102"/>
      <c r="R15" s="103"/>
      <c r="S15" s="103"/>
      <c r="T15" s="103"/>
      <c r="U15" s="103"/>
      <c r="V15" s="103"/>
      <c r="W15" s="103"/>
      <c r="X15" s="103"/>
      <c r="Y15" s="103"/>
      <c r="Z15" s="104"/>
      <c r="AA15" s="275">
        <f t="shared" si="0"/>
        <v>0</v>
      </c>
      <c r="AB15" s="148"/>
      <c r="AC15" s="148"/>
      <c r="AD15" s="276"/>
      <c r="AE15" s="275" t="str">
        <f t="shared" si="1"/>
        <v>0(0)</v>
      </c>
      <c r="AF15" s="148"/>
      <c r="AG15" s="148"/>
      <c r="AH15" s="276"/>
      <c r="AI15" s="275" t="str">
        <f t="shared" si="2"/>
        <v>0(0)</v>
      </c>
      <c r="AJ15" s="148"/>
      <c r="AK15" s="148"/>
      <c r="AL15" s="276"/>
      <c r="AM15" s="275" t="str">
        <f t="shared" si="3"/>
        <v>0(0)</v>
      </c>
      <c r="AN15" s="148"/>
      <c r="AO15" s="148"/>
      <c r="AP15" s="148"/>
      <c r="AQ15" s="277" t="str">
        <f t="shared" si="4"/>
        <v>0(0)</v>
      </c>
      <c r="AR15" s="278"/>
      <c r="AS15" s="278"/>
      <c r="AT15" s="279"/>
      <c r="AU15" s="148"/>
      <c r="AV15" s="148"/>
      <c r="AW15" s="148"/>
      <c r="AX15" s="276"/>
      <c r="AY15" s="275"/>
      <c r="AZ15" s="148"/>
      <c r="BA15" s="148"/>
      <c r="BB15" s="276"/>
      <c r="BC15" s="275"/>
      <c r="BD15" s="148"/>
      <c r="BE15" s="148"/>
      <c r="BF15" s="148"/>
      <c r="BI15" s="73" t="s">
        <v>652</v>
      </c>
      <c r="BJ15" s="73" t="s">
        <v>653</v>
      </c>
      <c r="BK15" s="73" t="s">
        <v>654</v>
      </c>
      <c r="BL15" s="73" t="str">
        <f t="shared" si="5"/>
        <v>{{S10_채널_10}}{{S10_고객경험단계_10}}{{S10_부서명_10}}</v>
      </c>
      <c r="BM15" s="73" t="s">
        <v>655</v>
      </c>
      <c r="BN15" s="73" t="s">
        <v>656</v>
      </c>
      <c r="BO15" s="73" t="s">
        <v>657</v>
      </c>
      <c r="BP15" s="73" t="s">
        <v>658</v>
      </c>
      <c r="BQ15" s="73" t="s">
        <v>659</v>
      </c>
      <c r="BR15" s="73" t="s">
        <v>660</v>
      </c>
      <c r="BS15" s="73" t="s">
        <v>661</v>
      </c>
      <c r="BT15" s="73" t="s">
        <v>662</v>
      </c>
      <c r="BU15" s="73" t="s">
        <v>663</v>
      </c>
    </row>
    <row r="16" spans="2:73" ht="15" customHeight="1" x14ac:dyDescent="0.3">
      <c r="B16" s="120" t="s">
        <v>1082</v>
      </c>
      <c r="C16" s="120" t="s">
        <v>132</v>
      </c>
      <c r="D16" s="234"/>
      <c r="E16" s="234"/>
      <c r="F16" s="234"/>
      <c r="G16" s="234"/>
      <c r="H16" s="234"/>
      <c r="I16" s="235"/>
      <c r="J16" s="254"/>
      <c r="K16" s="255"/>
      <c r="L16" s="255"/>
      <c r="M16" s="255"/>
      <c r="N16" s="255"/>
      <c r="O16" s="256"/>
      <c r="P16" s="101" t="s">
        <v>341</v>
      </c>
      <c r="Q16" s="102"/>
      <c r="R16" s="103"/>
      <c r="S16" s="103"/>
      <c r="T16" s="103"/>
      <c r="U16" s="103"/>
      <c r="V16" s="103"/>
      <c r="W16" s="103"/>
      <c r="X16" s="103"/>
      <c r="Y16" s="103"/>
      <c r="Z16" s="104"/>
      <c r="AA16" s="275">
        <f t="shared" si="0"/>
        <v>0</v>
      </c>
      <c r="AB16" s="148"/>
      <c r="AC16" s="148"/>
      <c r="AD16" s="276"/>
      <c r="AE16" s="275" t="str">
        <f t="shared" si="1"/>
        <v>0(0)</v>
      </c>
      <c r="AF16" s="148"/>
      <c r="AG16" s="148"/>
      <c r="AH16" s="276"/>
      <c r="AI16" s="275" t="str">
        <f t="shared" si="2"/>
        <v>0(0)</v>
      </c>
      <c r="AJ16" s="148"/>
      <c r="AK16" s="148"/>
      <c r="AL16" s="276"/>
      <c r="AM16" s="275" t="str">
        <f t="shared" si="3"/>
        <v>0(0)</v>
      </c>
      <c r="AN16" s="148"/>
      <c r="AO16" s="148"/>
      <c r="AP16" s="148"/>
      <c r="AQ16" s="277" t="str">
        <f t="shared" si="4"/>
        <v>0(0)</v>
      </c>
      <c r="AR16" s="278"/>
      <c r="AS16" s="278"/>
      <c r="AT16" s="279"/>
      <c r="AU16" s="148"/>
      <c r="AV16" s="148"/>
      <c r="AW16" s="148"/>
      <c r="AX16" s="276"/>
      <c r="AY16" s="275"/>
      <c r="AZ16" s="148"/>
      <c r="BA16" s="148"/>
      <c r="BB16" s="276"/>
      <c r="BC16" s="275"/>
      <c r="BD16" s="148"/>
      <c r="BE16" s="148"/>
      <c r="BF16" s="148"/>
      <c r="BI16" s="73" t="s">
        <v>664</v>
      </c>
      <c r="BJ16" s="73" t="s">
        <v>665</v>
      </c>
      <c r="BK16" s="73" t="s">
        <v>666</v>
      </c>
      <c r="BL16" s="73" t="str">
        <f t="shared" si="5"/>
        <v>{{S10_채널_11}}{{S10_고객경험단계_11}}{{S10_부서명_11}}</v>
      </c>
      <c r="BM16" s="73" t="s">
        <v>667</v>
      </c>
      <c r="BN16" s="73" t="s">
        <v>668</v>
      </c>
      <c r="BO16" s="73" t="s">
        <v>669</v>
      </c>
      <c r="BP16" s="73" t="s">
        <v>670</v>
      </c>
      <c r="BQ16" s="73" t="s">
        <v>671</v>
      </c>
      <c r="BR16" s="73" t="s">
        <v>672</v>
      </c>
      <c r="BS16" s="73" t="s">
        <v>673</v>
      </c>
      <c r="BT16" s="73" t="s">
        <v>674</v>
      </c>
      <c r="BU16" s="73" t="s">
        <v>675</v>
      </c>
    </row>
    <row r="17" spans="2:73" ht="15" customHeight="1" x14ac:dyDescent="0.3">
      <c r="B17" s="120" t="s">
        <v>1082</v>
      </c>
      <c r="C17" s="120" t="s">
        <v>132</v>
      </c>
      <c r="D17" s="236"/>
      <c r="E17" s="236"/>
      <c r="F17" s="236"/>
      <c r="G17" s="236"/>
      <c r="H17" s="236"/>
      <c r="I17" s="237"/>
      <c r="J17" s="257"/>
      <c r="K17" s="258"/>
      <c r="L17" s="258"/>
      <c r="M17" s="258"/>
      <c r="N17" s="258"/>
      <c r="O17" s="259"/>
      <c r="P17" s="105" t="s">
        <v>339</v>
      </c>
      <c r="Q17" s="106"/>
      <c r="R17" s="107"/>
      <c r="S17" s="107"/>
      <c r="T17" s="107"/>
      <c r="U17" s="107"/>
      <c r="V17" s="107"/>
      <c r="W17" s="107"/>
      <c r="X17" s="107"/>
      <c r="Y17" s="107"/>
      <c r="Z17" s="108"/>
      <c r="AA17" s="245">
        <f t="shared" si="0"/>
        <v>0</v>
      </c>
      <c r="AB17" s="246"/>
      <c r="AC17" s="246"/>
      <c r="AD17" s="247"/>
      <c r="AE17" s="245" t="str">
        <f t="shared" si="1"/>
        <v>0(0)</v>
      </c>
      <c r="AF17" s="246"/>
      <c r="AG17" s="246"/>
      <c r="AH17" s="247"/>
      <c r="AI17" s="245" t="str">
        <f t="shared" si="2"/>
        <v>0(0)</v>
      </c>
      <c r="AJ17" s="246"/>
      <c r="AK17" s="246"/>
      <c r="AL17" s="247"/>
      <c r="AM17" s="245" t="str">
        <f t="shared" si="3"/>
        <v>0(0)</v>
      </c>
      <c r="AN17" s="246"/>
      <c r="AO17" s="246"/>
      <c r="AP17" s="246"/>
      <c r="AQ17" s="248" t="str">
        <f t="shared" si="4"/>
        <v>0(0)</v>
      </c>
      <c r="AR17" s="249"/>
      <c r="AS17" s="249"/>
      <c r="AT17" s="250"/>
      <c r="AU17" s="246"/>
      <c r="AV17" s="246"/>
      <c r="AW17" s="246"/>
      <c r="AX17" s="247"/>
      <c r="AY17" s="245"/>
      <c r="AZ17" s="246"/>
      <c r="BA17" s="246"/>
      <c r="BB17" s="247"/>
      <c r="BC17" s="245"/>
      <c r="BD17" s="246"/>
      <c r="BE17" s="246"/>
      <c r="BF17" s="246"/>
      <c r="BI17" s="73" t="s">
        <v>676</v>
      </c>
      <c r="BJ17" s="73" t="s">
        <v>677</v>
      </c>
      <c r="BK17" s="73" t="s">
        <v>678</v>
      </c>
      <c r="BL17" s="73" t="str">
        <f t="shared" si="5"/>
        <v>{{S10_채널_12}}{{S10_고객경험단계_12}}{{S10_부서명_12}}</v>
      </c>
      <c r="BM17" s="73" t="s">
        <v>679</v>
      </c>
      <c r="BN17" s="73" t="s">
        <v>680</v>
      </c>
      <c r="BO17" s="73" t="s">
        <v>681</v>
      </c>
      <c r="BP17" s="73" t="s">
        <v>682</v>
      </c>
      <c r="BQ17" s="73" t="s">
        <v>683</v>
      </c>
      <c r="BR17" s="73" t="s">
        <v>684</v>
      </c>
      <c r="BS17" s="73" t="s">
        <v>685</v>
      </c>
      <c r="BT17" s="73" t="s">
        <v>686</v>
      </c>
      <c r="BU17" s="73" t="s">
        <v>687</v>
      </c>
    </row>
    <row r="18" spans="2:73" ht="15" customHeight="1" x14ac:dyDescent="0.3">
      <c r="B18" s="120" t="s">
        <v>364</v>
      </c>
      <c r="C18" s="120" t="s">
        <v>1081</v>
      </c>
      <c r="D18" s="232" t="s">
        <v>364</v>
      </c>
      <c r="E18" s="232"/>
      <c r="F18" s="232"/>
      <c r="G18" s="232"/>
      <c r="H18" s="232"/>
      <c r="I18" s="233"/>
      <c r="J18" s="91" t="s">
        <v>328</v>
      </c>
      <c r="K18" s="92"/>
      <c r="L18" s="92"/>
      <c r="M18" s="92"/>
      <c r="N18" s="92"/>
      <c r="O18" s="93"/>
      <c r="P18" s="94"/>
      <c r="Q18" s="92"/>
      <c r="R18" s="95"/>
      <c r="S18" s="95"/>
      <c r="T18" s="95"/>
      <c r="U18" s="95"/>
      <c r="V18" s="95"/>
      <c r="W18" s="95"/>
      <c r="X18" s="95"/>
      <c r="Y18" s="95"/>
      <c r="Z18" s="96"/>
      <c r="AA18" s="272">
        <f t="shared" si="0"/>
        <v>0</v>
      </c>
      <c r="AB18" s="273"/>
      <c r="AC18" s="273"/>
      <c r="AD18" s="274"/>
      <c r="AE18" s="272" t="str">
        <f t="shared" si="1"/>
        <v>0(0)</v>
      </c>
      <c r="AF18" s="273"/>
      <c r="AG18" s="273"/>
      <c r="AH18" s="274"/>
      <c r="AI18" s="272" t="str">
        <f t="shared" si="2"/>
        <v>0(0)</v>
      </c>
      <c r="AJ18" s="273"/>
      <c r="AK18" s="273"/>
      <c r="AL18" s="274"/>
      <c r="AM18" s="272" t="str">
        <f t="shared" si="3"/>
        <v>0(0)</v>
      </c>
      <c r="AN18" s="273"/>
      <c r="AO18" s="273"/>
      <c r="AP18" s="274"/>
      <c r="AQ18" s="266" t="str">
        <f t="shared" si="4"/>
        <v>0(0)</v>
      </c>
      <c r="AR18" s="267"/>
      <c r="AS18" s="267"/>
      <c r="AT18" s="268"/>
      <c r="AU18" s="272" t="s">
        <v>1380</v>
      </c>
      <c r="AV18" s="273"/>
      <c r="AW18" s="273"/>
      <c r="AX18" s="274"/>
      <c r="AY18" s="272" t="s">
        <v>1429</v>
      </c>
      <c r="AZ18" s="273"/>
      <c r="BA18" s="273"/>
      <c r="BB18" s="274"/>
      <c r="BC18" s="272" t="s">
        <v>1430</v>
      </c>
      <c r="BD18" s="273"/>
      <c r="BE18" s="273"/>
      <c r="BF18" s="273"/>
      <c r="BI18" s="73" t="s">
        <v>688</v>
      </c>
      <c r="BJ18" s="73" t="s">
        <v>689</v>
      </c>
      <c r="BK18" s="73" t="s">
        <v>690</v>
      </c>
      <c r="BL18" s="73" t="str">
        <f t="shared" si="5"/>
        <v>{{S10_채널_13}}{{S10_고객경험단계_13}}{{S10_부서명_13}}</v>
      </c>
      <c r="BM18" s="73" t="s">
        <v>691</v>
      </c>
      <c r="BN18" s="73" t="s">
        <v>692</v>
      </c>
      <c r="BO18" s="73" t="s">
        <v>693</v>
      </c>
      <c r="BP18" s="73" t="s">
        <v>694</v>
      </c>
      <c r="BQ18" s="73" t="s">
        <v>695</v>
      </c>
      <c r="BR18" s="73" t="s">
        <v>696</v>
      </c>
      <c r="BS18" s="73" t="s">
        <v>697</v>
      </c>
      <c r="BT18" s="73" t="s">
        <v>698</v>
      </c>
      <c r="BU18" s="73" t="s">
        <v>699</v>
      </c>
    </row>
    <row r="19" spans="2:73" ht="15" customHeight="1" x14ac:dyDescent="0.3">
      <c r="B19" s="120" t="s">
        <v>364</v>
      </c>
      <c r="C19" s="120" t="s">
        <v>146</v>
      </c>
      <c r="D19" s="234"/>
      <c r="E19" s="234"/>
      <c r="F19" s="234"/>
      <c r="G19" s="234"/>
      <c r="H19" s="234"/>
      <c r="I19" s="235"/>
      <c r="J19" s="251" t="s">
        <v>146</v>
      </c>
      <c r="K19" s="252"/>
      <c r="L19" s="252"/>
      <c r="M19" s="252"/>
      <c r="N19" s="252"/>
      <c r="O19" s="253"/>
      <c r="P19" s="97" t="s">
        <v>345</v>
      </c>
      <c r="Q19" s="98"/>
      <c r="R19" s="99"/>
      <c r="S19" s="99"/>
      <c r="T19" s="99"/>
      <c r="U19" s="99"/>
      <c r="V19" s="99"/>
      <c r="W19" s="99"/>
      <c r="X19" s="99"/>
      <c r="Y19" s="99"/>
      <c r="Z19" s="100"/>
      <c r="AA19" s="263">
        <f t="shared" si="0"/>
        <v>0</v>
      </c>
      <c r="AB19" s="264"/>
      <c r="AC19" s="264"/>
      <c r="AD19" s="265"/>
      <c r="AE19" s="263" t="str">
        <f t="shared" si="1"/>
        <v>0(0)</v>
      </c>
      <c r="AF19" s="264"/>
      <c r="AG19" s="264"/>
      <c r="AH19" s="265"/>
      <c r="AI19" s="263" t="str">
        <f t="shared" si="2"/>
        <v>0(0)</v>
      </c>
      <c r="AJ19" s="264"/>
      <c r="AK19" s="264"/>
      <c r="AL19" s="265"/>
      <c r="AM19" s="263" t="str">
        <f t="shared" si="3"/>
        <v>0(0)</v>
      </c>
      <c r="AN19" s="264"/>
      <c r="AO19" s="264"/>
      <c r="AP19" s="264"/>
      <c r="AQ19" s="260" t="str">
        <f t="shared" si="4"/>
        <v>0(0)</v>
      </c>
      <c r="AR19" s="261"/>
      <c r="AS19" s="261"/>
      <c r="AT19" s="262"/>
      <c r="AU19" s="264" t="e">
        <f>VLOOKUP($D$18&amp;$J19, $BK$68:$BN$107, 2, 0)</f>
        <v>#N/A</v>
      </c>
      <c r="AV19" s="264"/>
      <c r="AW19" s="264"/>
      <c r="AX19" s="265"/>
      <c r="AY19" s="263" t="e">
        <f>VLOOKUP($D$18&amp;$J19, $BK$68:$BN$107, 3, 0)</f>
        <v>#N/A</v>
      </c>
      <c r="AZ19" s="264"/>
      <c r="BA19" s="264"/>
      <c r="BB19" s="265"/>
      <c r="BC19" s="263" t="e">
        <f>VLOOKUP($D$18&amp;$J19, $BK$68:$BN$107, 4, 0)</f>
        <v>#N/A</v>
      </c>
      <c r="BD19" s="264"/>
      <c r="BE19" s="264"/>
      <c r="BF19" s="264"/>
      <c r="BI19" s="73" t="s">
        <v>700</v>
      </c>
      <c r="BJ19" s="73" t="s">
        <v>701</v>
      </c>
      <c r="BK19" s="73" t="s">
        <v>702</v>
      </c>
      <c r="BL19" s="73" t="str">
        <f t="shared" si="5"/>
        <v>{{S10_채널_14}}{{S10_고객경험단계_14}}{{S10_부서명_14}}</v>
      </c>
      <c r="BM19" s="73" t="s">
        <v>703</v>
      </c>
      <c r="BN19" s="73" t="s">
        <v>704</v>
      </c>
      <c r="BO19" s="73" t="s">
        <v>705</v>
      </c>
      <c r="BP19" s="73" t="s">
        <v>706</v>
      </c>
      <c r="BQ19" s="73" t="s">
        <v>707</v>
      </c>
      <c r="BR19" s="73" t="s">
        <v>708</v>
      </c>
      <c r="BS19" s="73" t="s">
        <v>709</v>
      </c>
      <c r="BT19" s="73" t="s">
        <v>710</v>
      </c>
      <c r="BU19" s="73" t="s">
        <v>711</v>
      </c>
    </row>
    <row r="20" spans="2:73" ht="15" customHeight="1" x14ac:dyDescent="0.3">
      <c r="B20" s="120" t="s">
        <v>364</v>
      </c>
      <c r="C20" s="120" t="s">
        <v>146</v>
      </c>
      <c r="D20" s="234"/>
      <c r="E20" s="234"/>
      <c r="F20" s="234"/>
      <c r="G20" s="234"/>
      <c r="H20" s="234"/>
      <c r="I20" s="235"/>
      <c r="J20" s="254"/>
      <c r="K20" s="255"/>
      <c r="L20" s="255"/>
      <c r="M20" s="255"/>
      <c r="N20" s="255"/>
      <c r="O20" s="256"/>
      <c r="P20" s="101" t="s">
        <v>346</v>
      </c>
      <c r="Q20" s="102"/>
      <c r="R20" s="103"/>
      <c r="S20" s="103"/>
      <c r="T20" s="103"/>
      <c r="U20" s="103"/>
      <c r="V20" s="103"/>
      <c r="W20" s="103"/>
      <c r="X20" s="103"/>
      <c r="Y20" s="103"/>
      <c r="Z20" s="104"/>
      <c r="AA20" s="275">
        <f t="shared" si="0"/>
        <v>0</v>
      </c>
      <c r="AB20" s="148"/>
      <c r="AC20" s="148"/>
      <c r="AD20" s="276"/>
      <c r="AE20" s="275" t="str">
        <f t="shared" si="1"/>
        <v>0(0)</v>
      </c>
      <c r="AF20" s="148"/>
      <c r="AG20" s="148"/>
      <c r="AH20" s="276"/>
      <c r="AI20" s="275" t="str">
        <f t="shared" si="2"/>
        <v>0(0)</v>
      </c>
      <c r="AJ20" s="148"/>
      <c r="AK20" s="148"/>
      <c r="AL20" s="276"/>
      <c r="AM20" s="275" t="str">
        <f t="shared" si="3"/>
        <v>0(0)</v>
      </c>
      <c r="AN20" s="148"/>
      <c r="AO20" s="148"/>
      <c r="AP20" s="148"/>
      <c r="AQ20" s="277" t="str">
        <f t="shared" si="4"/>
        <v>0(0)</v>
      </c>
      <c r="AR20" s="278"/>
      <c r="AS20" s="278"/>
      <c r="AT20" s="279"/>
      <c r="AU20" s="148"/>
      <c r="AV20" s="148"/>
      <c r="AW20" s="148"/>
      <c r="AX20" s="276"/>
      <c r="AY20" s="275"/>
      <c r="AZ20" s="148"/>
      <c r="BA20" s="148"/>
      <c r="BB20" s="276"/>
      <c r="BC20" s="275"/>
      <c r="BD20" s="148"/>
      <c r="BE20" s="148"/>
      <c r="BF20" s="148"/>
      <c r="BI20" s="73" t="s">
        <v>712</v>
      </c>
      <c r="BJ20" s="73" t="s">
        <v>713</v>
      </c>
      <c r="BK20" s="73" t="s">
        <v>714</v>
      </c>
      <c r="BL20" s="73" t="str">
        <f t="shared" si="5"/>
        <v>{{S10_채널_15}}{{S10_고객경험단계_15}}{{S10_부서명_15}}</v>
      </c>
      <c r="BM20" s="73" t="s">
        <v>715</v>
      </c>
      <c r="BN20" s="73" t="s">
        <v>716</v>
      </c>
      <c r="BO20" s="73" t="s">
        <v>717</v>
      </c>
      <c r="BP20" s="73" t="s">
        <v>718</v>
      </c>
      <c r="BQ20" s="73" t="s">
        <v>719</v>
      </c>
      <c r="BR20" s="73" t="s">
        <v>720</v>
      </c>
      <c r="BS20" s="73" t="s">
        <v>721</v>
      </c>
      <c r="BT20" s="73" t="s">
        <v>722</v>
      </c>
      <c r="BU20" s="73" t="s">
        <v>723</v>
      </c>
    </row>
    <row r="21" spans="2:73" ht="15" customHeight="1" x14ac:dyDescent="0.3">
      <c r="B21" s="120" t="s">
        <v>364</v>
      </c>
      <c r="C21" s="120" t="s">
        <v>146</v>
      </c>
      <c r="D21" s="234"/>
      <c r="E21" s="234"/>
      <c r="F21" s="234"/>
      <c r="G21" s="234"/>
      <c r="H21" s="234"/>
      <c r="I21" s="235"/>
      <c r="J21" s="257"/>
      <c r="K21" s="258"/>
      <c r="L21" s="258"/>
      <c r="M21" s="258"/>
      <c r="N21" s="258"/>
      <c r="O21" s="259"/>
      <c r="P21" s="105" t="s">
        <v>347</v>
      </c>
      <c r="Q21" s="106"/>
      <c r="R21" s="107"/>
      <c r="S21" s="107"/>
      <c r="T21" s="107"/>
      <c r="U21" s="107"/>
      <c r="V21" s="107"/>
      <c r="W21" s="107"/>
      <c r="X21" s="107"/>
      <c r="Y21" s="107"/>
      <c r="Z21" s="108"/>
      <c r="AA21" s="245">
        <f t="shared" si="0"/>
        <v>0</v>
      </c>
      <c r="AB21" s="246"/>
      <c r="AC21" s="246"/>
      <c r="AD21" s="247"/>
      <c r="AE21" s="245" t="str">
        <f t="shared" si="1"/>
        <v>0(0)</v>
      </c>
      <c r="AF21" s="246"/>
      <c r="AG21" s="246"/>
      <c r="AH21" s="247"/>
      <c r="AI21" s="245" t="str">
        <f t="shared" si="2"/>
        <v>0(0)</v>
      </c>
      <c r="AJ21" s="246"/>
      <c r="AK21" s="246"/>
      <c r="AL21" s="247"/>
      <c r="AM21" s="245" t="str">
        <f t="shared" si="3"/>
        <v>0(0)</v>
      </c>
      <c r="AN21" s="246"/>
      <c r="AO21" s="246"/>
      <c r="AP21" s="246"/>
      <c r="AQ21" s="248" t="str">
        <f t="shared" si="4"/>
        <v>0(0)</v>
      </c>
      <c r="AR21" s="249"/>
      <c r="AS21" s="249"/>
      <c r="AT21" s="250"/>
      <c r="AU21" s="246"/>
      <c r="AV21" s="246"/>
      <c r="AW21" s="246"/>
      <c r="AX21" s="247"/>
      <c r="AY21" s="245"/>
      <c r="AZ21" s="246"/>
      <c r="BA21" s="246"/>
      <c r="BB21" s="247"/>
      <c r="BC21" s="245"/>
      <c r="BD21" s="246"/>
      <c r="BE21" s="246"/>
      <c r="BF21" s="246"/>
      <c r="BI21" s="73" t="s">
        <v>724</v>
      </c>
      <c r="BJ21" s="73" t="s">
        <v>725</v>
      </c>
      <c r="BK21" s="73" t="s">
        <v>726</v>
      </c>
      <c r="BL21" s="73" t="str">
        <f t="shared" si="5"/>
        <v>{{S10_채널_16}}{{S10_고객경험단계_16}}{{S10_부서명_16}}</v>
      </c>
      <c r="BM21" s="73" t="s">
        <v>727</v>
      </c>
      <c r="BN21" s="73" t="s">
        <v>728</v>
      </c>
      <c r="BO21" s="73" t="s">
        <v>729</v>
      </c>
      <c r="BP21" s="73" t="s">
        <v>730</v>
      </c>
      <c r="BQ21" s="73" t="s">
        <v>731</v>
      </c>
      <c r="BR21" s="73" t="s">
        <v>732</v>
      </c>
      <c r="BS21" s="73" t="s">
        <v>733</v>
      </c>
      <c r="BT21" s="73" t="s">
        <v>734</v>
      </c>
      <c r="BU21" s="73" t="s">
        <v>735</v>
      </c>
    </row>
    <row r="22" spans="2:73" ht="15" customHeight="1" x14ac:dyDescent="0.3">
      <c r="B22" s="120" t="s">
        <v>364</v>
      </c>
      <c r="C22" s="120" t="s">
        <v>148</v>
      </c>
      <c r="D22" s="234"/>
      <c r="E22" s="234"/>
      <c r="F22" s="234"/>
      <c r="G22" s="234"/>
      <c r="H22" s="234"/>
      <c r="I22" s="235"/>
      <c r="J22" s="251" t="s">
        <v>148</v>
      </c>
      <c r="K22" s="252"/>
      <c r="L22" s="252"/>
      <c r="M22" s="252"/>
      <c r="N22" s="252"/>
      <c r="O22" s="253"/>
      <c r="P22" s="97" t="s">
        <v>345</v>
      </c>
      <c r="Q22" s="98"/>
      <c r="R22" s="99"/>
      <c r="S22" s="99"/>
      <c r="T22" s="99"/>
      <c r="U22" s="99"/>
      <c r="V22" s="99"/>
      <c r="W22" s="99"/>
      <c r="X22" s="99"/>
      <c r="Y22" s="99"/>
      <c r="Z22" s="100"/>
      <c r="AA22" s="263">
        <f t="shared" si="0"/>
        <v>0</v>
      </c>
      <c r="AB22" s="264"/>
      <c r="AC22" s="264"/>
      <c r="AD22" s="265"/>
      <c r="AE22" s="263" t="str">
        <f t="shared" si="1"/>
        <v>0(0)</v>
      </c>
      <c r="AF22" s="264"/>
      <c r="AG22" s="264"/>
      <c r="AH22" s="265"/>
      <c r="AI22" s="263" t="str">
        <f t="shared" si="2"/>
        <v>0(0)</v>
      </c>
      <c r="AJ22" s="264"/>
      <c r="AK22" s="264"/>
      <c r="AL22" s="265"/>
      <c r="AM22" s="263" t="str">
        <f t="shared" si="3"/>
        <v>0(0)</v>
      </c>
      <c r="AN22" s="264"/>
      <c r="AO22" s="264"/>
      <c r="AP22" s="264"/>
      <c r="AQ22" s="260" t="str">
        <f t="shared" si="4"/>
        <v>0(0)</v>
      </c>
      <c r="AR22" s="261"/>
      <c r="AS22" s="261"/>
      <c r="AT22" s="262"/>
      <c r="AU22" s="264" t="e">
        <f>VLOOKUP($D$18&amp;$J22, $BK$68:$BN$107, 2, 0)</f>
        <v>#N/A</v>
      </c>
      <c r="AV22" s="264"/>
      <c r="AW22" s="264"/>
      <c r="AX22" s="265"/>
      <c r="AY22" s="263" t="e">
        <f>VLOOKUP($D$18&amp;$J22, $BK$68:$BN$107, 3, 0)</f>
        <v>#N/A</v>
      </c>
      <c r="AZ22" s="264"/>
      <c r="BA22" s="264"/>
      <c r="BB22" s="265"/>
      <c r="BC22" s="263" t="e">
        <f>VLOOKUP($D$18&amp;$J22, $BK$68:$BN$107, 4, 0)</f>
        <v>#N/A</v>
      </c>
      <c r="BD22" s="264"/>
      <c r="BE22" s="264"/>
      <c r="BF22" s="264"/>
      <c r="BI22" s="73" t="s">
        <v>736</v>
      </c>
      <c r="BJ22" s="73" t="s">
        <v>737</v>
      </c>
      <c r="BK22" s="73" t="s">
        <v>738</v>
      </c>
      <c r="BL22" s="73" t="str">
        <f t="shared" si="5"/>
        <v>{{S10_채널_17}}{{S10_고객경험단계_17}}{{S10_부서명_17}}</v>
      </c>
      <c r="BM22" s="73" t="s">
        <v>739</v>
      </c>
      <c r="BN22" s="73" t="s">
        <v>740</v>
      </c>
      <c r="BO22" s="73" t="s">
        <v>741</v>
      </c>
      <c r="BP22" s="73" t="s">
        <v>742</v>
      </c>
      <c r="BQ22" s="73" t="s">
        <v>743</v>
      </c>
      <c r="BR22" s="73" t="s">
        <v>744</v>
      </c>
      <c r="BS22" s="73" t="s">
        <v>745</v>
      </c>
      <c r="BT22" s="73" t="s">
        <v>746</v>
      </c>
      <c r="BU22" s="73" t="s">
        <v>747</v>
      </c>
    </row>
    <row r="23" spans="2:73" ht="15" customHeight="1" x14ac:dyDescent="0.3">
      <c r="B23" s="120" t="s">
        <v>364</v>
      </c>
      <c r="C23" s="120" t="s">
        <v>148</v>
      </c>
      <c r="D23" s="234"/>
      <c r="E23" s="234"/>
      <c r="F23" s="234"/>
      <c r="G23" s="234"/>
      <c r="H23" s="234"/>
      <c r="I23" s="235"/>
      <c r="J23" s="254"/>
      <c r="K23" s="255"/>
      <c r="L23" s="255"/>
      <c r="M23" s="255"/>
      <c r="N23" s="255"/>
      <c r="O23" s="256"/>
      <c r="P23" s="101" t="s">
        <v>346</v>
      </c>
      <c r="Q23" s="102"/>
      <c r="R23" s="103"/>
      <c r="S23" s="103"/>
      <c r="T23" s="103"/>
      <c r="U23" s="103"/>
      <c r="V23" s="103"/>
      <c r="W23" s="103"/>
      <c r="X23" s="103"/>
      <c r="Y23" s="103"/>
      <c r="Z23" s="104"/>
      <c r="AA23" s="275">
        <f t="shared" si="0"/>
        <v>0</v>
      </c>
      <c r="AB23" s="148"/>
      <c r="AC23" s="148"/>
      <c r="AD23" s="276"/>
      <c r="AE23" s="275" t="str">
        <f t="shared" si="1"/>
        <v>0(0)</v>
      </c>
      <c r="AF23" s="148"/>
      <c r="AG23" s="148"/>
      <c r="AH23" s="276"/>
      <c r="AI23" s="275" t="str">
        <f t="shared" si="2"/>
        <v>0(0)</v>
      </c>
      <c r="AJ23" s="148"/>
      <c r="AK23" s="148"/>
      <c r="AL23" s="276"/>
      <c r="AM23" s="275" t="str">
        <f t="shared" si="3"/>
        <v>0(0)</v>
      </c>
      <c r="AN23" s="148"/>
      <c r="AO23" s="148"/>
      <c r="AP23" s="148"/>
      <c r="AQ23" s="277" t="str">
        <f t="shared" si="4"/>
        <v>0(0)</v>
      </c>
      <c r="AR23" s="278"/>
      <c r="AS23" s="278"/>
      <c r="AT23" s="279"/>
      <c r="AU23" s="148"/>
      <c r="AV23" s="148"/>
      <c r="AW23" s="148"/>
      <c r="AX23" s="276"/>
      <c r="AY23" s="275"/>
      <c r="AZ23" s="148"/>
      <c r="BA23" s="148"/>
      <c r="BB23" s="276"/>
      <c r="BC23" s="275"/>
      <c r="BD23" s="148"/>
      <c r="BE23" s="148"/>
      <c r="BF23" s="148"/>
      <c r="BI23" s="73" t="s">
        <v>748</v>
      </c>
      <c r="BJ23" s="73" t="s">
        <v>749</v>
      </c>
      <c r="BK23" s="73" t="s">
        <v>750</v>
      </c>
      <c r="BL23" s="73" t="str">
        <f t="shared" si="5"/>
        <v>{{S10_채널_18}}{{S10_고객경험단계_18}}{{S10_부서명_18}}</v>
      </c>
      <c r="BM23" s="73" t="s">
        <v>751</v>
      </c>
      <c r="BN23" s="73" t="s">
        <v>752</v>
      </c>
      <c r="BO23" s="73" t="s">
        <v>753</v>
      </c>
      <c r="BP23" s="73" t="s">
        <v>754</v>
      </c>
      <c r="BQ23" s="73" t="s">
        <v>755</v>
      </c>
      <c r="BR23" s="73" t="s">
        <v>756</v>
      </c>
      <c r="BS23" s="73" t="s">
        <v>757</v>
      </c>
      <c r="BT23" s="73" t="s">
        <v>758</v>
      </c>
      <c r="BU23" s="73" t="s">
        <v>759</v>
      </c>
    </row>
    <row r="24" spans="2:73" ht="15" customHeight="1" x14ac:dyDescent="0.3">
      <c r="B24" s="120" t="s">
        <v>364</v>
      </c>
      <c r="C24" s="120" t="s">
        <v>148</v>
      </c>
      <c r="D24" s="234"/>
      <c r="E24" s="234"/>
      <c r="F24" s="234"/>
      <c r="G24" s="234"/>
      <c r="H24" s="234"/>
      <c r="I24" s="235"/>
      <c r="J24" s="257"/>
      <c r="K24" s="258"/>
      <c r="L24" s="258"/>
      <c r="M24" s="258"/>
      <c r="N24" s="258"/>
      <c r="O24" s="259"/>
      <c r="P24" s="105" t="s">
        <v>347</v>
      </c>
      <c r="Q24" s="106"/>
      <c r="R24" s="107"/>
      <c r="S24" s="107"/>
      <c r="T24" s="107"/>
      <c r="U24" s="107"/>
      <c r="V24" s="107"/>
      <c r="W24" s="107"/>
      <c r="X24" s="107"/>
      <c r="Y24" s="107"/>
      <c r="Z24" s="108"/>
      <c r="AA24" s="245">
        <f t="shared" si="0"/>
        <v>0</v>
      </c>
      <c r="AB24" s="246"/>
      <c r="AC24" s="246"/>
      <c r="AD24" s="247"/>
      <c r="AE24" s="245" t="str">
        <f t="shared" si="1"/>
        <v>0(0)</v>
      </c>
      <c r="AF24" s="246"/>
      <c r="AG24" s="246"/>
      <c r="AH24" s="247"/>
      <c r="AI24" s="245" t="str">
        <f t="shared" si="2"/>
        <v>0(0)</v>
      </c>
      <c r="AJ24" s="246"/>
      <c r="AK24" s="246"/>
      <c r="AL24" s="247"/>
      <c r="AM24" s="245" t="str">
        <f t="shared" si="3"/>
        <v>0(0)</v>
      </c>
      <c r="AN24" s="246"/>
      <c r="AO24" s="246"/>
      <c r="AP24" s="246"/>
      <c r="AQ24" s="248" t="str">
        <f t="shared" si="4"/>
        <v>0(0)</v>
      </c>
      <c r="AR24" s="249"/>
      <c r="AS24" s="249"/>
      <c r="AT24" s="250"/>
      <c r="AU24" s="246"/>
      <c r="AV24" s="246"/>
      <c r="AW24" s="246"/>
      <c r="AX24" s="247"/>
      <c r="AY24" s="245"/>
      <c r="AZ24" s="246"/>
      <c r="BA24" s="246"/>
      <c r="BB24" s="247"/>
      <c r="BC24" s="245"/>
      <c r="BD24" s="246"/>
      <c r="BE24" s="246"/>
      <c r="BF24" s="246"/>
      <c r="BI24" s="73" t="s">
        <v>760</v>
      </c>
      <c r="BJ24" s="73" t="s">
        <v>761</v>
      </c>
      <c r="BK24" s="73" t="s">
        <v>762</v>
      </c>
      <c r="BL24" s="73" t="str">
        <f t="shared" si="5"/>
        <v>{{S10_채널_19}}{{S10_고객경험단계_19}}{{S10_부서명_19}}</v>
      </c>
      <c r="BM24" s="73" t="s">
        <v>763</v>
      </c>
      <c r="BN24" s="73" t="s">
        <v>764</v>
      </c>
      <c r="BO24" s="73" t="s">
        <v>765</v>
      </c>
      <c r="BP24" s="73" t="s">
        <v>766</v>
      </c>
      <c r="BQ24" s="73" t="s">
        <v>767</v>
      </c>
      <c r="BR24" s="73" t="s">
        <v>768</v>
      </c>
      <c r="BS24" s="73" t="s">
        <v>769</v>
      </c>
      <c r="BT24" s="73" t="s">
        <v>770</v>
      </c>
      <c r="BU24" s="73" t="s">
        <v>771</v>
      </c>
    </row>
    <row r="25" spans="2:73" ht="15" customHeight="1" x14ac:dyDescent="0.3">
      <c r="B25" s="120" t="s">
        <v>364</v>
      </c>
      <c r="C25" s="120" t="s">
        <v>150</v>
      </c>
      <c r="D25" s="234"/>
      <c r="E25" s="234"/>
      <c r="F25" s="234"/>
      <c r="G25" s="234"/>
      <c r="H25" s="234"/>
      <c r="I25" s="235"/>
      <c r="J25" s="85" t="s">
        <v>150</v>
      </c>
      <c r="K25" s="86"/>
      <c r="L25" s="86"/>
      <c r="M25" s="86"/>
      <c r="N25" s="86"/>
      <c r="O25" s="87"/>
      <c r="P25" s="88" t="s">
        <v>348</v>
      </c>
      <c r="Q25" s="86"/>
      <c r="R25" s="89"/>
      <c r="S25" s="89"/>
      <c r="T25" s="89"/>
      <c r="U25" s="89"/>
      <c r="V25" s="89"/>
      <c r="W25" s="89"/>
      <c r="X25" s="89"/>
      <c r="Y25" s="89"/>
      <c r="Z25" s="90"/>
      <c r="AA25" s="242">
        <f t="shared" si="0"/>
        <v>0</v>
      </c>
      <c r="AB25" s="243"/>
      <c r="AC25" s="243"/>
      <c r="AD25" s="244"/>
      <c r="AE25" s="242" t="str">
        <f t="shared" si="1"/>
        <v>0(0)</v>
      </c>
      <c r="AF25" s="243"/>
      <c r="AG25" s="243"/>
      <c r="AH25" s="244"/>
      <c r="AI25" s="242" t="str">
        <f t="shared" si="2"/>
        <v>0(0)</v>
      </c>
      <c r="AJ25" s="243"/>
      <c r="AK25" s="243"/>
      <c r="AL25" s="244"/>
      <c r="AM25" s="242" t="str">
        <f t="shared" si="3"/>
        <v>0(0)</v>
      </c>
      <c r="AN25" s="243"/>
      <c r="AO25" s="243"/>
      <c r="AP25" s="244"/>
      <c r="AQ25" s="266" t="str">
        <f t="shared" si="4"/>
        <v>0(0)</v>
      </c>
      <c r="AR25" s="267"/>
      <c r="AS25" s="267"/>
      <c r="AT25" s="268"/>
      <c r="AU25" s="242" t="e">
        <f>VLOOKUP($D$18&amp;$J25, $BK$68:$BN$107, 2, 0)</f>
        <v>#N/A</v>
      </c>
      <c r="AV25" s="243"/>
      <c r="AW25" s="243"/>
      <c r="AX25" s="244"/>
      <c r="AY25" s="242" t="e">
        <f>VLOOKUP($D$18&amp;$J25, $BK$68:$BN$107, 3, 0)</f>
        <v>#N/A</v>
      </c>
      <c r="AZ25" s="243"/>
      <c r="BA25" s="243"/>
      <c r="BB25" s="244"/>
      <c r="BC25" s="242" t="e">
        <f>VLOOKUP($D$18&amp;$J25, $BK$68:$BN$107, 4, 0)</f>
        <v>#N/A</v>
      </c>
      <c r="BD25" s="243"/>
      <c r="BE25" s="243"/>
      <c r="BF25" s="243"/>
      <c r="BI25" s="73" t="s">
        <v>772</v>
      </c>
      <c r="BJ25" s="73" t="s">
        <v>773</v>
      </c>
      <c r="BK25" s="73" t="s">
        <v>774</v>
      </c>
      <c r="BL25" s="73" t="str">
        <f t="shared" si="5"/>
        <v>{{S10_채널_20}}{{S10_고객경험단계_20}}{{S10_부서명_20}}</v>
      </c>
      <c r="BM25" s="73" t="s">
        <v>775</v>
      </c>
      <c r="BN25" s="73" t="s">
        <v>776</v>
      </c>
      <c r="BO25" s="73" t="s">
        <v>777</v>
      </c>
      <c r="BP25" s="73" t="s">
        <v>778</v>
      </c>
      <c r="BQ25" s="73" t="s">
        <v>779</v>
      </c>
      <c r="BR25" s="73" t="s">
        <v>780</v>
      </c>
      <c r="BS25" s="73" t="s">
        <v>781</v>
      </c>
      <c r="BT25" s="73" t="s">
        <v>782</v>
      </c>
      <c r="BU25" s="73" t="s">
        <v>783</v>
      </c>
    </row>
    <row r="26" spans="2:73" ht="15" customHeight="1" x14ac:dyDescent="0.3">
      <c r="B26" s="120" t="s">
        <v>364</v>
      </c>
      <c r="C26" s="120" t="s">
        <v>1360</v>
      </c>
      <c r="D26" s="234"/>
      <c r="E26" s="234"/>
      <c r="F26" s="234"/>
      <c r="G26" s="234"/>
      <c r="H26" s="234"/>
      <c r="I26" s="235"/>
      <c r="J26" s="85" t="s">
        <v>153</v>
      </c>
      <c r="K26" s="86"/>
      <c r="L26" s="86"/>
      <c r="M26" s="86"/>
      <c r="N26" s="86"/>
      <c r="O26" s="87"/>
      <c r="P26" s="88" t="s">
        <v>349</v>
      </c>
      <c r="Q26" s="86"/>
      <c r="R26" s="89"/>
      <c r="S26" s="89"/>
      <c r="T26" s="89"/>
      <c r="U26" s="89"/>
      <c r="V26" s="89"/>
      <c r="W26" s="89"/>
      <c r="X26" s="89"/>
      <c r="Y26" s="89"/>
      <c r="Z26" s="90"/>
      <c r="AA26" s="242">
        <f t="shared" si="0"/>
        <v>0</v>
      </c>
      <c r="AB26" s="243"/>
      <c r="AC26" s="243"/>
      <c r="AD26" s="244"/>
      <c r="AE26" s="242" t="str">
        <f t="shared" si="1"/>
        <v>0(0)</v>
      </c>
      <c r="AF26" s="243"/>
      <c r="AG26" s="243"/>
      <c r="AH26" s="244"/>
      <c r="AI26" s="242" t="str">
        <f t="shared" si="2"/>
        <v>0(0)</v>
      </c>
      <c r="AJ26" s="243"/>
      <c r="AK26" s="243"/>
      <c r="AL26" s="244"/>
      <c r="AM26" s="242" t="str">
        <f t="shared" si="3"/>
        <v>0(0)</v>
      </c>
      <c r="AN26" s="243"/>
      <c r="AO26" s="243"/>
      <c r="AP26" s="244"/>
      <c r="AQ26" s="266" t="str">
        <f t="shared" si="4"/>
        <v>0(0)</v>
      </c>
      <c r="AR26" s="267"/>
      <c r="AS26" s="267"/>
      <c r="AT26" s="268"/>
      <c r="AU26" s="242" t="e">
        <f>VLOOKUP($D$18&amp;$J26, $BK$68:$BN$107, 2, 0)</f>
        <v>#N/A</v>
      </c>
      <c r="AV26" s="243"/>
      <c r="AW26" s="243"/>
      <c r="AX26" s="244"/>
      <c r="AY26" s="242" t="e">
        <f>VLOOKUP($D$18&amp;$J26, $BK$68:$BN$107, 3, 0)</f>
        <v>#N/A</v>
      </c>
      <c r="AZ26" s="243"/>
      <c r="BA26" s="243"/>
      <c r="BB26" s="244"/>
      <c r="BC26" s="242" t="e">
        <f>VLOOKUP($D$18&amp;$J26, $BK$68:$BN$107, 4, 0)</f>
        <v>#N/A</v>
      </c>
      <c r="BD26" s="243"/>
      <c r="BE26" s="243"/>
      <c r="BF26" s="243"/>
      <c r="BI26" s="73" t="s">
        <v>784</v>
      </c>
      <c r="BJ26" s="73" t="s">
        <v>785</v>
      </c>
      <c r="BK26" s="73" t="s">
        <v>786</v>
      </c>
      <c r="BL26" s="73" t="str">
        <f t="shared" si="5"/>
        <v>{{S10_채널_21}}{{S10_고객경험단계_21}}{{S10_부서명_21}}</v>
      </c>
      <c r="BM26" s="73" t="s">
        <v>787</v>
      </c>
      <c r="BN26" s="73" t="s">
        <v>788</v>
      </c>
      <c r="BO26" s="73" t="s">
        <v>789</v>
      </c>
      <c r="BP26" s="73" t="s">
        <v>790</v>
      </c>
      <c r="BQ26" s="73" t="s">
        <v>791</v>
      </c>
      <c r="BR26" s="73" t="s">
        <v>792</v>
      </c>
      <c r="BS26" s="73" t="s">
        <v>793</v>
      </c>
      <c r="BT26" s="73" t="s">
        <v>794</v>
      </c>
      <c r="BU26" s="73" t="s">
        <v>795</v>
      </c>
    </row>
    <row r="27" spans="2:73" ht="15" customHeight="1" x14ac:dyDescent="0.3">
      <c r="B27" s="120" t="s">
        <v>364</v>
      </c>
      <c r="C27" s="120" t="s">
        <v>154</v>
      </c>
      <c r="D27" s="234"/>
      <c r="E27" s="234"/>
      <c r="F27" s="234"/>
      <c r="G27" s="234"/>
      <c r="H27" s="234"/>
      <c r="I27" s="235"/>
      <c r="J27" s="251" t="s">
        <v>154</v>
      </c>
      <c r="K27" s="252"/>
      <c r="L27" s="252"/>
      <c r="M27" s="252"/>
      <c r="N27" s="252"/>
      <c r="O27" s="253"/>
      <c r="P27" s="97" t="s">
        <v>348</v>
      </c>
      <c r="Q27" s="98"/>
      <c r="R27" s="99"/>
      <c r="S27" s="99"/>
      <c r="T27" s="99"/>
      <c r="U27" s="99"/>
      <c r="V27" s="99"/>
      <c r="W27" s="99"/>
      <c r="X27" s="99"/>
      <c r="Y27" s="99"/>
      <c r="Z27" s="100"/>
      <c r="AA27" s="263">
        <f t="shared" si="0"/>
        <v>0</v>
      </c>
      <c r="AB27" s="264"/>
      <c r="AC27" s="264"/>
      <c r="AD27" s="265"/>
      <c r="AE27" s="263" t="str">
        <f t="shared" si="1"/>
        <v>0(0)</v>
      </c>
      <c r="AF27" s="264"/>
      <c r="AG27" s="264"/>
      <c r="AH27" s="265"/>
      <c r="AI27" s="263" t="str">
        <f t="shared" si="2"/>
        <v>0(0)</v>
      </c>
      <c r="AJ27" s="264"/>
      <c r="AK27" s="264"/>
      <c r="AL27" s="265"/>
      <c r="AM27" s="263" t="str">
        <f t="shared" si="3"/>
        <v>0(0)</v>
      </c>
      <c r="AN27" s="264"/>
      <c r="AO27" s="264"/>
      <c r="AP27" s="264"/>
      <c r="AQ27" s="260" t="str">
        <f t="shared" si="4"/>
        <v>0(0)</v>
      </c>
      <c r="AR27" s="261"/>
      <c r="AS27" s="261"/>
      <c r="AT27" s="262"/>
      <c r="AU27" s="264" t="e">
        <f>VLOOKUP($D$18&amp;$J27, $BK$68:$BN$107, 2, 0)</f>
        <v>#N/A</v>
      </c>
      <c r="AV27" s="264"/>
      <c r="AW27" s="264"/>
      <c r="AX27" s="265"/>
      <c r="AY27" s="263" t="e">
        <f>VLOOKUP($D$18&amp;$J27, $BK$68:$BN$107, 3, 0)</f>
        <v>#N/A</v>
      </c>
      <c r="AZ27" s="264"/>
      <c r="BA27" s="264"/>
      <c r="BB27" s="265"/>
      <c r="BC27" s="263" t="e">
        <f>VLOOKUP($D$18&amp;$J27, $BK$68:$BN$107, 4, 0)</f>
        <v>#N/A</v>
      </c>
      <c r="BD27" s="264"/>
      <c r="BE27" s="264"/>
      <c r="BF27" s="264"/>
      <c r="BI27" s="73" t="s">
        <v>796</v>
      </c>
      <c r="BJ27" s="73" t="s">
        <v>797</v>
      </c>
      <c r="BK27" s="73" t="s">
        <v>798</v>
      </c>
      <c r="BL27" s="73" t="str">
        <f t="shared" si="5"/>
        <v>{{S10_채널_22}}{{S10_고객경험단계_22}}{{S10_부서명_22}}</v>
      </c>
      <c r="BM27" s="73" t="s">
        <v>799</v>
      </c>
      <c r="BN27" s="73" t="s">
        <v>800</v>
      </c>
      <c r="BO27" s="73" t="s">
        <v>801</v>
      </c>
      <c r="BP27" s="73" t="s">
        <v>802</v>
      </c>
      <c r="BQ27" s="73" t="s">
        <v>803</v>
      </c>
      <c r="BR27" s="73" t="s">
        <v>804</v>
      </c>
      <c r="BS27" s="73" t="s">
        <v>805</v>
      </c>
      <c r="BT27" s="73" t="s">
        <v>806</v>
      </c>
      <c r="BU27" s="73" t="s">
        <v>807</v>
      </c>
    </row>
    <row r="28" spans="2:73" ht="15" customHeight="1" x14ac:dyDescent="0.3">
      <c r="B28" s="120" t="s">
        <v>364</v>
      </c>
      <c r="C28" s="120" t="s">
        <v>154</v>
      </c>
      <c r="D28" s="236"/>
      <c r="E28" s="236"/>
      <c r="F28" s="236"/>
      <c r="G28" s="236"/>
      <c r="H28" s="236"/>
      <c r="I28" s="237"/>
      <c r="J28" s="257"/>
      <c r="K28" s="258"/>
      <c r="L28" s="258"/>
      <c r="M28" s="258"/>
      <c r="N28" s="258"/>
      <c r="O28" s="259"/>
      <c r="P28" s="105" t="s">
        <v>349</v>
      </c>
      <c r="Q28" s="106"/>
      <c r="R28" s="107"/>
      <c r="S28" s="107"/>
      <c r="T28" s="107"/>
      <c r="U28" s="107"/>
      <c r="V28" s="107"/>
      <c r="W28" s="107"/>
      <c r="X28" s="107"/>
      <c r="Y28" s="107"/>
      <c r="Z28" s="108"/>
      <c r="AA28" s="245">
        <f t="shared" si="0"/>
        <v>0</v>
      </c>
      <c r="AB28" s="246"/>
      <c r="AC28" s="246"/>
      <c r="AD28" s="247"/>
      <c r="AE28" s="245" t="str">
        <f t="shared" si="1"/>
        <v>0(0)</v>
      </c>
      <c r="AF28" s="246"/>
      <c r="AG28" s="246"/>
      <c r="AH28" s="247"/>
      <c r="AI28" s="245" t="str">
        <f t="shared" si="2"/>
        <v>0(0)</v>
      </c>
      <c r="AJ28" s="246"/>
      <c r="AK28" s="246"/>
      <c r="AL28" s="247"/>
      <c r="AM28" s="245" t="str">
        <f t="shared" si="3"/>
        <v>0(0)</v>
      </c>
      <c r="AN28" s="246"/>
      <c r="AO28" s="246"/>
      <c r="AP28" s="246"/>
      <c r="AQ28" s="248" t="str">
        <f t="shared" si="4"/>
        <v>0(0)</v>
      </c>
      <c r="AR28" s="249"/>
      <c r="AS28" s="249"/>
      <c r="AT28" s="250"/>
      <c r="AU28" s="246"/>
      <c r="AV28" s="246"/>
      <c r="AW28" s="246"/>
      <c r="AX28" s="247"/>
      <c r="AY28" s="245"/>
      <c r="AZ28" s="246"/>
      <c r="BA28" s="246"/>
      <c r="BB28" s="247"/>
      <c r="BC28" s="245"/>
      <c r="BD28" s="246"/>
      <c r="BE28" s="246"/>
      <c r="BF28" s="246"/>
      <c r="BI28" s="73" t="s">
        <v>808</v>
      </c>
      <c r="BJ28" s="73" t="s">
        <v>809</v>
      </c>
      <c r="BK28" s="73" t="s">
        <v>810</v>
      </c>
      <c r="BL28" s="73" t="str">
        <f t="shared" si="5"/>
        <v>{{S10_채널_23}}{{S10_고객경험단계_23}}{{S10_부서명_23}}</v>
      </c>
      <c r="BM28" s="73" t="s">
        <v>811</v>
      </c>
      <c r="BN28" s="73" t="s">
        <v>812</v>
      </c>
      <c r="BO28" s="73" t="s">
        <v>813</v>
      </c>
      <c r="BP28" s="73" t="s">
        <v>814</v>
      </c>
      <c r="BQ28" s="73" t="s">
        <v>815</v>
      </c>
      <c r="BR28" s="73" t="s">
        <v>816</v>
      </c>
      <c r="BS28" s="73" t="s">
        <v>817</v>
      </c>
      <c r="BT28" s="73" t="s">
        <v>818</v>
      </c>
      <c r="BU28" s="73" t="s">
        <v>819</v>
      </c>
    </row>
    <row r="29" spans="2:73" ht="15" customHeight="1" x14ac:dyDescent="0.3">
      <c r="B29" s="120" t="s">
        <v>365</v>
      </c>
      <c r="C29" s="120" t="s">
        <v>1081</v>
      </c>
      <c r="D29" s="232" t="s">
        <v>365</v>
      </c>
      <c r="E29" s="232"/>
      <c r="F29" s="232"/>
      <c r="G29" s="232"/>
      <c r="H29" s="232"/>
      <c r="I29" s="233"/>
      <c r="J29" s="91" t="s">
        <v>328</v>
      </c>
      <c r="K29" s="92"/>
      <c r="L29" s="92"/>
      <c r="M29" s="92"/>
      <c r="N29" s="92"/>
      <c r="O29" s="93"/>
      <c r="P29" s="94"/>
      <c r="Q29" s="92"/>
      <c r="R29" s="95"/>
      <c r="S29" s="95"/>
      <c r="T29" s="95"/>
      <c r="U29" s="95"/>
      <c r="V29" s="95"/>
      <c r="W29" s="95"/>
      <c r="X29" s="95"/>
      <c r="Y29" s="95"/>
      <c r="Z29" s="96"/>
      <c r="AA29" s="272">
        <f t="shared" si="0"/>
        <v>0</v>
      </c>
      <c r="AB29" s="273"/>
      <c r="AC29" s="273"/>
      <c r="AD29" s="274"/>
      <c r="AE29" s="272" t="str">
        <f t="shared" si="1"/>
        <v>0(0)</v>
      </c>
      <c r="AF29" s="273"/>
      <c r="AG29" s="273"/>
      <c r="AH29" s="274"/>
      <c r="AI29" s="272" t="str">
        <f t="shared" si="2"/>
        <v>0(0)</v>
      </c>
      <c r="AJ29" s="273"/>
      <c r="AK29" s="273"/>
      <c r="AL29" s="274"/>
      <c r="AM29" s="272" t="str">
        <f t="shared" si="3"/>
        <v>0(0)</v>
      </c>
      <c r="AN29" s="273"/>
      <c r="AO29" s="273"/>
      <c r="AP29" s="274"/>
      <c r="AQ29" s="266" t="str">
        <f t="shared" si="4"/>
        <v>0(0)</v>
      </c>
      <c r="AR29" s="267"/>
      <c r="AS29" s="267"/>
      <c r="AT29" s="268"/>
      <c r="AU29" s="272" t="s">
        <v>1381</v>
      </c>
      <c r="AV29" s="273"/>
      <c r="AW29" s="273"/>
      <c r="AX29" s="274"/>
      <c r="AY29" s="272" t="s">
        <v>1431</v>
      </c>
      <c r="AZ29" s="273"/>
      <c r="BA29" s="273"/>
      <c r="BB29" s="274"/>
      <c r="BC29" s="272" t="s">
        <v>1432</v>
      </c>
      <c r="BD29" s="273"/>
      <c r="BE29" s="273"/>
      <c r="BF29" s="273"/>
      <c r="BI29" s="73" t="s">
        <v>820</v>
      </c>
      <c r="BJ29" s="73" t="s">
        <v>821</v>
      </c>
      <c r="BK29" s="73" t="s">
        <v>822</v>
      </c>
      <c r="BL29" s="73" t="str">
        <f t="shared" si="5"/>
        <v>{{S10_채널_24}}{{S10_고객경험단계_24}}{{S10_부서명_24}}</v>
      </c>
      <c r="BM29" s="73" t="s">
        <v>823</v>
      </c>
      <c r="BN29" s="73" t="s">
        <v>824</v>
      </c>
      <c r="BO29" s="73" t="s">
        <v>825</v>
      </c>
      <c r="BP29" s="73" t="s">
        <v>826</v>
      </c>
      <c r="BQ29" s="73" t="s">
        <v>827</v>
      </c>
      <c r="BR29" s="73" t="s">
        <v>828</v>
      </c>
      <c r="BS29" s="73" t="s">
        <v>829</v>
      </c>
      <c r="BT29" s="73" t="s">
        <v>830</v>
      </c>
      <c r="BU29" s="73" t="s">
        <v>831</v>
      </c>
    </row>
    <row r="30" spans="2:73" ht="15" customHeight="1" x14ac:dyDescent="0.3">
      <c r="B30" s="120" t="s">
        <v>365</v>
      </c>
      <c r="C30" s="120" t="s">
        <v>350</v>
      </c>
      <c r="D30" s="234"/>
      <c r="E30" s="234"/>
      <c r="F30" s="234"/>
      <c r="G30" s="234"/>
      <c r="H30" s="234"/>
      <c r="I30" s="235"/>
      <c r="J30" s="85" t="s">
        <v>350</v>
      </c>
      <c r="K30" s="86"/>
      <c r="L30" s="86"/>
      <c r="M30" s="86"/>
      <c r="N30" s="86"/>
      <c r="O30" s="87"/>
      <c r="P30" s="88" t="s">
        <v>351</v>
      </c>
      <c r="Q30" s="86"/>
      <c r="R30" s="89"/>
      <c r="S30" s="89"/>
      <c r="T30" s="89"/>
      <c r="U30" s="89"/>
      <c r="V30" s="89"/>
      <c r="W30" s="89"/>
      <c r="X30" s="89"/>
      <c r="Y30" s="89"/>
      <c r="Z30" s="90"/>
      <c r="AA30" s="242">
        <f t="shared" si="0"/>
        <v>0</v>
      </c>
      <c r="AB30" s="243"/>
      <c r="AC30" s="243"/>
      <c r="AD30" s="244"/>
      <c r="AE30" s="242" t="str">
        <f t="shared" si="1"/>
        <v>0(0)</v>
      </c>
      <c r="AF30" s="243"/>
      <c r="AG30" s="243"/>
      <c r="AH30" s="244"/>
      <c r="AI30" s="242" t="str">
        <f t="shared" si="2"/>
        <v>0(0)</v>
      </c>
      <c r="AJ30" s="243"/>
      <c r="AK30" s="243"/>
      <c r="AL30" s="244"/>
      <c r="AM30" s="242" t="str">
        <f t="shared" si="3"/>
        <v>0(0)</v>
      </c>
      <c r="AN30" s="243"/>
      <c r="AO30" s="243"/>
      <c r="AP30" s="243"/>
      <c r="AQ30" s="269" t="str">
        <f t="shared" si="4"/>
        <v>0(0)</v>
      </c>
      <c r="AR30" s="270"/>
      <c r="AS30" s="270"/>
      <c r="AT30" s="271"/>
      <c r="AU30" s="243" t="e">
        <f t="shared" ref="AU30:AU35" si="6">VLOOKUP($D$29&amp;$J30, $BK$68:$BN$107, 2, 0)</f>
        <v>#N/A</v>
      </c>
      <c r="AV30" s="243"/>
      <c r="AW30" s="243"/>
      <c r="AX30" s="244"/>
      <c r="AY30" s="242" t="e">
        <f t="shared" ref="AY30:AY35" si="7">VLOOKUP($D$29&amp;$J30, $BK$68:$BN$107, 3, 0)</f>
        <v>#N/A</v>
      </c>
      <c r="AZ30" s="243"/>
      <c r="BA30" s="243"/>
      <c r="BB30" s="244"/>
      <c r="BC30" s="242" t="e">
        <f t="shared" ref="BC30:BC35" si="8">VLOOKUP($D$29&amp;$J30, $BK$68:$BN$107, 4, 0)</f>
        <v>#N/A</v>
      </c>
      <c r="BD30" s="243"/>
      <c r="BE30" s="243"/>
      <c r="BF30" s="243"/>
      <c r="BI30" s="73" t="s">
        <v>832</v>
      </c>
      <c r="BJ30" s="73" t="s">
        <v>833</v>
      </c>
      <c r="BK30" s="73" t="s">
        <v>834</v>
      </c>
      <c r="BL30" s="73" t="str">
        <f t="shared" si="5"/>
        <v>{{S10_채널_25}}{{S10_고객경험단계_25}}{{S10_부서명_25}}</v>
      </c>
      <c r="BM30" s="73" t="s">
        <v>835</v>
      </c>
      <c r="BN30" s="73" t="s">
        <v>836</v>
      </c>
      <c r="BO30" s="73" t="s">
        <v>837</v>
      </c>
      <c r="BP30" s="73" t="s">
        <v>838</v>
      </c>
      <c r="BQ30" s="73" t="s">
        <v>839</v>
      </c>
      <c r="BR30" s="73" t="s">
        <v>840</v>
      </c>
      <c r="BS30" s="73" t="s">
        <v>841</v>
      </c>
      <c r="BT30" s="73" t="s">
        <v>842</v>
      </c>
      <c r="BU30" s="73" t="s">
        <v>843</v>
      </c>
    </row>
    <row r="31" spans="2:73" ht="15" customHeight="1" x14ac:dyDescent="0.3">
      <c r="B31" s="120" t="s">
        <v>365</v>
      </c>
      <c r="C31" s="120" t="s">
        <v>352</v>
      </c>
      <c r="D31" s="234"/>
      <c r="E31" s="234"/>
      <c r="F31" s="234"/>
      <c r="G31" s="234"/>
      <c r="H31" s="234"/>
      <c r="I31" s="235"/>
      <c r="J31" s="85" t="s">
        <v>352</v>
      </c>
      <c r="K31" s="86"/>
      <c r="L31" s="86"/>
      <c r="M31" s="86"/>
      <c r="N31" s="86"/>
      <c r="O31" s="87"/>
      <c r="P31" s="88" t="s">
        <v>351</v>
      </c>
      <c r="Q31" s="86"/>
      <c r="R31" s="89"/>
      <c r="S31" s="89"/>
      <c r="T31" s="89"/>
      <c r="U31" s="89"/>
      <c r="V31" s="89"/>
      <c r="W31" s="89"/>
      <c r="X31" s="89"/>
      <c r="Y31" s="89"/>
      <c r="Z31" s="90"/>
      <c r="AA31" s="242">
        <f t="shared" si="0"/>
        <v>0</v>
      </c>
      <c r="AB31" s="243"/>
      <c r="AC31" s="243"/>
      <c r="AD31" s="244"/>
      <c r="AE31" s="242" t="str">
        <f t="shared" si="1"/>
        <v>0(0)</v>
      </c>
      <c r="AF31" s="243"/>
      <c r="AG31" s="243"/>
      <c r="AH31" s="244"/>
      <c r="AI31" s="242" t="str">
        <f t="shared" si="2"/>
        <v>0(0)</v>
      </c>
      <c r="AJ31" s="243"/>
      <c r="AK31" s="243"/>
      <c r="AL31" s="244"/>
      <c r="AM31" s="242" t="str">
        <f t="shared" si="3"/>
        <v>0(0)</v>
      </c>
      <c r="AN31" s="243"/>
      <c r="AO31" s="243"/>
      <c r="AP31" s="243"/>
      <c r="AQ31" s="269" t="str">
        <f t="shared" si="4"/>
        <v>0(0)</v>
      </c>
      <c r="AR31" s="270"/>
      <c r="AS31" s="270"/>
      <c r="AT31" s="271"/>
      <c r="AU31" s="243" t="e">
        <f t="shared" si="6"/>
        <v>#N/A</v>
      </c>
      <c r="AV31" s="243"/>
      <c r="AW31" s="243"/>
      <c r="AX31" s="244"/>
      <c r="AY31" s="242" t="e">
        <f t="shared" si="7"/>
        <v>#N/A</v>
      </c>
      <c r="AZ31" s="243"/>
      <c r="BA31" s="243"/>
      <c r="BB31" s="244"/>
      <c r="BC31" s="242" t="e">
        <f t="shared" si="8"/>
        <v>#N/A</v>
      </c>
      <c r="BD31" s="243"/>
      <c r="BE31" s="243"/>
      <c r="BF31" s="243"/>
      <c r="BI31" s="73" t="s">
        <v>844</v>
      </c>
      <c r="BJ31" s="73" t="s">
        <v>845</v>
      </c>
      <c r="BK31" s="73" t="s">
        <v>846</v>
      </c>
      <c r="BL31" s="73" t="str">
        <f t="shared" si="5"/>
        <v>{{S10_채널_26}}{{S10_고객경험단계_26}}{{S10_부서명_26}}</v>
      </c>
      <c r="BM31" s="73" t="s">
        <v>847</v>
      </c>
      <c r="BN31" s="73" t="s">
        <v>848</v>
      </c>
      <c r="BO31" s="73" t="s">
        <v>849</v>
      </c>
      <c r="BP31" s="73" t="s">
        <v>850</v>
      </c>
      <c r="BQ31" s="73" t="s">
        <v>851</v>
      </c>
      <c r="BR31" s="73" t="s">
        <v>852</v>
      </c>
      <c r="BS31" s="73" t="s">
        <v>853</v>
      </c>
      <c r="BT31" s="73" t="s">
        <v>854</v>
      </c>
      <c r="BU31" s="73" t="s">
        <v>855</v>
      </c>
    </row>
    <row r="32" spans="2:73" ht="15" customHeight="1" x14ac:dyDescent="0.3">
      <c r="B32" s="120" t="s">
        <v>365</v>
      </c>
      <c r="C32" s="120" t="s">
        <v>148</v>
      </c>
      <c r="D32" s="234"/>
      <c r="E32" s="234"/>
      <c r="F32" s="234"/>
      <c r="G32" s="234"/>
      <c r="H32" s="234"/>
      <c r="I32" s="235"/>
      <c r="J32" s="85" t="s">
        <v>148</v>
      </c>
      <c r="K32" s="86"/>
      <c r="L32" s="86"/>
      <c r="M32" s="86"/>
      <c r="N32" s="86"/>
      <c r="O32" s="87"/>
      <c r="P32" s="88" t="s">
        <v>351</v>
      </c>
      <c r="Q32" s="86"/>
      <c r="R32" s="89"/>
      <c r="S32" s="89"/>
      <c r="T32" s="89"/>
      <c r="U32" s="89"/>
      <c r="V32" s="89"/>
      <c r="W32" s="89"/>
      <c r="X32" s="89"/>
      <c r="Y32" s="89"/>
      <c r="Z32" s="90"/>
      <c r="AA32" s="242">
        <f t="shared" si="0"/>
        <v>0</v>
      </c>
      <c r="AB32" s="243"/>
      <c r="AC32" s="243"/>
      <c r="AD32" s="244"/>
      <c r="AE32" s="242" t="str">
        <f t="shared" si="1"/>
        <v>0(0)</v>
      </c>
      <c r="AF32" s="243"/>
      <c r="AG32" s="243"/>
      <c r="AH32" s="244"/>
      <c r="AI32" s="242" t="str">
        <f t="shared" si="2"/>
        <v>0(0)</v>
      </c>
      <c r="AJ32" s="243"/>
      <c r="AK32" s="243"/>
      <c r="AL32" s="244"/>
      <c r="AM32" s="242" t="str">
        <f t="shared" si="3"/>
        <v>0(0)</v>
      </c>
      <c r="AN32" s="243"/>
      <c r="AO32" s="243"/>
      <c r="AP32" s="243"/>
      <c r="AQ32" s="269" t="str">
        <f t="shared" si="4"/>
        <v>0(0)</v>
      </c>
      <c r="AR32" s="270"/>
      <c r="AS32" s="270"/>
      <c r="AT32" s="271"/>
      <c r="AU32" s="243" t="e">
        <f t="shared" si="6"/>
        <v>#N/A</v>
      </c>
      <c r="AV32" s="243"/>
      <c r="AW32" s="243"/>
      <c r="AX32" s="244"/>
      <c r="AY32" s="242" t="e">
        <f t="shared" si="7"/>
        <v>#N/A</v>
      </c>
      <c r="AZ32" s="243"/>
      <c r="BA32" s="243"/>
      <c r="BB32" s="244"/>
      <c r="BC32" s="242" t="e">
        <f t="shared" si="8"/>
        <v>#N/A</v>
      </c>
      <c r="BD32" s="243"/>
      <c r="BE32" s="243"/>
      <c r="BF32" s="243"/>
      <c r="BI32" s="73" t="s">
        <v>856</v>
      </c>
      <c r="BJ32" s="73" t="s">
        <v>857</v>
      </c>
      <c r="BK32" s="73" t="s">
        <v>858</v>
      </c>
      <c r="BL32" s="73" t="str">
        <f t="shared" si="5"/>
        <v>{{S10_채널_27}}{{S10_고객경험단계_27}}{{S10_부서명_27}}</v>
      </c>
      <c r="BM32" s="73" t="s">
        <v>859</v>
      </c>
      <c r="BN32" s="73" t="s">
        <v>860</v>
      </c>
      <c r="BO32" s="73" t="s">
        <v>861</v>
      </c>
      <c r="BP32" s="73" t="s">
        <v>862</v>
      </c>
      <c r="BQ32" s="73" t="s">
        <v>863</v>
      </c>
      <c r="BR32" s="73" t="s">
        <v>864</v>
      </c>
      <c r="BS32" s="73" t="s">
        <v>865</v>
      </c>
      <c r="BT32" s="73" t="s">
        <v>866</v>
      </c>
      <c r="BU32" s="73" t="s">
        <v>867</v>
      </c>
    </row>
    <row r="33" spans="2:73" ht="15" customHeight="1" x14ac:dyDescent="0.3">
      <c r="B33" s="120" t="s">
        <v>365</v>
      </c>
      <c r="C33" s="120" t="s">
        <v>183</v>
      </c>
      <c r="D33" s="234"/>
      <c r="E33" s="234"/>
      <c r="F33" s="234"/>
      <c r="G33" s="234"/>
      <c r="H33" s="234"/>
      <c r="I33" s="235"/>
      <c r="J33" s="85" t="s">
        <v>183</v>
      </c>
      <c r="K33" s="86"/>
      <c r="L33" s="86"/>
      <c r="M33" s="86"/>
      <c r="N33" s="86"/>
      <c r="O33" s="87"/>
      <c r="P33" s="88" t="s">
        <v>351</v>
      </c>
      <c r="Q33" s="86"/>
      <c r="R33" s="89"/>
      <c r="S33" s="89"/>
      <c r="T33" s="89"/>
      <c r="U33" s="89"/>
      <c r="V33" s="89"/>
      <c r="W33" s="89"/>
      <c r="X33" s="89"/>
      <c r="Y33" s="89"/>
      <c r="Z33" s="90"/>
      <c r="AA33" s="242">
        <f t="shared" si="0"/>
        <v>0</v>
      </c>
      <c r="AB33" s="243"/>
      <c r="AC33" s="243"/>
      <c r="AD33" s="244"/>
      <c r="AE33" s="242" t="str">
        <f t="shared" si="1"/>
        <v>0(0)</v>
      </c>
      <c r="AF33" s="243"/>
      <c r="AG33" s="243"/>
      <c r="AH33" s="244"/>
      <c r="AI33" s="242" t="str">
        <f t="shared" si="2"/>
        <v>0(0)</v>
      </c>
      <c r="AJ33" s="243"/>
      <c r="AK33" s="243"/>
      <c r="AL33" s="244"/>
      <c r="AM33" s="242" t="str">
        <f t="shared" si="3"/>
        <v>0(0)</v>
      </c>
      <c r="AN33" s="243"/>
      <c r="AO33" s="243"/>
      <c r="AP33" s="243"/>
      <c r="AQ33" s="269" t="str">
        <f t="shared" si="4"/>
        <v>0(0)</v>
      </c>
      <c r="AR33" s="270"/>
      <c r="AS33" s="270"/>
      <c r="AT33" s="271"/>
      <c r="AU33" s="243" t="e">
        <f t="shared" si="6"/>
        <v>#N/A</v>
      </c>
      <c r="AV33" s="243"/>
      <c r="AW33" s="243"/>
      <c r="AX33" s="244"/>
      <c r="AY33" s="242" t="e">
        <f t="shared" si="7"/>
        <v>#N/A</v>
      </c>
      <c r="AZ33" s="243"/>
      <c r="BA33" s="243"/>
      <c r="BB33" s="244"/>
      <c r="BC33" s="242" t="e">
        <f t="shared" si="8"/>
        <v>#N/A</v>
      </c>
      <c r="BD33" s="243"/>
      <c r="BE33" s="243"/>
      <c r="BF33" s="243"/>
      <c r="BI33" s="73" t="s">
        <v>868</v>
      </c>
      <c r="BJ33" s="73" t="s">
        <v>869</v>
      </c>
      <c r="BK33" s="73" t="s">
        <v>870</v>
      </c>
      <c r="BL33" s="73" t="str">
        <f t="shared" si="5"/>
        <v>{{S10_채널_28}}{{S10_고객경험단계_28}}{{S10_부서명_28}}</v>
      </c>
      <c r="BM33" s="73" t="s">
        <v>871</v>
      </c>
      <c r="BN33" s="73" t="s">
        <v>872</v>
      </c>
      <c r="BO33" s="73" t="s">
        <v>873</v>
      </c>
      <c r="BP33" s="73" t="s">
        <v>874</v>
      </c>
      <c r="BQ33" s="73" t="s">
        <v>875</v>
      </c>
      <c r="BR33" s="73" t="s">
        <v>876</v>
      </c>
      <c r="BS33" s="73" t="s">
        <v>877</v>
      </c>
      <c r="BT33" s="73" t="s">
        <v>878</v>
      </c>
      <c r="BU33" s="73" t="s">
        <v>879</v>
      </c>
    </row>
    <row r="34" spans="2:73" ht="15" customHeight="1" x14ac:dyDescent="0.3">
      <c r="B34" s="120" t="s">
        <v>365</v>
      </c>
      <c r="C34" s="120" t="s">
        <v>184</v>
      </c>
      <c r="D34" s="234"/>
      <c r="E34" s="234"/>
      <c r="F34" s="234"/>
      <c r="G34" s="234"/>
      <c r="H34" s="234"/>
      <c r="I34" s="235"/>
      <c r="J34" s="85" t="s">
        <v>184</v>
      </c>
      <c r="K34" s="86"/>
      <c r="L34" s="86"/>
      <c r="M34" s="86"/>
      <c r="N34" s="86"/>
      <c r="O34" s="87"/>
      <c r="P34" s="88" t="s">
        <v>351</v>
      </c>
      <c r="Q34" s="86"/>
      <c r="R34" s="89"/>
      <c r="S34" s="89"/>
      <c r="T34" s="89"/>
      <c r="U34" s="89"/>
      <c r="V34" s="89"/>
      <c r="W34" s="89"/>
      <c r="X34" s="89"/>
      <c r="Y34" s="89"/>
      <c r="Z34" s="90"/>
      <c r="AA34" s="242">
        <f t="shared" si="0"/>
        <v>0</v>
      </c>
      <c r="AB34" s="243"/>
      <c r="AC34" s="243"/>
      <c r="AD34" s="244"/>
      <c r="AE34" s="242" t="str">
        <f t="shared" si="1"/>
        <v>0(0)</v>
      </c>
      <c r="AF34" s="243"/>
      <c r="AG34" s="243"/>
      <c r="AH34" s="244"/>
      <c r="AI34" s="242" t="str">
        <f t="shared" si="2"/>
        <v>0(0)</v>
      </c>
      <c r="AJ34" s="243"/>
      <c r="AK34" s="243"/>
      <c r="AL34" s="244"/>
      <c r="AM34" s="242" t="str">
        <f t="shared" si="3"/>
        <v>0(0)</v>
      </c>
      <c r="AN34" s="243"/>
      <c r="AO34" s="243"/>
      <c r="AP34" s="243"/>
      <c r="AQ34" s="269" t="str">
        <f t="shared" si="4"/>
        <v>0(0)</v>
      </c>
      <c r="AR34" s="270"/>
      <c r="AS34" s="270"/>
      <c r="AT34" s="271"/>
      <c r="AU34" s="243" t="e">
        <f t="shared" si="6"/>
        <v>#N/A</v>
      </c>
      <c r="AV34" s="243"/>
      <c r="AW34" s="243"/>
      <c r="AX34" s="244"/>
      <c r="AY34" s="242" t="e">
        <f t="shared" si="7"/>
        <v>#N/A</v>
      </c>
      <c r="AZ34" s="243"/>
      <c r="BA34" s="243"/>
      <c r="BB34" s="244"/>
      <c r="BC34" s="242" t="e">
        <f t="shared" si="8"/>
        <v>#N/A</v>
      </c>
      <c r="BD34" s="243"/>
      <c r="BE34" s="243"/>
      <c r="BF34" s="243"/>
      <c r="BI34" s="73" t="s">
        <v>880</v>
      </c>
      <c r="BJ34" s="73" t="s">
        <v>881</v>
      </c>
      <c r="BK34" s="73" t="s">
        <v>882</v>
      </c>
      <c r="BL34" s="73" t="str">
        <f t="shared" si="5"/>
        <v>{{S10_채널_29}}{{S10_고객경험단계_29}}{{S10_부서명_29}}</v>
      </c>
      <c r="BM34" s="73" t="s">
        <v>883</v>
      </c>
      <c r="BN34" s="73" t="s">
        <v>884</v>
      </c>
      <c r="BO34" s="73" t="s">
        <v>885</v>
      </c>
      <c r="BP34" s="73" t="s">
        <v>886</v>
      </c>
      <c r="BQ34" s="73" t="s">
        <v>887</v>
      </c>
      <c r="BR34" s="73" t="s">
        <v>888</v>
      </c>
      <c r="BS34" s="73" t="s">
        <v>889</v>
      </c>
      <c r="BT34" s="73" t="s">
        <v>890</v>
      </c>
      <c r="BU34" s="73" t="s">
        <v>891</v>
      </c>
    </row>
    <row r="35" spans="2:73" ht="15" customHeight="1" x14ac:dyDescent="0.3">
      <c r="B35" s="120" t="s">
        <v>365</v>
      </c>
      <c r="C35" s="120" t="s">
        <v>152</v>
      </c>
      <c r="D35" s="236"/>
      <c r="E35" s="236"/>
      <c r="F35" s="236"/>
      <c r="G35" s="236"/>
      <c r="H35" s="236"/>
      <c r="I35" s="237"/>
      <c r="J35" s="85" t="s">
        <v>152</v>
      </c>
      <c r="K35" s="86"/>
      <c r="L35" s="86"/>
      <c r="M35" s="86"/>
      <c r="N35" s="86"/>
      <c r="O35" s="87"/>
      <c r="P35" s="88" t="s">
        <v>353</v>
      </c>
      <c r="Q35" s="86"/>
      <c r="R35" s="89"/>
      <c r="S35" s="89"/>
      <c r="T35" s="89"/>
      <c r="U35" s="89"/>
      <c r="V35" s="89"/>
      <c r="W35" s="89"/>
      <c r="X35" s="89"/>
      <c r="Y35" s="89"/>
      <c r="Z35" s="90"/>
      <c r="AA35" s="242">
        <f t="shared" si="0"/>
        <v>0</v>
      </c>
      <c r="AB35" s="243"/>
      <c r="AC35" s="243"/>
      <c r="AD35" s="244"/>
      <c r="AE35" s="242" t="str">
        <f t="shared" si="1"/>
        <v>0(0)</v>
      </c>
      <c r="AF35" s="243"/>
      <c r="AG35" s="243"/>
      <c r="AH35" s="244"/>
      <c r="AI35" s="242" t="str">
        <f t="shared" si="2"/>
        <v>0(0)</v>
      </c>
      <c r="AJ35" s="243"/>
      <c r="AK35" s="243"/>
      <c r="AL35" s="244"/>
      <c r="AM35" s="242" t="str">
        <f t="shared" si="3"/>
        <v>0(0)</v>
      </c>
      <c r="AN35" s="243"/>
      <c r="AO35" s="243"/>
      <c r="AP35" s="243"/>
      <c r="AQ35" s="269" t="str">
        <f t="shared" si="4"/>
        <v>0(0)</v>
      </c>
      <c r="AR35" s="270"/>
      <c r="AS35" s="270"/>
      <c r="AT35" s="271"/>
      <c r="AU35" s="243" t="e">
        <f t="shared" si="6"/>
        <v>#N/A</v>
      </c>
      <c r="AV35" s="243"/>
      <c r="AW35" s="243"/>
      <c r="AX35" s="244"/>
      <c r="AY35" s="242" t="e">
        <f t="shared" si="7"/>
        <v>#N/A</v>
      </c>
      <c r="AZ35" s="243"/>
      <c r="BA35" s="243"/>
      <c r="BB35" s="244"/>
      <c r="BC35" s="242" t="e">
        <f t="shared" si="8"/>
        <v>#N/A</v>
      </c>
      <c r="BD35" s="243"/>
      <c r="BE35" s="243"/>
      <c r="BF35" s="243"/>
      <c r="BI35" s="73" t="s">
        <v>892</v>
      </c>
      <c r="BJ35" s="73" t="s">
        <v>893</v>
      </c>
      <c r="BK35" s="73" t="s">
        <v>894</v>
      </c>
      <c r="BL35" s="73" t="str">
        <f t="shared" si="5"/>
        <v>{{S10_채널_30}}{{S10_고객경험단계_30}}{{S10_부서명_30}}</v>
      </c>
      <c r="BM35" s="73" t="s">
        <v>895</v>
      </c>
      <c r="BN35" s="73" t="s">
        <v>896</v>
      </c>
      <c r="BO35" s="73" t="s">
        <v>897</v>
      </c>
      <c r="BP35" s="73" t="s">
        <v>898</v>
      </c>
      <c r="BQ35" s="73" t="s">
        <v>899</v>
      </c>
      <c r="BR35" s="73" t="s">
        <v>900</v>
      </c>
      <c r="BS35" s="73" t="s">
        <v>901</v>
      </c>
      <c r="BT35" s="73" t="s">
        <v>902</v>
      </c>
      <c r="BU35" s="73" t="s">
        <v>903</v>
      </c>
    </row>
    <row r="36" spans="2:73" ht="15" customHeight="1" x14ac:dyDescent="0.3">
      <c r="B36" s="120" t="s">
        <v>366</v>
      </c>
      <c r="C36" s="120" t="s">
        <v>1081</v>
      </c>
      <c r="D36" s="232" t="s">
        <v>366</v>
      </c>
      <c r="E36" s="232"/>
      <c r="F36" s="232"/>
      <c r="G36" s="232"/>
      <c r="H36" s="232"/>
      <c r="I36" s="233"/>
      <c r="J36" s="91" t="s">
        <v>328</v>
      </c>
      <c r="K36" s="92"/>
      <c r="L36" s="92"/>
      <c r="M36" s="92"/>
      <c r="N36" s="92"/>
      <c r="O36" s="93"/>
      <c r="P36" s="94"/>
      <c r="Q36" s="92"/>
      <c r="R36" s="95"/>
      <c r="S36" s="95"/>
      <c r="T36" s="95"/>
      <c r="U36" s="95"/>
      <c r="V36" s="95"/>
      <c r="W36" s="95"/>
      <c r="X36" s="95"/>
      <c r="Y36" s="95"/>
      <c r="Z36" s="96"/>
      <c r="AA36" s="272">
        <f t="shared" si="0"/>
        <v>0</v>
      </c>
      <c r="AB36" s="273"/>
      <c r="AC36" s="273"/>
      <c r="AD36" s="274"/>
      <c r="AE36" s="272" t="str">
        <f t="shared" si="1"/>
        <v>0(0)</v>
      </c>
      <c r="AF36" s="273"/>
      <c r="AG36" s="273"/>
      <c r="AH36" s="274"/>
      <c r="AI36" s="272" t="str">
        <f t="shared" si="2"/>
        <v>0(0)</v>
      </c>
      <c r="AJ36" s="273"/>
      <c r="AK36" s="273"/>
      <c r="AL36" s="274"/>
      <c r="AM36" s="272" t="str">
        <f t="shared" si="3"/>
        <v>0(0)</v>
      </c>
      <c r="AN36" s="273"/>
      <c r="AO36" s="273"/>
      <c r="AP36" s="274"/>
      <c r="AQ36" s="266" t="str">
        <f t="shared" si="4"/>
        <v>0(0)</v>
      </c>
      <c r="AR36" s="267"/>
      <c r="AS36" s="267"/>
      <c r="AT36" s="268"/>
      <c r="AU36" s="272" t="s">
        <v>1382</v>
      </c>
      <c r="AV36" s="273"/>
      <c r="AW36" s="273"/>
      <c r="AX36" s="274"/>
      <c r="AY36" s="272" t="s">
        <v>1433</v>
      </c>
      <c r="AZ36" s="273"/>
      <c r="BA36" s="273"/>
      <c r="BB36" s="274"/>
      <c r="BC36" s="272" t="s">
        <v>1434</v>
      </c>
      <c r="BD36" s="273"/>
      <c r="BE36" s="273"/>
      <c r="BF36" s="273"/>
      <c r="BI36" s="73" t="s">
        <v>904</v>
      </c>
      <c r="BJ36" s="73" t="s">
        <v>905</v>
      </c>
      <c r="BK36" s="73" t="s">
        <v>906</v>
      </c>
      <c r="BL36" s="73" t="str">
        <f t="shared" si="5"/>
        <v>{{S10_채널_31}}{{S10_고객경험단계_31}}{{S10_부서명_31}}</v>
      </c>
      <c r="BM36" s="73" t="s">
        <v>907</v>
      </c>
      <c r="BN36" s="73" t="s">
        <v>908</v>
      </c>
      <c r="BO36" s="73" t="s">
        <v>909</v>
      </c>
      <c r="BP36" s="73" t="s">
        <v>910</v>
      </c>
      <c r="BQ36" s="73" t="s">
        <v>911</v>
      </c>
      <c r="BR36" s="73" t="s">
        <v>912</v>
      </c>
      <c r="BS36" s="73" t="s">
        <v>913</v>
      </c>
      <c r="BT36" s="73" t="s">
        <v>914</v>
      </c>
      <c r="BU36" s="73" t="s">
        <v>915</v>
      </c>
    </row>
    <row r="37" spans="2:73" ht="15" customHeight="1" x14ac:dyDescent="0.3">
      <c r="B37" s="120" t="s">
        <v>366</v>
      </c>
      <c r="C37" s="120" t="s">
        <v>354</v>
      </c>
      <c r="D37" s="234"/>
      <c r="E37" s="234"/>
      <c r="F37" s="234"/>
      <c r="G37" s="234"/>
      <c r="H37" s="234"/>
      <c r="I37" s="235"/>
      <c r="J37" s="85" t="s">
        <v>354</v>
      </c>
      <c r="K37" s="86"/>
      <c r="L37" s="86"/>
      <c r="M37" s="86"/>
      <c r="N37" s="86"/>
      <c r="O37" s="87"/>
      <c r="P37" s="88" t="s">
        <v>341</v>
      </c>
      <c r="Q37" s="86"/>
      <c r="R37" s="89"/>
      <c r="S37" s="89"/>
      <c r="T37" s="89"/>
      <c r="U37" s="89"/>
      <c r="V37" s="89"/>
      <c r="W37" s="89"/>
      <c r="X37" s="89"/>
      <c r="Y37" s="89"/>
      <c r="Z37" s="90"/>
      <c r="AA37" s="242">
        <f t="shared" si="0"/>
        <v>0</v>
      </c>
      <c r="AB37" s="243"/>
      <c r="AC37" s="243"/>
      <c r="AD37" s="244"/>
      <c r="AE37" s="242" t="str">
        <f t="shared" si="1"/>
        <v>0(0)</v>
      </c>
      <c r="AF37" s="243"/>
      <c r="AG37" s="243"/>
      <c r="AH37" s="244"/>
      <c r="AI37" s="242" t="str">
        <f t="shared" si="2"/>
        <v>0(0)</v>
      </c>
      <c r="AJ37" s="243"/>
      <c r="AK37" s="243"/>
      <c r="AL37" s="244"/>
      <c r="AM37" s="242" t="str">
        <f t="shared" si="3"/>
        <v>0(0)</v>
      </c>
      <c r="AN37" s="243"/>
      <c r="AO37" s="243"/>
      <c r="AP37" s="244"/>
      <c r="AQ37" s="266" t="str">
        <f t="shared" si="4"/>
        <v>0(0)</v>
      </c>
      <c r="AR37" s="267"/>
      <c r="AS37" s="267"/>
      <c r="AT37" s="268"/>
      <c r="AU37" s="242" t="e">
        <f>VLOOKUP($D$36&amp;$J37, $BK$68:$BN$107, 2, 0)</f>
        <v>#N/A</v>
      </c>
      <c r="AV37" s="243"/>
      <c r="AW37" s="243"/>
      <c r="AX37" s="244"/>
      <c r="AY37" s="242" t="e">
        <f>VLOOKUP($D$36&amp;$J37, $BK$68:$BN$107, 3, 0)</f>
        <v>#N/A</v>
      </c>
      <c r="AZ37" s="243"/>
      <c r="BA37" s="243"/>
      <c r="BB37" s="244"/>
      <c r="BC37" s="242" t="e">
        <f>VLOOKUP($D$36&amp;$J37, $BK$68:$BN$107, 4, 0)</f>
        <v>#N/A</v>
      </c>
      <c r="BD37" s="243"/>
      <c r="BE37" s="243"/>
      <c r="BF37" s="243"/>
      <c r="BI37" s="73" t="s">
        <v>916</v>
      </c>
      <c r="BJ37" s="73" t="s">
        <v>917</v>
      </c>
      <c r="BK37" s="73" t="s">
        <v>918</v>
      </c>
      <c r="BL37" s="73" t="str">
        <f t="shared" si="5"/>
        <v>{{S10_채널_32}}{{S10_고객경험단계_32}}{{S10_부서명_32}}</v>
      </c>
      <c r="BM37" s="73" t="s">
        <v>919</v>
      </c>
      <c r="BN37" s="73" t="s">
        <v>920</v>
      </c>
      <c r="BO37" s="73" t="s">
        <v>921</v>
      </c>
      <c r="BP37" s="73" t="s">
        <v>922</v>
      </c>
      <c r="BQ37" s="73" t="s">
        <v>923</v>
      </c>
      <c r="BR37" s="73" t="s">
        <v>924</v>
      </c>
      <c r="BS37" s="73" t="s">
        <v>925</v>
      </c>
      <c r="BT37" s="73" t="s">
        <v>926</v>
      </c>
      <c r="BU37" s="73" t="s">
        <v>927</v>
      </c>
    </row>
    <row r="38" spans="2:73" ht="15" customHeight="1" x14ac:dyDescent="0.3">
      <c r="B38" s="120" t="s">
        <v>366</v>
      </c>
      <c r="C38" s="120" t="s">
        <v>355</v>
      </c>
      <c r="D38" s="234"/>
      <c r="E38" s="234"/>
      <c r="F38" s="234"/>
      <c r="G38" s="234"/>
      <c r="H38" s="234"/>
      <c r="I38" s="235"/>
      <c r="J38" s="85" t="s">
        <v>355</v>
      </c>
      <c r="K38" s="86"/>
      <c r="L38" s="86"/>
      <c r="M38" s="86"/>
      <c r="N38" s="86"/>
      <c r="O38" s="87"/>
      <c r="P38" s="88" t="s">
        <v>340</v>
      </c>
      <c r="Q38" s="86"/>
      <c r="R38" s="89"/>
      <c r="S38" s="89"/>
      <c r="T38" s="89"/>
      <c r="U38" s="89"/>
      <c r="V38" s="89"/>
      <c r="W38" s="89"/>
      <c r="X38" s="89"/>
      <c r="Y38" s="89"/>
      <c r="Z38" s="90"/>
      <c r="AA38" s="242">
        <f t="shared" si="0"/>
        <v>0</v>
      </c>
      <c r="AB38" s="243"/>
      <c r="AC38" s="243"/>
      <c r="AD38" s="244"/>
      <c r="AE38" s="242" t="str">
        <f t="shared" si="1"/>
        <v>0(0)</v>
      </c>
      <c r="AF38" s="243"/>
      <c r="AG38" s="243"/>
      <c r="AH38" s="244"/>
      <c r="AI38" s="242" t="str">
        <f t="shared" si="2"/>
        <v>0(0)</v>
      </c>
      <c r="AJ38" s="243"/>
      <c r="AK38" s="243"/>
      <c r="AL38" s="244"/>
      <c r="AM38" s="242" t="str">
        <f t="shared" si="3"/>
        <v>0(0)</v>
      </c>
      <c r="AN38" s="243"/>
      <c r="AO38" s="243"/>
      <c r="AP38" s="244"/>
      <c r="AQ38" s="266" t="str">
        <f t="shared" si="4"/>
        <v>0(0)</v>
      </c>
      <c r="AR38" s="267"/>
      <c r="AS38" s="267"/>
      <c r="AT38" s="268"/>
      <c r="AU38" s="242" t="e">
        <f>VLOOKUP($D$36&amp;$J38, $BK$68:$BN$107, 2, 0)</f>
        <v>#N/A</v>
      </c>
      <c r="AV38" s="243"/>
      <c r="AW38" s="243"/>
      <c r="AX38" s="244"/>
      <c r="AY38" s="242" t="e">
        <f>VLOOKUP($D$36&amp;$J38, $BK$68:$BN$107, 3, 0)</f>
        <v>#N/A</v>
      </c>
      <c r="AZ38" s="243"/>
      <c r="BA38" s="243"/>
      <c r="BB38" s="244"/>
      <c r="BC38" s="242" t="e">
        <f>VLOOKUP($D$36&amp;$J38, $BK$68:$BN$107, 4, 0)</f>
        <v>#N/A</v>
      </c>
      <c r="BD38" s="243"/>
      <c r="BE38" s="243"/>
      <c r="BF38" s="243"/>
      <c r="BI38" s="73" t="s">
        <v>928</v>
      </c>
      <c r="BJ38" s="73" t="s">
        <v>929</v>
      </c>
      <c r="BK38" s="73" t="s">
        <v>930</v>
      </c>
      <c r="BL38" s="73" t="str">
        <f t="shared" si="5"/>
        <v>{{S10_채널_33}}{{S10_고객경험단계_33}}{{S10_부서명_33}}</v>
      </c>
      <c r="BM38" s="73" t="s">
        <v>931</v>
      </c>
      <c r="BN38" s="73" t="s">
        <v>932</v>
      </c>
      <c r="BO38" s="73" t="s">
        <v>933</v>
      </c>
      <c r="BP38" s="73" t="s">
        <v>934</v>
      </c>
      <c r="BQ38" s="73" t="s">
        <v>935</v>
      </c>
      <c r="BR38" s="73" t="s">
        <v>936</v>
      </c>
      <c r="BS38" s="73" t="s">
        <v>937</v>
      </c>
      <c r="BT38" s="73" t="s">
        <v>938</v>
      </c>
      <c r="BU38" s="73" t="s">
        <v>939</v>
      </c>
    </row>
    <row r="39" spans="2:73" ht="15" customHeight="1" x14ac:dyDescent="0.3">
      <c r="B39" s="120" t="s">
        <v>366</v>
      </c>
      <c r="C39" s="120" t="s">
        <v>356</v>
      </c>
      <c r="D39" s="234"/>
      <c r="E39" s="234"/>
      <c r="F39" s="234"/>
      <c r="G39" s="234"/>
      <c r="H39" s="234"/>
      <c r="I39" s="235"/>
      <c r="J39" s="85" t="s">
        <v>356</v>
      </c>
      <c r="K39" s="86"/>
      <c r="L39" s="86"/>
      <c r="M39" s="86"/>
      <c r="N39" s="86"/>
      <c r="O39" s="87"/>
      <c r="P39" s="88" t="s">
        <v>357</v>
      </c>
      <c r="Q39" s="86"/>
      <c r="R39" s="89"/>
      <c r="S39" s="89"/>
      <c r="T39" s="89"/>
      <c r="U39" s="89"/>
      <c r="V39" s="89"/>
      <c r="W39" s="89"/>
      <c r="X39" s="89"/>
      <c r="Y39" s="89"/>
      <c r="Z39" s="90"/>
      <c r="AA39" s="242">
        <f t="shared" si="0"/>
        <v>0</v>
      </c>
      <c r="AB39" s="243"/>
      <c r="AC39" s="243"/>
      <c r="AD39" s="244"/>
      <c r="AE39" s="242" t="str">
        <f t="shared" si="1"/>
        <v>0(0)</v>
      </c>
      <c r="AF39" s="243"/>
      <c r="AG39" s="243"/>
      <c r="AH39" s="244"/>
      <c r="AI39" s="242" t="str">
        <f t="shared" si="2"/>
        <v>0(0)</v>
      </c>
      <c r="AJ39" s="243"/>
      <c r="AK39" s="243"/>
      <c r="AL39" s="244"/>
      <c r="AM39" s="242" t="str">
        <f t="shared" si="3"/>
        <v>0(0)</v>
      </c>
      <c r="AN39" s="243"/>
      <c r="AO39" s="243"/>
      <c r="AP39" s="244"/>
      <c r="AQ39" s="266" t="str">
        <f t="shared" si="4"/>
        <v>0(0)</v>
      </c>
      <c r="AR39" s="267"/>
      <c r="AS39" s="267"/>
      <c r="AT39" s="268"/>
      <c r="AU39" s="242" t="e">
        <f>VLOOKUP($D$36&amp;$J39, $BK$68:$BN$107, 2, 0)</f>
        <v>#N/A</v>
      </c>
      <c r="AV39" s="243"/>
      <c r="AW39" s="243"/>
      <c r="AX39" s="244"/>
      <c r="AY39" s="242" t="e">
        <f>VLOOKUP($D$36&amp;$J39, $BK$68:$BN$107, 3, 0)</f>
        <v>#N/A</v>
      </c>
      <c r="AZ39" s="243"/>
      <c r="BA39" s="243"/>
      <c r="BB39" s="244"/>
      <c r="BC39" s="242" t="e">
        <f>VLOOKUP($D$36&amp;$J39, $BK$68:$BN$107, 4, 0)</f>
        <v>#N/A</v>
      </c>
      <c r="BD39" s="243"/>
      <c r="BE39" s="243"/>
      <c r="BF39" s="243"/>
      <c r="BI39" s="73" t="s">
        <v>940</v>
      </c>
      <c r="BJ39" s="73" t="s">
        <v>941</v>
      </c>
      <c r="BK39" s="73" t="s">
        <v>942</v>
      </c>
      <c r="BL39" s="73" t="str">
        <f t="shared" si="5"/>
        <v>{{S10_채널_34}}{{S10_고객경험단계_34}}{{S10_부서명_34}}</v>
      </c>
      <c r="BM39" s="73" t="s">
        <v>943</v>
      </c>
      <c r="BN39" s="73" t="s">
        <v>944</v>
      </c>
      <c r="BO39" s="73" t="s">
        <v>945</v>
      </c>
      <c r="BP39" s="73" t="s">
        <v>946</v>
      </c>
      <c r="BQ39" s="73" t="s">
        <v>947</v>
      </c>
      <c r="BR39" s="73" t="s">
        <v>948</v>
      </c>
      <c r="BS39" s="73" t="s">
        <v>949</v>
      </c>
      <c r="BT39" s="73" t="s">
        <v>950</v>
      </c>
      <c r="BU39" s="73" t="s">
        <v>951</v>
      </c>
    </row>
    <row r="40" spans="2:73" ht="15" customHeight="1" x14ac:dyDescent="0.3">
      <c r="B40" s="120" t="s">
        <v>366</v>
      </c>
      <c r="C40" s="120" t="s">
        <v>358</v>
      </c>
      <c r="D40" s="234"/>
      <c r="E40" s="234"/>
      <c r="F40" s="234"/>
      <c r="G40" s="234"/>
      <c r="H40" s="234"/>
      <c r="I40" s="235"/>
      <c r="J40" s="85" t="s">
        <v>358</v>
      </c>
      <c r="K40" s="86"/>
      <c r="L40" s="86"/>
      <c r="M40" s="86"/>
      <c r="N40" s="86"/>
      <c r="O40" s="87"/>
      <c r="P40" s="88" t="s">
        <v>359</v>
      </c>
      <c r="Q40" s="86"/>
      <c r="R40" s="89"/>
      <c r="S40" s="89"/>
      <c r="T40" s="89"/>
      <c r="U40" s="89"/>
      <c r="V40" s="89"/>
      <c r="W40" s="89"/>
      <c r="X40" s="89"/>
      <c r="Y40" s="89"/>
      <c r="Z40" s="90"/>
      <c r="AA40" s="242">
        <f>IFERROR(VLOOKUP(B40&amp;C40&amp;P40, $BL$6:$BU$65, 2, 0), 0)</f>
        <v>0</v>
      </c>
      <c r="AB40" s="243"/>
      <c r="AC40" s="243"/>
      <c r="AD40" s="244"/>
      <c r="AE40" s="242" t="str">
        <f t="shared" si="1"/>
        <v>0(0)</v>
      </c>
      <c r="AF40" s="243"/>
      <c r="AG40" s="243"/>
      <c r="AH40" s="244"/>
      <c r="AI40" s="242" t="str">
        <f t="shared" si="2"/>
        <v>0(0)</v>
      </c>
      <c r="AJ40" s="243"/>
      <c r="AK40" s="243"/>
      <c r="AL40" s="244"/>
      <c r="AM40" s="242" t="str">
        <f t="shared" si="3"/>
        <v>0(0)</v>
      </c>
      <c r="AN40" s="243"/>
      <c r="AO40" s="243"/>
      <c r="AP40" s="244"/>
      <c r="AQ40" s="260" t="str">
        <f t="shared" si="4"/>
        <v>0(0)</v>
      </c>
      <c r="AR40" s="261"/>
      <c r="AS40" s="261"/>
      <c r="AT40" s="262"/>
      <c r="AU40" s="242" t="e">
        <f>VLOOKUP($D$36&amp;$J40, $BK$68:$BN$107, 2, 0)</f>
        <v>#N/A</v>
      </c>
      <c r="AV40" s="243"/>
      <c r="AW40" s="243"/>
      <c r="AX40" s="244"/>
      <c r="AY40" s="242" t="e">
        <f>VLOOKUP($D$36&amp;$J40, $BK$68:$BN$107, 3, 0)</f>
        <v>#N/A</v>
      </c>
      <c r="AZ40" s="243"/>
      <c r="BA40" s="243"/>
      <c r="BB40" s="244"/>
      <c r="BC40" s="242" t="e">
        <f>VLOOKUP($D$36&amp;$J40, $BK$68:$BN$107, 4, 0)</f>
        <v>#N/A</v>
      </c>
      <c r="BD40" s="243"/>
      <c r="BE40" s="243"/>
      <c r="BF40" s="243"/>
      <c r="BI40" s="73" t="s">
        <v>952</v>
      </c>
      <c r="BJ40" s="73" t="s">
        <v>953</v>
      </c>
      <c r="BK40" s="73" t="s">
        <v>954</v>
      </c>
      <c r="BL40" s="73" t="str">
        <f t="shared" si="5"/>
        <v>{{S10_채널_35}}{{S10_고객경험단계_35}}{{S10_부서명_35}}</v>
      </c>
      <c r="BM40" s="73" t="s">
        <v>955</v>
      </c>
      <c r="BN40" s="73" t="s">
        <v>956</v>
      </c>
      <c r="BO40" s="73" t="s">
        <v>957</v>
      </c>
      <c r="BP40" s="73" t="s">
        <v>958</v>
      </c>
      <c r="BQ40" s="73" t="s">
        <v>959</v>
      </c>
      <c r="BR40" s="73" t="s">
        <v>960</v>
      </c>
      <c r="BS40" s="73" t="s">
        <v>961</v>
      </c>
      <c r="BT40" s="73" t="s">
        <v>962</v>
      </c>
      <c r="BU40" s="73" t="s">
        <v>963</v>
      </c>
    </row>
    <row r="41" spans="2:73" ht="15" customHeight="1" x14ac:dyDescent="0.3">
      <c r="B41" s="120" t="s">
        <v>366</v>
      </c>
      <c r="C41" s="120" t="s">
        <v>360</v>
      </c>
      <c r="D41" s="234"/>
      <c r="E41" s="234"/>
      <c r="F41" s="234"/>
      <c r="G41" s="234"/>
      <c r="H41" s="234"/>
      <c r="I41" s="235"/>
      <c r="J41" s="251" t="s">
        <v>360</v>
      </c>
      <c r="K41" s="252"/>
      <c r="L41" s="252"/>
      <c r="M41" s="252"/>
      <c r="N41" s="252"/>
      <c r="O41" s="253"/>
      <c r="P41" s="97" t="s">
        <v>342</v>
      </c>
      <c r="Q41" s="98"/>
      <c r="R41" s="99"/>
      <c r="S41" s="99"/>
      <c r="T41" s="99"/>
      <c r="U41" s="99"/>
      <c r="V41" s="99"/>
      <c r="W41" s="99"/>
      <c r="X41" s="99"/>
      <c r="Y41" s="99"/>
      <c r="Z41" s="100"/>
      <c r="AA41" s="263">
        <f t="shared" ref="AA41:AA42" si="9">IFERROR(VLOOKUP(B41&amp;C41&amp;P41, $BL$6:$BU$65, 2, 0), 0)</f>
        <v>0</v>
      </c>
      <c r="AB41" s="264"/>
      <c r="AC41" s="264"/>
      <c r="AD41" s="265"/>
      <c r="AE41" s="263" t="str">
        <f t="shared" si="1"/>
        <v>0(0)</v>
      </c>
      <c r="AF41" s="264"/>
      <c r="AG41" s="264"/>
      <c r="AH41" s="265"/>
      <c r="AI41" s="263" t="str">
        <f t="shared" si="2"/>
        <v>0(0)</v>
      </c>
      <c r="AJ41" s="264"/>
      <c r="AK41" s="264"/>
      <c r="AL41" s="265"/>
      <c r="AM41" s="263" t="str">
        <f t="shared" si="3"/>
        <v>0(0)</v>
      </c>
      <c r="AN41" s="264"/>
      <c r="AO41" s="264"/>
      <c r="AP41" s="264"/>
      <c r="AQ41" s="260" t="str">
        <f t="shared" si="4"/>
        <v>0(0)</v>
      </c>
      <c r="AR41" s="261"/>
      <c r="AS41" s="261"/>
      <c r="AT41" s="262"/>
      <c r="AU41" s="264" t="e">
        <f>VLOOKUP($D$36&amp;$J41, $BK$68:$BN$107, 2, 0)</f>
        <v>#N/A</v>
      </c>
      <c r="AV41" s="264"/>
      <c r="AW41" s="264"/>
      <c r="AX41" s="265"/>
      <c r="AY41" s="263" t="e">
        <f>VLOOKUP($D$36&amp;$J41, $BK$68:$BN$107, 3, 0)</f>
        <v>#N/A</v>
      </c>
      <c r="AZ41" s="264"/>
      <c r="BA41" s="264"/>
      <c r="BB41" s="265"/>
      <c r="BC41" s="263" t="e">
        <f>VLOOKUP($D$36&amp;$J41, $BK$68:$BN$107, 4, 0)</f>
        <v>#N/A</v>
      </c>
      <c r="BD41" s="264"/>
      <c r="BE41" s="264"/>
      <c r="BF41" s="264"/>
      <c r="BI41" s="73" t="s">
        <v>964</v>
      </c>
      <c r="BJ41" s="73" t="s">
        <v>965</v>
      </c>
      <c r="BK41" s="73" t="s">
        <v>966</v>
      </c>
      <c r="BL41" s="73" t="str">
        <f t="shared" si="5"/>
        <v>{{S10_채널_36}}{{S10_고객경험단계_36}}{{S10_부서명_36}}</v>
      </c>
      <c r="BM41" s="73" t="s">
        <v>967</v>
      </c>
      <c r="BN41" s="73" t="s">
        <v>968</v>
      </c>
      <c r="BO41" s="73" t="s">
        <v>969</v>
      </c>
      <c r="BP41" s="73" t="s">
        <v>970</v>
      </c>
      <c r="BQ41" s="73" t="s">
        <v>971</v>
      </c>
      <c r="BR41" s="73" t="s">
        <v>972</v>
      </c>
      <c r="BS41" s="73" t="s">
        <v>973</v>
      </c>
      <c r="BT41" s="73" t="s">
        <v>974</v>
      </c>
      <c r="BU41" s="73" t="s">
        <v>975</v>
      </c>
    </row>
    <row r="42" spans="2:73" ht="15" customHeight="1" x14ac:dyDescent="0.3">
      <c r="B42" s="120" t="s">
        <v>366</v>
      </c>
      <c r="C42" s="120" t="s">
        <v>360</v>
      </c>
      <c r="D42" s="236"/>
      <c r="E42" s="236"/>
      <c r="F42" s="236"/>
      <c r="G42" s="236"/>
      <c r="H42" s="236"/>
      <c r="I42" s="237"/>
      <c r="J42" s="257"/>
      <c r="K42" s="258"/>
      <c r="L42" s="258"/>
      <c r="M42" s="258"/>
      <c r="N42" s="258"/>
      <c r="O42" s="259"/>
      <c r="P42" s="105" t="s">
        <v>361</v>
      </c>
      <c r="Q42" s="106"/>
      <c r="R42" s="107"/>
      <c r="S42" s="107"/>
      <c r="T42" s="107"/>
      <c r="U42" s="107"/>
      <c r="V42" s="107"/>
      <c r="W42" s="107"/>
      <c r="X42" s="107"/>
      <c r="Y42" s="107"/>
      <c r="Z42" s="108"/>
      <c r="AA42" s="245">
        <f t="shared" si="9"/>
        <v>0</v>
      </c>
      <c r="AB42" s="246"/>
      <c r="AC42" s="246"/>
      <c r="AD42" s="247"/>
      <c r="AE42" s="245" t="str">
        <f t="shared" si="1"/>
        <v>0(0)</v>
      </c>
      <c r="AF42" s="246"/>
      <c r="AG42" s="246"/>
      <c r="AH42" s="247"/>
      <c r="AI42" s="245" t="str">
        <f t="shared" si="2"/>
        <v>0(0)</v>
      </c>
      <c r="AJ42" s="246"/>
      <c r="AK42" s="246"/>
      <c r="AL42" s="247"/>
      <c r="AM42" s="245" t="str">
        <f t="shared" si="3"/>
        <v>0(0)</v>
      </c>
      <c r="AN42" s="246"/>
      <c r="AO42" s="246"/>
      <c r="AP42" s="246"/>
      <c r="AQ42" s="248" t="str">
        <f t="shared" si="4"/>
        <v>0(0)</v>
      </c>
      <c r="AR42" s="249"/>
      <c r="AS42" s="249"/>
      <c r="AT42" s="250"/>
      <c r="AU42" s="246"/>
      <c r="AV42" s="246"/>
      <c r="AW42" s="246"/>
      <c r="AX42" s="247"/>
      <c r="AY42" s="245"/>
      <c r="AZ42" s="246"/>
      <c r="BA42" s="246"/>
      <c r="BB42" s="247"/>
      <c r="BC42" s="245"/>
      <c r="BD42" s="246"/>
      <c r="BE42" s="246"/>
      <c r="BF42" s="246"/>
      <c r="BI42" s="73" t="s">
        <v>976</v>
      </c>
      <c r="BJ42" s="73" t="s">
        <v>977</v>
      </c>
      <c r="BK42" s="73" t="s">
        <v>978</v>
      </c>
      <c r="BL42" s="73" t="str">
        <f t="shared" si="5"/>
        <v>{{S10_채널_37}}{{S10_고객경험단계_37}}{{S10_부서명_37}}</v>
      </c>
      <c r="BM42" s="73" t="s">
        <v>979</v>
      </c>
      <c r="BN42" s="73" t="s">
        <v>980</v>
      </c>
      <c r="BO42" s="73" t="s">
        <v>981</v>
      </c>
      <c r="BP42" s="73" t="s">
        <v>982</v>
      </c>
      <c r="BQ42" s="73" t="s">
        <v>983</v>
      </c>
      <c r="BR42" s="73" t="s">
        <v>984</v>
      </c>
      <c r="BS42" s="73" t="s">
        <v>985</v>
      </c>
      <c r="BT42" s="73" t="s">
        <v>986</v>
      </c>
      <c r="BU42" s="73" t="s">
        <v>987</v>
      </c>
    </row>
    <row r="43" spans="2:73" ht="5.0999999999999996" customHeight="1" x14ac:dyDescent="0.3">
      <c r="BI43" s="73" t="s">
        <v>1084</v>
      </c>
      <c r="BJ43" s="73" t="s">
        <v>1085</v>
      </c>
      <c r="BK43" s="73" t="s">
        <v>1086</v>
      </c>
      <c r="BL43" s="73" t="str">
        <f t="shared" ref="BL43:BL55" si="10">BI43&amp;BJ43&amp;BK43</f>
        <v>{{S10_채널_38}}{{S10_고객경험단계_38}}{{S10_부서명_38}}</v>
      </c>
      <c r="BM43" s="73" t="s">
        <v>1087</v>
      </c>
      <c r="BN43" s="73" t="s">
        <v>1088</v>
      </c>
      <c r="BO43" s="73" t="s">
        <v>1089</v>
      </c>
      <c r="BP43" s="73" t="s">
        <v>1090</v>
      </c>
      <c r="BQ43" s="73" t="s">
        <v>1091</v>
      </c>
      <c r="BR43" s="73" t="s">
        <v>1092</v>
      </c>
      <c r="BS43" s="73" t="s">
        <v>1093</v>
      </c>
      <c r="BT43" s="73" t="s">
        <v>1094</v>
      </c>
      <c r="BU43" s="73" t="s">
        <v>1095</v>
      </c>
    </row>
    <row r="44" spans="2:73" ht="15" customHeight="1" x14ac:dyDescent="0.3">
      <c r="BI44" s="73" t="s">
        <v>1096</v>
      </c>
      <c r="BJ44" s="73" t="s">
        <v>1097</v>
      </c>
      <c r="BK44" s="73" t="s">
        <v>1098</v>
      </c>
      <c r="BL44" s="73" t="str">
        <f t="shared" si="10"/>
        <v>{{S10_채널_39}}{{S10_고객경험단계_39}}{{S10_부서명_39}}</v>
      </c>
      <c r="BM44" s="73" t="s">
        <v>1099</v>
      </c>
      <c r="BN44" s="73" t="s">
        <v>1100</v>
      </c>
      <c r="BO44" s="73" t="s">
        <v>1101</v>
      </c>
      <c r="BP44" s="73" t="s">
        <v>1102</v>
      </c>
      <c r="BQ44" s="73" t="s">
        <v>1103</v>
      </c>
      <c r="BR44" s="73" t="s">
        <v>1104</v>
      </c>
      <c r="BS44" s="73" t="s">
        <v>1105</v>
      </c>
      <c r="BT44" s="73" t="s">
        <v>1106</v>
      </c>
      <c r="BU44" s="73" t="s">
        <v>1107</v>
      </c>
    </row>
    <row r="45" spans="2:73" ht="15" customHeight="1" x14ac:dyDescent="0.3">
      <c r="BI45" s="73" t="s">
        <v>1108</v>
      </c>
      <c r="BJ45" s="73" t="s">
        <v>1109</v>
      </c>
      <c r="BK45" s="73" t="s">
        <v>1110</v>
      </c>
      <c r="BL45" s="73" t="str">
        <f t="shared" si="10"/>
        <v>{{S10_채널_40}}{{S10_고객경험단계_40}}{{S10_부서명_40}}</v>
      </c>
      <c r="BM45" s="73" t="s">
        <v>1111</v>
      </c>
      <c r="BN45" s="73" t="s">
        <v>1112</v>
      </c>
      <c r="BO45" s="73" t="s">
        <v>1113</v>
      </c>
      <c r="BP45" s="73" t="s">
        <v>1114</v>
      </c>
      <c r="BQ45" s="73" t="s">
        <v>1115</v>
      </c>
      <c r="BR45" s="73" t="s">
        <v>1116</v>
      </c>
      <c r="BS45" s="73" t="s">
        <v>1117</v>
      </c>
      <c r="BT45" s="73" t="s">
        <v>1118</v>
      </c>
      <c r="BU45" s="73" t="s">
        <v>1119</v>
      </c>
    </row>
    <row r="46" spans="2:73" ht="15" customHeight="1" x14ac:dyDescent="0.3">
      <c r="BI46" s="73" t="s">
        <v>1120</v>
      </c>
      <c r="BJ46" s="73" t="s">
        <v>1121</v>
      </c>
      <c r="BK46" s="73" t="s">
        <v>1122</v>
      </c>
      <c r="BL46" s="73" t="str">
        <f t="shared" si="10"/>
        <v>{{S10_채널_41}}{{S10_고객경험단계_41}}{{S10_부서명_41}}</v>
      </c>
      <c r="BM46" s="73" t="s">
        <v>1123</v>
      </c>
      <c r="BN46" s="73" t="s">
        <v>1124</v>
      </c>
      <c r="BO46" s="73" t="s">
        <v>1125</v>
      </c>
      <c r="BP46" s="73" t="s">
        <v>1126</v>
      </c>
      <c r="BQ46" s="73" t="s">
        <v>1127</v>
      </c>
      <c r="BR46" s="73" t="s">
        <v>1128</v>
      </c>
      <c r="BS46" s="73" t="s">
        <v>1129</v>
      </c>
      <c r="BT46" s="73" t="s">
        <v>1130</v>
      </c>
      <c r="BU46" s="73" t="s">
        <v>1131</v>
      </c>
    </row>
    <row r="47" spans="2:73" ht="15" customHeight="1" x14ac:dyDescent="0.3">
      <c r="BI47" s="73" t="s">
        <v>1132</v>
      </c>
      <c r="BJ47" s="73" t="s">
        <v>1133</v>
      </c>
      <c r="BK47" s="73" t="s">
        <v>1134</v>
      </c>
      <c r="BL47" s="73" t="str">
        <f t="shared" si="10"/>
        <v>{{S10_채널_42}}{{S10_고객경험단계_42}}{{S10_부서명_42}}</v>
      </c>
      <c r="BM47" s="73" t="s">
        <v>1135</v>
      </c>
      <c r="BN47" s="73" t="s">
        <v>1136</v>
      </c>
      <c r="BO47" s="73" t="s">
        <v>1137</v>
      </c>
      <c r="BP47" s="73" t="s">
        <v>1138</v>
      </c>
      <c r="BQ47" s="73" t="s">
        <v>1139</v>
      </c>
      <c r="BR47" s="73" t="s">
        <v>1140</v>
      </c>
      <c r="BS47" s="73" t="s">
        <v>1141</v>
      </c>
      <c r="BT47" s="73" t="s">
        <v>1142</v>
      </c>
      <c r="BU47" s="73" t="s">
        <v>1143</v>
      </c>
    </row>
    <row r="48" spans="2:73" ht="15" customHeight="1" x14ac:dyDescent="0.3">
      <c r="BI48" s="73" t="s">
        <v>1144</v>
      </c>
      <c r="BJ48" s="73" t="s">
        <v>1145</v>
      </c>
      <c r="BK48" s="73" t="s">
        <v>1146</v>
      </c>
      <c r="BL48" s="73" t="str">
        <f t="shared" si="10"/>
        <v>{{S10_채널_43}}{{S10_고객경험단계_43}}{{S10_부서명_43}}</v>
      </c>
      <c r="BM48" s="73" t="s">
        <v>1147</v>
      </c>
      <c r="BN48" s="73" t="s">
        <v>1148</v>
      </c>
      <c r="BO48" s="73" t="s">
        <v>1149</v>
      </c>
      <c r="BP48" s="73" t="s">
        <v>1150</v>
      </c>
      <c r="BQ48" s="73" t="s">
        <v>1151</v>
      </c>
      <c r="BR48" s="73" t="s">
        <v>1152</v>
      </c>
      <c r="BS48" s="73" t="s">
        <v>1153</v>
      </c>
      <c r="BT48" s="73" t="s">
        <v>1154</v>
      </c>
      <c r="BU48" s="73" t="s">
        <v>1155</v>
      </c>
    </row>
    <row r="49" spans="61:73" ht="15" customHeight="1" x14ac:dyDescent="0.3">
      <c r="BI49" s="73" t="s">
        <v>1156</v>
      </c>
      <c r="BJ49" s="73" t="s">
        <v>1157</v>
      </c>
      <c r="BK49" s="73" t="s">
        <v>1158</v>
      </c>
      <c r="BL49" s="73" t="str">
        <f t="shared" si="10"/>
        <v>{{S10_채널_44}}{{S10_고객경험단계_44}}{{S10_부서명_44}}</v>
      </c>
      <c r="BM49" s="73" t="s">
        <v>1159</v>
      </c>
      <c r="BN49" s="73" t="s">
        <v>1160</v>
      </c>
      <c r="BO49" s="73" t="s">
        <v>1161</v>
      </c>
      <c r="BP49" s="73" t="s">
        <v>1162</v>
      </c>
      <c r="BQ49" s="73" t="s">
        <v>1163</v>
      </c>
      <c r="BR49" s="73" t="s">
        <v>1164</v>
      </c>
      <c r="BS49" s="73" t="s">
        <v>1165</v>
      </c>
      <c r="BT49" s="73" t="s">
        <v>1166</v>
      </c>
      <c r="BU49" s="73" t="s">
        <v>1167</v>
      </c>
    </row>
    <row r="50" spans="61:73" ht="15" customHeight="1" x14ac:dyDescent="0.3">
      <c r="BI50" s="73" t="s">
        <v>1168</v>
      </c>
      <c r="BJ50" s="73" t="s">
        <v>1169</v>
      </c>
      <c r="BK50" s="73" t="s">
        <v>1170</v>
      </c>
      <c r="BL50" s="73" t="str">
        <f t="shared" si="10"/>
        <v>{{S10_채널_45}}{{S10_고객경험단계_45}}{{S10_부서명_45}}</v>
      </c>
      <c r="BM50" s="73" t="s">
        <v>1171</v>
      </c>
      <c r="BN50" s="73" t="s">
        <v>1172</v>
      </c>
      <c r="BO50" s="73" t="s">
        <v>1173</v>
      </c>
      <c r="BP50" s="73" t="s">
        <v>1174</v>
      </c>
      <c r="BQ50" s="73" t="s">
        <v>1175</v>
      </c>
      <c r="BR50" s="73" t="s">
        <v>1176</v>
      </c>
      <c r="BS50" s="73" t="s">
        <v>1177</v>
      </c>
      <c r="BT50" s="73" t="s">
        <v>1178</v>
      </c>
      <c r="BU50" s="73" t="s">
        <v>1179</v>
      </c>
    </row>
    <row r="51" spans="61:73" ht="15" customHeight="1" x14ac:dyDescent="0.3">
      <c r="BI51" s="73" t="s">
        <v>1180</v>
      </c>
      <c r="BJ51" s="73" t="s">
        <v>1181</v>
      </c>
      <c r="BK51" s="73" t="s">
        <v>1182</v>
      </c>
      <c r="BL51" s="73" t="str">
        <f t="shared" si="10"/>
        <v>{{S10_채널_46}}{{S10_고객경험단계_46}}{{S10_부서명_46}}</v>
      </c>
      <c r="BM51" s="73" t="s">
        <v>1183</v>
      </c>
      <c r="BN51" s="73" t="s">
        <v>1184</v>
      </c>
      <c r="BO51" s="73" t="s">
        <v>1185</v>
      </c>
      <c r="BP51" s="73" t="s">
        <v>1186</v>
      </c>
      <c r="BQ51" s="73" t="s">
        <v>1187</v>
      </c>
      <c r="BR51" s="73" t="s">
        <v>1188</v>
      </c>
      <c r="BS51" s="73" t="s">
        <v>1189</v>
      </c>
      <c r="BT51" s="73" t="s">
        <v>1190</v>
      </c>
      <c r="BU51" s="73" t="s">
        <v>1191</v>
      </c>
    </row>
    <row r="52" spans="61:73" ht="15" customHeight="1" x14ac:dyDescent="0.3">
      <c r="BI52" s="73" t="s">
        <v>1192</v>
      </c>
      <c r="BJ52" s="73" t="s">
        <v>1193</v>
      </c>
      <c r="BK52" s="73" t="s">
        <v>1194</v>
      </c>
      <c r="BL52" s="73" t="str">
        <f t="shared" si="10"/>
        <v>{{S10_채널_47}}{{S10_고객경험단계_47}}{{S10_부서명_47}}</v>
      </c>
      <c r="BM52" s="73" t="s">
        <v>1195</v>
      </c>
      <c r="BN52" s="73" t="s">
        <v>1196</v>
      </c>
      <c r="BO52" s="73" t="s">
        <v>1197</v>
      </c>
      <c r="BP52" s="73" t="s">
        <v>1198</v>
      </c>
      <c r="BQ52" s="73" t="s">
        <v>1199</v>
      </c>
      <c r="BR52" s="73" t="s">
        <v>1200</v>
      </c>
      <c r="BS52" s="73" t="s">
        <v>1201</v>
      </c>
      <c r="BT52" s="73" t="s">
        <v>1202</v>
      </c>
      <c r="BU52" s="73" t="s">
        <v>1203</v>
      </c>
    </row>
    <row r="53" spans="61:73" ht="15" customHeight="1" x14ac:dyDescent="0.3">
      <c r="BI53" s="73" t="s">
        <v>1204</v>
      </c>
      <c r="BJ53" s="73" t="s">
        <v>1205</v>
      </c>
      <c r="BK53" s="73" t="s">
        <v>1206</v>
      </c>
      <c r="BL53" s="73" t="str">
        <f t="shared" si="10"/>
        <v>{{S10_채널_48}}{{S10_고객경험단계_48}}{{S10_부서명_48}}</v>
      </c>
      <c r="BM53" s="73" t="s">
        <v>1207</v>
      </c>
      <c r="BN53" s="73" t="s">
        <v>1208</v>
      </c>
      <c r="BO53" s="73" t="s">
        <v>1209</v>
      </c>
      <c r="BP53" s="73" t="s">
        <v>1210</v>
      </c>
      <c r="BQ53" s="73" t="s">
        <v>1211</v>
      </c>
      <c r="BR53" s="73" t="s">
        <v>1212</v>
      </c>
      <c r="BS53" s="73" t="s">
        <v>1213</v>
      </c>
      <c r="BT53" s="73" t="s">
        <v>1214</v>
      </c>
      <c r="BU53" s="73" t="s">
        <v>1215</v>
      </c>
    </row>
    <row r="54" spans="61:73" ht="15" customHeight="1" x14ac:dyDescent="0.3">
      <c r="BI54" s="73" t="s">
        <v>1216</v>
      </c>
      <c r="BJ54" s="73" t="s">
        <v>1217</v>
      </c>
      <c r="BK54" s="73" t="s">
        <v>1218</v>
      </c>
      <c r="BL54" s="73" t="str">
        <f t="shared" si="10"/>
        <v>{{S10_채널_49}}{{S10_고객경험단계_49}}{{S10_부서명_49}}</v>
      </c>
      <c r="BM54" s="73" t="s">
        <v>1219</v>
      </c>
      <c r="BN54" s="73" t="s">
        <v>1220</v>
      </c>
      <c r="BO54" s="73" t="s">
        <v>1221</v>
      </c>
      <c r="BP54" s="73" t="s">
        <v>1222</v>
      </c>
      <c r="BQ54" s="73" t="s">
        <v>1223</v>
      </c>
      <c r="BR54" s="73" t="s">
        <v>1224</v>
      </c>
      <c r="BS54" s="73" t="s">
        <v>1225</v>
      </c>
      <c r="BT54" s="73" t="s">
        <v>1226</v>
      </c>
      <c r="BU54" s="73" t="s">
        <v>1227</v>
      </c>
    </row>
    <row r="55" spans="61:73" ht="15" customHeight="1" x14ac:dyDescent="0.3">
      <c r="BI55" s="73" t="s">
        <v>1228</v>
      </c>
      <c r="BJ55" s="73" t="s">
        <v>1229</v>
      </c>
      <c r="BK55" s="73" t="s">
        <v>1230</v>
      </c>
      <c r="BL55" s="73" t="str">
        <f t="shared" si="10"/>
        <v>{{S10_채널_50}}{{S10_고객경험단계_50}}{{S10_부서명_50}}</v>
      </c>
      <c r="BM55" s="73" t="s">
        <v>1231</v>
      </c>
      <c r="BN55" s="73" t="s">
        <v>1232</v>
      </c>
      <c r="BO55" s="73" t="s">
        <v>1233</v>
      </c>
      <c r="BP55" s="73" t="s">
        <v>1234</v>
      </c>
      <c r="BQ55" s="73" t="s">
        <v>1235</v>
      </c>
      <c r="BR55" s="73" t="s">
        <v>1236</v>
      </c>
      <c r="BS55" s="73" t="s">
        <v>1237</v>
      </c>
      <c r="BT55" s="73" t="s">
        <v>1238</v>
      </c>
      <c r="BU55" s="73" t="s">
        <v>1239</v>
      </c>
    </row>
    <row r="56" spans="61:73" ht="15" customHeight="1" x14ac:dyDescent="0.3">
      <c r="BI56" s="73" t="s">
        <v>1240</v>
      </c>
      <c r="BJ56" s="73" t="s">
        <v>1241</v>
      </c>
      <c r="BK56" s="73" t="s">
        <v>1242</v>
      </c>
      <c r="BL56" s="73" t="str">
        <f t="shared" ref="BL56:BL61" si="11">BI56&amp;BJ56&amp;BK56</f>
        <v>{{S10_채널_51}}{{S10_고객경험단계_51}}{{S10_부서명_51}}</v>
      </c>
      <c r="BM56" s="73" t="s">
        <v>1243</v>
      </c>
      <c r="BN56" s="73" t="s">
        <v>1244</v>
      </c>
      <c r="BO56" s="73" t="s">
        <v>1245</v>
      </c>
      <c r="BP56" s="73" t="s">
        <v>1246</v>
      </c>
      <c r="BQ56" s="73" t="s">
        <v>1247</v>
      </c>
      <c r="BR56" s="73" t="s">
        <v>1248</v>
      </c>
      <c r="BS56" s="73" t="s">
        <v>1249</v>
      </c>
      <c r="BT56" s="73" t="s">
        <v>1250</v>
      </c>
      <c r="BU56" s="73" t="s">
        <v>1251</v>
      </c>
    </row>
    <row r="57" spans="61:73" ht="15" customHeight="1" x14ac:dyDescent="0.3">
      <c r="BI57" s="73" t="s">
        <v>1252</v>
      </c>
      <c r="BJ57" s="73" t="s">
        <v>1253</v>
      </c>
      <c r="BK57" s="73" t="s">
        <v>1254</v>
      </c>
      <c r="BL57" s="73" t="str">
        <f t="shared" si="11"/>
        <v>{{S10_채널_52}}{{S10_고객경험단계_52}}{{S10_부서명_52}}</v>
      </c>
      <c r="BM57" s="73" t="s">
        <v>1255</v>
      </c>
      <c r="BN57" s="73" t="s">
        <v>1256</v>
      </c>
      <c r="BO57" s="73" t="s">
        <v>1257</v>
      </c>
      <c r="BP57" s="73" t="s">
        <v>1258</v>
      </c>
      <c r="BQ57" s="73" t="s">
        <v>1259</v>
      </c>
      <c r="BR57" s="73" t="s">
        <v>1260</v>
      </c>
      <c r="BS57" s="73" t="s">
        <v>1261</v>
      </c>
      <c r="BT57" s="73" t="s">
        <v>1262</v>
      </c>
      <c r="BU57" s="73" t="s">
        <v>1263</v>
      </c>
    </row>
    <row r="58" spans="61:73" ht="15" customHeight="1" x14ac:dyDescent="0.3">
      <c r="BI58" s="73" t="s">
        <v>1264</v>
      </c>
      <c r="BJ58" s="73" t="s">
        <v>1265</v>
      </c>
      <c r="BK58" s="73" t="s">
        <v>1266</v>
      </c>
      <c r="BL58" s="73" t="str">
        <f t="shared" si="11"/>
        <v>{{S10_채널_53}}{{S10_고객경험단계_53}}{{S10_부서명_53}}</v>
      </c>
      <c r="BM58" s="73" t="s">
        <v>1267</v>
      </c>
      <c r="BN58" s="73" t="s">
        <v>1268</v>
      </c>
      <c r="BO58" s="73" t="s">
        <v>1269</v>
      </c>
      <c r="BP58" s="73" t="s">
        <v>1270</v>
      </c>
      <c r="BQ58" s="73" t="s">
        <v>1271</v>
      </c>
      <c r="BR58" s="73" t="s">
        <v>1272</v>
      </c>
      <c r="BS58" s="73" t="s">
        <v>1273</v>
      </c>
      <c r="BT58" s="73" t="s">
        <v>1274</v>
      </c>
      <c r="BU58" s="73" t="s">
        <v>1275</v>
      </c>
    </row>
    <row r="59" spans="61:73" ht="15" customHeight="1" x14ac:dyDescent="0.3">
      <c r="BI59" s="73" t="s">
        <v>1276</v>
      </c>
      <c r="BJ59" s="73" t="s">
        <v>1277</v>
      </c>
      <c r="BK59" s="73" t="s">
        <v>1278</v>
      </c>
      <c r="BL59" s="73" t="str">
        <f t="shared" si="11"/>
        <v>{{S10_채널_54}}{{S10_고객경험단계_54}}{{S10_부서명_54}}</v>
      </c>
      <c r="BM59" s="73" t="s">
        <v>1279</v>
      </c>
      <c r="BN59" s="73" t="s">
        <v>1280</v>
      </c>
      <c r="BO59" s="73" t="s">
        <v>1281</v>
      </c>
      <c r="BP59" s="73" t="s">
        <v>1282</v>
      </c>
      <c r="BQ59" s="73" t="s">
        <v>1283</v>
      </c>
      <c r="BR59" s="73" t="s">
        <v>1284</v>
      </c>
      <c r="BS59" s="73" t="s">
        <v>1285</v>
      </c>
      <c r="BT59" s="73" t="s">
        <v>1286</v>
      </c>
      <c r="BU59" s="73" t="s">
        <v>1287</v>
      </c>
    </row>
    <row r="60" spans="61:73" ht="15" customHeight="1" x14ac:dyDescent="0.3">
      <c r="BI60" s="73" t="s">
        <v>1288</v>
      </c>
      <c r="BJ60" s="73" t="s">
        <v>1289</v>
      </c>
      <c r="BK60" s="73" t="s">
        <v>1290</v>
      </c>
      <c r="BL60" s="73" t="str">
        <f t="shared" si="11"/>
        <v>{{S10_채널_55}}{{S10_고객경험단계_55}}{{S10_부서명_55}}</v>
      </c>
      <c r="BM60" s="73" t="s">
        <v>1291</v>
      </c>
      <c r="BN60" s="73" t="s">
        <v>1292</v>
      </c>
      <c r="BO60" s="73" t="s">
        <v>1293</v>
      </c>
      <c r="BP60" s="73" t="s">
        <v>1294</v>
      </c>
      <c r="BQ60" s="73" t="s">
        <v>1295</v>
      </c>
      <c r="BR60" s="73" t="s">
        <v>1296</v>
      </c>
      <c r="BS60" s="73" t="s">
        <v>1297</v>
      </c>
      <c r="BT60" s="73" t="s">
        <v>1298</v>
      </c>
      <c r="BU60" s="73" t="s">
        <v>1299</v>
      </c>
    </row>
    <row r="61" spans="61:73" ht="15" customHeight="1" x14ac:dyDescent="0.3">
      <c r="BI61" s="73" t="s">
        <v>1300</v>
      </c>
      <c r="BJ61" s="73" t="s">
        <v>1301</v>
      </c>
      <c r="BK61" s="73" t="s">
        <v>1302</v>
      </c>
      <c r="BL61" s="73" t="str">
        <f t="shared" si="11"/>
        <v>{{S10_채널_56}}{{S10_고객경험단계_56}}{{S10_부서명_56}}</v>
      </c>
      <c r="BM61" s="73" t="s">
        <v>1303</v>
      </c>
      <c r="BN61" s="73" t="s">
        <v>1304</v>
      </c>
      <c r="BO61" s="73" t="s">
        <v>1305</v>
      </c>
      <c r="BP61" s="73" t="s">
        <v>1306</v>
      </c>
      <c r="BQ61" s="73" t="s">
        <v>1307</v>
      </c>
      <c r="BR61" s="73" t="s">
        <v>1308</v>
      </c>
      <c r="BS61" s="73" t="s">
        <v>1309</v>
      </c>
      <c r="BT61" s="73" t="s">
        <v>1310</v>
      </c>
      <c r="BU61" s="73" t="s">
        <v>1311</v>
      </c>
    </row>
    <row r="62" spans="61:73" ht="15" customHeight="1" x14ac:dyDescent="0.3">
      <c r="BI62" s="73" t="s">
        <v>1312</v>
      </c>
      <c r="BJ62" s="73" t="s">
        <v>1313</v>
      </c>
      <c r="BK62" s="73" t="s">
        <v>1314</v>
      </c>
      <c r="BL62" s="73" t="str">
        <f t="shared" ref="BL62:BL63" si="12">BI62&amp;BJ62&amp;BK62</f>
        <v>{{S10_채널_57}}{{S10_고객경험단계_57}}{{S10_부서명_57}}</v>
      </c>
      <c r="BM62" s="73" t="s">
        <v>1315</v>
      </c>
      <c r="BN62" s="73" t="s">
        <v>1316</v>
      </c>
      <c r="BO62" s="73" t="s">
        <v>1317</v>
      </c>
      <c r="BP62" s="73" t="s">
        <v>1318</v>
      </c>
      <c r="BQ62" s="73" t="s">
        <v>1319</v>
      </c>
      <c r="BR62" s="73" t="s">
        <v>1320</v>
      </c>
      <c r="BS62" s="73" t="s">
        <v>1321</v>
      </c>
      <c r="BT62" s="73" t="s">
        <v>1322</v>
      </c>
      <c r="BU62" s="73" t="s">
        <v>1323</v>
      </c>
    </row>
    <row r="63" spans="61:73" ht="15" customHeight="1" x14ac:dyDescent="0.3">
      <c r="BI63" s="73" t="s">
        <v>1324</v>
      </c>
      <c r="BJ63" s="73" t="s">
        <v>1325</v>
      </c>
      <c r="BK63" s="73" t="s">
        <v>1326</v>
      </c>
      <c r="BL63" s="73" t="str">
        <f t="shared" si="12"/>
        <v>{{S10_채널_58}}{{S10_고객경험단계_58}}{{S10_부서명_58}}</v>
      </c>
      <c r="BM63" s="73" t="s">
        <v>1327</v>
      </c>
      <c r="BN63" s="73" t="s">
        <v>1328</v>
      </c>
      <c r="BO63" s="73" t="s">
        <v>1329</v>
      </c>
      <c r="BP63" s="73" t="s">
        <v>1330</v>
      </c>
      <c r="BQ63" s="73" t="s">
        <v>1331</v>
      </c>
      <c r="BR63" s="73" t="s">
        <v>1332</v>
      </c>
      <c r="BS63" s="73" t="s">
        <v>1333</v>
      </c>
      <c r="BT63" s="73" t="s">
        <v>1334</v>
      </c>
      <c r="BU63" s="73" t="s">
        <v>1335</v>
      </c>
    </row>
    <row r="64" spans="61:73" ht="15" customHeight="1" x14ac:dyDescent="0.3">
      <c r="BI64" s="73" t="s">
        <v>1336</v>
      </c>
      <c r="BJ64" s="73" t="s">
        <v>1337</v>
      </c>
      <c r="BK64" s="73" t="s">
        <v>1338</v>
      </c>
      <c r="BL64" s="73" t="str">
        <f t="shared" ref="BL64:BL65" si="13">BI64&amp;BJ64&amp;BK64</f>
        <v>{{S10_채널_59}}{{S10_고객경험단계_59}}{{S10_부서명_59}}</v>
      </c>
      <c r="BM64" s="73" t="s">
        <v>1339</v>
      </c>
      <c r="BN64" s="73" t="s">
        <v>1340</v>
      </c>
      <c r="BO64" s="73" t="s">
        <v>1341</v>
      </c>
      <c r="BP64" s="73" t="s">
        <v>1342</v>
      </c>
      <c r="BQ64" s="73" t="s">
        <v>1343</v>
      </c>
      <c r="BR64" s="73" t="s">
        <v>1344</v>
      </c>
      <c r="BS64" s="73" t="s">
        <v>1345</v>
      </c>
      <c r="BT64" s="73" t="s">
        <v>1346</v>
      </c>
      <c r="BU64" s="73" t="s">
        <v>1347</v>
      </c>
    </row>
    <row r="65" spans="61:73" ht="15" customHeight="1" x14ac:dyDescent="0.3">
      <c r="BI65" s="73" t="s">
        <v>1348</v>
      </c>
      <c r="BJ65" s="73" t="s">
        <v>1349</v>
      </c>
      <c r="BK65" s="73" t="s">
        <v>1350</v>
      </c>
      <c r="BL65" s="73" t="str">
        <f t="shared" si="13"/>
        <v>{{S10_채널_60}}{{S10_고객경험단계_60}}{{S10_부서명_60}}</v>
      </c>
      <c r="BM65" s="73" t="s">
        <v>1351</v>
      </c>
      <c r="BN65" s="73" t="s">
        <v>1352</v>
      </c>
      <c r="BO65" s="73" t="s">
        <v>1353</v>
      </c>
      <c r="BP65" s="73" t="s">
        <v>1354</v>
      </c>
      <c r="BQ65" s="73" t="s">
        <v>1355</v>
      </c>
      <c r="BR65" s="73" t="s">
        <v>1356</v>
      </c>
      <c r="BS65" s="73" t="s">
        <v>1357</v>
      </c>
      <c r="BT65" s="73" t="s">
        <v>1358</v>
      </c>
      <c r="BU65" s="73" t="s">
        <v>1359</v>
      </c>
    </row>
    <row r="67" spans="61:73" ht="15" customHeight="1" x14ac:dyDescent="0.3">
      <c r="BI67" s="24" t="s">
        <v>367</v>
      </c>
      <c r="BJ67" s="24" t="s">
        <v>542</v>
      </c>
      <c r="BK67" s="24" t="s">
        <v>990</v>
      </c>
      <c r="BL67" s="24" t="s">
        <v>1808</v>
      </c>
      <c r="BM67" s="24" t="s">
        <v>1849</v>
      </c>
      <c r="BN67" s="24" t="s">
        <v>1890</v>
      </c>
    </row>
    <row r="68" spans="61:73" ht="15" customHeight="1" x14ac:dyDescent="0.3">
      <c r="BI68" s="73" t="s">
        <v>988</v>
      </c>
      <c r="BJ68" s="73" t="s">
        <v>989</v>
      </c>
      <c r="BK68" s="119" t="str">
        <f>BI68&amp;BJ68</f>
        <v>{{S10__채널_1}}{{S10__고객경험단계_1}}</v>
      </c>
      <c r="BL68" s="24" t="s">
        <v>1809</v>
      </c>
      <c r="BM68" s="24" t="s">
        <v>1850</v>
      </c>
      <c r="BN68" s="24" t="s">
        <v>1891</v>
      </c>
    </row>
    <row r="69" spans="61:73" ht="15" customHeight="1" x14ac:dyDescent="0.3">
      <c r="BI69" s="73" t="s">
        <v>991</v>
      </c>
      <c r="BJ69" s="73" t="s">
        <v>992</v>
      </c>
      <c r="BK69" s="119" t="str">
        <f t="shared" ref="BK69:BK107" si="14">BI69&amp;BJ69</f>
        <v>{{S10__채널_2}}{{S10__고객경험단계_2}}</v>
      </c>
      <c r="BL69" s="24" t="s">
        <v>1810</v>
      </c>
      <c r="BM69" s="24" t="s">
        <v>1851</v>
      </c>
      <c r="BN69" s="24" t="s">
        <v>1892</v>
      </c>
    </row>
    <row r="70" spans="61:73" ht="15" customHeight="1" x14ac:dyDescent="0.3">
      <c r="BI70" s="73" t="s">
        <v>993</v>
      </c>
      <c r="BJ70" s="73" t="s">
        <v>994</v>
      </c>
      <c r="BK70" s="119" t="str">
        <f t="shared" si="14"/>
        <v>{{S10__채널_3}}{{S10__고객경험단계_3}}</v>
      </c>
      <c r="BL70" s="24" t="s">
        <v>1811</v>
      </c>
      <c r="BM70" s="24" t="s">
        <v>1852</v>
      </c>
      <c r="BN70" s="24" t="s">
        <v>1893</v>
      </c>
    </row>
    <row r="71" spans="61:73" ht="15" customHeight="1" x14ac:dyDescent="0.3">
      <c r="BI71" s="73" t="s">
        <v>995</v>
      </c>
      <c r="BJ71" s="73" t="s">
        <v>996</v>
      </c>
      <c r="BK71" s="119" t="str">
        <f t="shared" si="14"/>
        <v>{{S10__채널_4}}{{S10__고객경험단계_4}}</v>
      </c>
      <c r="BL71" s="24" t="s">
        <v>1812</v>
      </c>
      <c r="BM71" s="24" t="s">
        <v>1853</v>
      </c>
      <c r="BN71" s="24" t="s">
        <v>1894</v>
      </c>
    </row>
    <row r="72" spans="61:73" ht="15" customHeight="1" x14ac:dyDescent="0.3">
      <c r="BI72" s="73" t="s">
        <v>997</v>
      </c>
      <c r="BJ72" s="73" t="s">
        <v>998</v>
      </c>
      <c r="BK72" s="119" t="str">
        <f t="shared" si="14"/>
        <v>{{S10__채널_5}}{{S10__고객경험단계_5}}</v>
      </c>
      <c r="BL72" s="24" t="s">
        <v>1813</v>
      </c>
      <c r="BM72" s="24" t="s">
        <v>1854</v>
      </c>
      <c r="BN72" s="24" t="s">
        <v>1895</v>
      </c>
    </row>
    <row r="73" spans="61:73" ht="15" customHeight="1" x14ac:dyDescent="0.3">
      <c r="BI73" s="73" t="s">
        <v>999</v>
      </c>
      <c r="BJ73" s="73" t="s">
        <v>1000</v>
      </c>
      <c r="BK73" s="119" t="str">
        <f t="shared" si="14"/>
        <v>{{S10__채널_6}}{{S10__고객경험단계_6}}</v>
      </c>
      <c r="BL73" s="24" t="s">
        <v>1814</v>
      </c>
      <c r="BM73" s="24" t="s">
        <v>1855</v>
      </c>
      <c r="BN73" s="24" t="s">
        <v>1896</v>
      </c>
    </row>
    <row r="74" spans="61:73" ht="15" customHeight="1" x14ac:dyDescent="0.3">
      <c r="BI74" s="73" t="s">
        <v>1001</v>
      </c>
      <c r="BJ74" s="73" t="s">
        <v>1002</v>
      </c>
      <c r="BK74" s="119" t="str">
        <f t="shared" si="14"/>
        <v>{{S10__채널_7}}{{S10__고객경험단계_7}}</v>
      </c>
      <c r="BL74" s="24" t="s">
        <v>1815</v>
      </c>
      <c r="BM74" s="24" t="s">
        <v>1856</v>
      </c>
      <c r="BN74" s="24" t="s">
        <v>1897</v>
      </c>
    </row>
    <row r="75" spans="61:73" ht="15" customHeight="1" x14ac:dyDescent="0.3">
      <c r="BI75" s="73" t="s">
        <v>1003</v>
      </c>
      <c r="BJ75" s="73" t="s">
        <v>1004</v>
      </c>
      <c r="BK75" s="119" t="str">
        <f t="shared" si="14"/>
        <v>{{S10__채널_8}}{{S10__고객경험단계_8}}</v>
      </c>
      <c r="BL75" s="24" t="s">
        <v>1816</v>
      </c>
      <c r="BM75" s="24" t="s">
        <v>1857</v>
      </c>
      <c r="BN75" s="24" t="s">
        <v>1898</v>
      </c>
    </row>
    <row r="76" spans="61:73" ht="15" customHeight="1" x14ac:dyDescent="0.3">
      <c r="BI76" s="73" t="s">
        <v>1005</v>
      </c>
      <c r="BJ76" s="73" t="s">
        <v>1006</v>
      </c>
      <c r="BK76" s="119" t="str">
        <f t="shared" si="14"/>
        <v>{{S10__채널_9}}{{S10__고객경험단계_9}}</v>
      </c>
      <c r="BL76" s="24" t="s">
        <v>1817</v>
      </c>
      <c r="BM76" s="24" t="s">
        <v>1858</v>
      </c>
      <c r="BN76" s="24" t="s">
        <v>1899</v>
      </c>
    </row>
    <row r="77" spans="61:73" ht="15" customHeight="1" x14ac:dyDescent="0.3">
      <c r="BI77" s="73" t="s">
        <v>1007</v>
      </c>
      <c r="BJ77" s="73" t="s">
        <v>1008</v>
      </c>
      <c r="BK77" s="119" t="str">
        <f t="shared" si="14"/>
        <v>{{S10__채널_10}}{{S10__고객경험단계_10}}</v>
      </c>
      <c r="BL77" s="24" t="s">
        <v>1818</v>
      </c>
      <c r="BM77" s="24" t="s">
        <v>1859</v>
      </c>
      <c r="BN77" s="24" t="s">
        <v>1900</v>
      </c>
    </row>
    <row r="78" spans="61:73" ht="15" customHeight="1" x14ac:dyDescent="0.3">
      <c r="BI78" s="73" t="s">
        <v>1009</v>
      </c>
      <c r="BJ78" s="73" t="s">
        <v>1010</v>
      </c>
      <c r="BK78" s="119" t="str">
        <f t="shared" si="14"/>
        <v>{{S10__채널_11}}{{S10__고객경험단계_11}}</v>
      </c>
      <c r="BL78" s="24" t="s">
        <v>1819</v>
      </c>
      <c r="BM78" s="24" t="s">
        <v>1860</v>
      </c>
      <c r="BN78" s="24" t="s">
        <v>1901</v>
      </c>
    </row>
    <row r="79" spans="61:73" ht="15" customHeight="1" x14ac:dyDescent="0.3">
      <c r="BI79" s="73" t="s">
        <v>1011</v>
      </c>
      <c r="BJ79" s="73" t="s">
        <v>1012</v>
      </c>
      <c r="BK79" s="119" t="str">
        <f t="shared" si="14"/>
        <v>{{S10__채널_12}}{{S10__고객경험단계_12}}</v>
      </c>
      <c r="BL79" s="24" t="s">
        <v>1820</v>
      </c>
      <c r="BM79" s="24" t="s">
        <v>1861</v>
      </c>
      <c r="BN79" s="24" t="s">
        <v>1902</v>
      </c>
    </row>
    <row r="80" spans="61:73" ht="15" customHeight="1" x14ac:dyDescent="0.3">
      <c r="BI80" s="73" t="s">
        <v>1013</v>
      </c>
      <c r="BJ80" s="73" t="s">
        <v>1014</v>
      </c>
      <c r="BK80" s="119" t="str">
        <f t="shared" si="14"/>
        <v>{{S10__채널_13}}{{S10__고객경험단계_13}}</v>
      </c>
      <c r="BL80" s="24" t="s">
        <v>1821</v>
      </c>
      <c r="BM80" s="24" t="s">
        <v>1862</v>
      </c>
      <c r="BN80" s="24" t="s">
        <v>1903</v>
      </c>
    </row>
    <row r="81" spans="61:66" ht="15" customHeight="1" x14ac:dyDescent="0.3">
      <c r="BI81" s="73" t="s">
        <v>1015</v>
      </c>
      <c r="BJ81" s="73" t="s">
        <v>1016</v>
      </c>
      <c r="BK81" s="119" t="str">
        <f t="shared" si="14"/>
        <v>{{S10__채널_14}}{{S10__고객경험단계_14}}</v>
      </c>
      <c r="BL81" s="24" t="s">
        <v>1822</v>
      </c>
      <c r="BM81" s="24" t="s">
        <v>1863</v>
      </c>
      <c r="BN81" s="24" t="s">
        <v>1904</v>
      </c>
    </row>
    <row r="82" spans="61:66" ht="15" customHeight="1" x14ac:dyDescent="0.3">
      <c r="BI82" s="73" t="s">
        <v>1017</v>
      </c>
      <c r="BJ82" s="73" t="s">
        <v>1018</v>
      </c>
      <c r="BK82" s="119" t="str">
        <f t="shared" si="14"/>
        <v>{{S10__채널_15}}{{S10__고객경험단계_15}}</v>
      </c>
      <c r="BL82" s="24" t="s">
        <v>1823</v>
      </c>
      <c r="BM82" s="24" t="s">
        <v>1864</v>
      </c>
      <c r="BN82" s="24" t="s">
        <v>1905</v>
      </c>
    </row>
    <row r="83" spans="61:66" ht="15" customHeight="1" x14ac:dyDescent="0.3">
      <c r="BI83" s="73" t="s">
        <v>1019</v>
      </c>
      <c r="BJ83" s="73" t="s">
        <v>1020</v>
      </c>
      <c r="BK83" s="119" t="str">
        <f t="shared" si="14"/>
        <v>{{S10__채널_16}}{{S10__고객경험단계_16}}</v>
      </c>
      <c r="BL83" s="24" t="s">
        <v>1824</v>
      </c>
      <c r="BM83" s="24" t="s">
        <v>1865</v>
      </c>
      <c r="BN83" s="24" t="s">
        <v>1906</v>
      </c>
    </row>
    <row r="84" spans="61:66" ht="15" customHeight="1" x14ac:dyDescent="0.3">
      <c r="BI84" s="73" t="s">
        <v>1021</v>
      </c>
      <c r="BJ84" s="73" t="s">
        <v>1022</v>
      </c>
      <c r="BK84" s="119" t="str">
        <f t="shared" si="14"/>
        <v>{{S10__채널_17}}{{S10__고객경험단계_17}}</v>
      </c>
      <c r="BL84" s="24" t="s">
        <v>1825</v>
      </c>
      <c r="BM84" s="24" t="s">
        <v>1866</v>
      </c>
      <c r="BN84" s="24" t="s">
        <v>1907</v>
      </c>
    </row>
    <row r="85" spans="61:66" ht="15" customHeight="1" x14ac:dyDescent="0.3">
      <c r="BI85" s="73" t="s">
        <v>1023</v>
      </c>
      <c r="BJ85" s="73" t="s">
        <v>1024</v>
      </c>
      <c r="BK85" s="119" t="str">
        <f t="shared" si="14"/>
        <v>{{S10__채널_18}}{{S10__고객경험단계_18}}</v>
      </c>
      <c r="BL85" s="24" t="s">
        <v>1826</v>
      </c>
      <c r="BM85" s="24" t="s">
        <v>1867</v>
      </c>
      <c r="BN85" s="24" t="s">
        <v>1908</v>
      </c>
    </row>
    <row r="86" spans="61:66" ht="15" customHeight="1" x14ac:dyDescent="0.3">
      <c r="BI86" s="73" t="s">
        <v>1025</v>
      </c>
      <c r="BJ86" s="73" t="s">
        <v>1026</v>
      </c>
      <c r="BK86" s="119" t="str">
        <f t="shared" si="14"/>
        <v>{{S10__채널_19}}{{S10__고객경험단계_19}}</v>
      </c>
      <c r="BL86" s="24" t="s">
        <v>1827</v>
      </c>
      <c r="BM86" s="24" t="s">
        <v>1868</v>
      </c>
      <c r="BN86" s="24" t="s">
        <v>1909</v>
      </c>
    </row>
    <row r="87" spans="61:66" ht="15" customHeight="1" x14ac:dyDescent="0.3">
      <c r="BI87" s="73" t="s">
        <v>1027</v>
      </c>
      <c r="BJ87" s="73" t="s">
        <v>1028</v>
      </c>
      <c r="BK87" s="119" t="str">
        <f t="shared" si="14"/>
        <v>{{S10__채널_20}}{{S10__고객경험단계_20}}</v>
      </c>
      <c r="BL87" s="24" t="s">
        <v>1828</v>
      </c>
      <c r="BM87" s="24" t="s">
        <v>1869</v>
      </c>
      <c r="BN87" s="24" t="s">
        <v>1910</v>
      </c>
    </row>
    <row r="88" spans="61:66" ht="15" customHeight="1" x14ac:dyDescent="0.3">
      <c r="BI88" s="73" t="s">
        <v>1029</v>
      </c>
      <c r="BJ88" s="73" t="s">
        <v>1030</v>
      </c>
      <c r="BK88" s="119" t="str">
        <f t="shared" si="14"/>
        <v>{{S10__채널_21}}{{S10__고객경험단계_21}}</v>
      </c>
      <c r="BL88" s="24" t="s">
        <v>1829</v>
      </c>
      <c r="BM88" s="24" t="s">
        <v>1870</v>
      </c>
      <c r="BN88" s="24" t="s">
        <v>1911</v>
      </c>
    </row>
    <row r="89" spans="61:66" ht="15" customHeight="1" x14ac:dyDescent="0.3">
      <c r="BI89" s="73" t="s">
        <v>1031</v>
      </c>
      <c r="BJ89" s="73" t="s">
        <v>1032</v>
      </c>
      <c r="BK89" s="119" t="str">
        <f t="shared" si="14"/>
        <v>{{S10__채널_22}}{{S10__고객경험단계_22}}</v>
      </c>
      <c r="BL89" s="24" t="s">
        <v>1830</v>
      </c>
      <c r="BM89" s="24" t="s">
        <v>1871</v>
      </c>
      <c r="BN89" s="24" t="s">
        <v>1912</v>
      </c>
    </row>
    <row r="90" spans="61:66" ht="15" customHeight="1" x14ac:dyDescent="0.3">
      <c r="BI90" s="73" t="s">
        <v>1033</v>
      </c>
      <c r="BJ90" s="73" t="s">
        <v>1034</v>
      </c>
      <c r="BK90" s="119" t="str">
        <f t="shared" si="14"/>
        <v>{{S10__채널_23}}{{S10__고객경험단계_23}}</v>
      </c>
      <c r="BL90" s="24" t="s">
        <v>1831</v>
      </c>
      <c r="BM90" s="24" t="s">
        <v>1872</v>
      </c>
      <c r="BN90" s="24" t="s">
        <v>1913</v>
      </c>
    </row>
    <row r="91" spans="61:66" ht="15" customHeight="1" x14ac:dyDescent="0.3">
      <c r="BI91" s="73" t="s">
        <v>1035</v>
      </c>
      <c r="BJ91" s="73" t="s">
        <v>1036</v>
      </c>
      <c r="BK91" s="119" t="str">
        <f t="shared" si="14"/>
        <v>{{S10__채널_24}}{{S10__고객경험단계_24}}</v>
      </c>
      <c r="BL91" s="24" t="s">
        <v>1832</v>
      </c>
      <c r="BM91" s="24" t="s">
        <v>1873</v>
      </c>
      <c r="BN91" s="24" t="s">
        <v>1914</v>
      </c>
    </row>
    <row r="92" spans="61:66" ht="15" customHeight="1" x14ac:dyDescent="0.3">
      <c r="BI92" s="73" t="s">
        <v>1037</v>
      </c>
      <c r="BJ92" s="73" t="s">
        <v>1038</v>
      </c>
      <c r="BK92" s="119" t="str">
        <f t="shared" si="14"/>
        <v>{{S10__채널_25}}{{S10__고객경험단계_25}}</v>
      </c>
      <c r="BL92" s="24" t="s">
        <v>1833</v>
      </c>
      <c r="BM92" s="24" t="s">
        <v>1874</v>
      </c>
      <c r="BN92" s="24" t="s">
        <v>1915</v>
      </c>
    </row>
    <row r="93" spans="61:66" ht="15" customHeight="1" x14ac:dyDescent="0.3">
      <c r="BI93" s="73" t="s">
        <v>1039</v>
      </c>
      <c r="BJ93" s="73" t="s">
        <v>1040</v>
      </c>
      <c r="BK93" s="119" t="str">
        <f t="shared" si="14"/>
        <v>{{S10__채널_26}}{{S10__고객경험단계_26}}</v>
      </c>
      <c r="BL93" s="24" t="s">
        <v>1834</v>
      </c>
      <c r="BM93" s="24" t="s">
        <v>1875</v>
      </c>
      <c r="BN93" s="24" t="s">
        <v>1916</v>
      </c>
    </row>
    <row r="94" spans="61:66" ht="15" customHeight="1" x14ac:dyDescent="0.3">
      <c r="BI94" s="73" t="s">
        <v>1041</v>
      </c>
      <c r="BJ94" s="73" t="s">
        <v>1042</v>
      </c>
      <c r="BK94" s="119" t="str">
        <f t="shared" si="14"/>
        <v>{{S10__채널_27}}{{S10__고객경험단계_27}}</v>
      </c>
      <c r="BL94" s="24" t="s">
        <v>1835</v>
      </c>
      <c r="BM94" s="24" t="s">
        <v>1876</v>
      </c>
      <c r="BN94" s="24" t="s">
        <v>1917</v>
      </c>
    </row>
    <row r="95" spans="61:66" ht="15" customHeight="1" x14ac:dyDescent="0.3">
      <c r="BI95" s="73" t="s">
        <v>1043</v>
      </c>
      <c r="BJ95" s="73" t="s">
        <v>1044</v>
      </c>
      <c r="BK95" s="119" t="str">
        <f t="shared" si="14"/>
        <v>{{S10__채널_28}}{{S10__고객경험단계_28}}</v>
      </c>
      <c r="BL95" s="24" t="s">
        <v>1836</v>
      </c>
      <c r="BM95" s="24" t="s">
        <v>1877</v>
      </c>
      <c r="BN95" s="24" t="s">
        <v>1918</v>
      </c>
    </row>
    <row r="96" spans="61:66" ht="15" customHeight="1" x14ac:dyDescent="0.3">
      <c r="BI96" s="73" t="s">
        <v>1045</v>
      </c>
      <c r="BJ96" s="73" t="s">
        <v>1046</v>
      </c>
      <c r="BK96" s="119" t="str">
        <f t="shared" si="14"/>
        <v>{{S10__채널_29}}{{S10__고객경험단계_29}}</v>
      </c>
      <c r="BL96" s="24" t="s">
        <v>1837</v>
      </c>
      <c r="BM96" s="24" t="s">
        <v>1878</v>
      </c>
      <c r="BN96" s="24" t="s">
        <v>1919</v>
      </c>
    </row>
    <row r="97" spans="61:66" ht="15" customHeight="1" x14ac:dyDescent="0.3">
      <c r="BI97" s="73" t="s">
        <v>1047</v>
      </c>
      <c r="BJ97" s="73" t="s">
        <v>1048</v>
      </c>
      <c r="BK97" s="119" t="str">
        <f t="shared" si="14"/>
        <v>{{S10__채널_30}}{{S10__고객경험단계_30}}</v>
      </c>
      <c r="BL97" s="24" t="s">
        <v>1838</v>
      </c>
      <c r="BM97" s="24" t="s">
        <v>1879</v>
      </c>
      <c r="BN97" s="24" t="s">
        <v>1920</v>
      </c>
    </row>
    <row r="98" spans="61:66" ht="15" customHeight="1" x14ac:dyDescent="0.3">
      <c r="BI98" s="73" t="s">
        <v>1049</v>
      </c>
      <c r="BJ98" s="73" t="s">
        <v>1050</v>
      </c>
      <c r="BK98" s="119" t="str">
        <f t="shared" si="14"/>
        <v>{{S10__채널_31}}{{S10__고객경험단계_31}}</v>
      </c>
      <c r="BL98" s="24" t="s">
        <v>1839</v>
      </c>
      <c r="BM98" s="24" t="s">
        <v>1880</v>
      </c>
      <c r="BN98" s="24" t="s">
        <v>1921</v>
      </c>
    </row>
    <row r="99" spans="61:66" ht="15" customHeight="1" x14ac:dyDescent="0.3">
      <c r="BI99" s="73" t="s">
        <v>1051</v>
      </c>
      <c r="BJ99" s="73" t="s">
        <v>1052</v>
      </c>
      <c r="BK99" s="119" t="str">
        <f t="shared" si="14"/>
        <v>{{S10__채널_32}}{{S10__고객경험단계_32}}</v>
      </c>
      <c r="BL99" s="24" t="s">
        <v>1840</v>
      </c>
      <c r="BM99" s="24" t="s">
        <v>1881</v>
      </c>
      <c r="BN99" s="24" t="s">
        <v>1922</v>
      </c>
    </row>
    <row r="100" spans="61:66" ht="15" customHeight="1" x14ac:dyDescent="0.3">
      <c r="BI100" s="73" t="s">
        <v>1053</v>
      </c>
      <c r="BJ100" s="73" t="s">
        <v>1054</v>
      </c>
      <c r="BK100" s="119" t="str">
        <f t="shared" si="14"/>
        <v>{{S10__채널_33}}{{S10__고객경험단계_33}}</v>
      </c>
      <c r="BL100" s="24" t="s">
        <v>1841</v>
      </c>
      <c r="BM100" s="24" t="s">
        <v>1882</v>
      </c>
      <c r="BN100" s="24" t="s">
        <v>1923</v>
      </c>
    </row>
    <row r="101" spans="61:66" ht="15" customHeight="1" x14ac:dyDescent="0.3">
      <c r="BI101" s="73" t="s">
        <v>1055</v>
      </c>
      <c r="BJ101" s="73" t="s">
        <v>1056</v>
      </c>
      <c r="BK101" s="119" t="str">
        <f t="shared" si="14"/>
        <v>{{S10__채널_34}}{{S10__고객경험단계_34}}</v>
      </c>
      <c r="BL101" s="24" t="s">
        <v>1842</v>
      </c>
      <c r="BM101" s="24" t="s">
        <v>1883</v>
      </c>
      <c r="BN101" s="24" t="s">
        <v>1924</v>
      </c>
    </row>
    <row r="102" spans="61:66" ht="15" customHeight="1" x14ac:dyDescent="0.3">
      <c r="BI102" s="73" t="s">
        <v>1057</v>
      </c>
      <c r="BJ102" s="73" t="s">
        <v>1058</v>
      </c>
      <c r="BK102" s="119" t="str">
        <f t="shared" si="14"/>
        <v>{{S10__채널_35}}{{S10__고객경험단계_35}}</v>
      </c>
      <c r="BL102" s="24" t="s">
        <v>1843</v>
      </c>
      <c r="BM102" s="24" t="s">
        <v>1884</v>
      </c>
      <c r="BN102" s="24" t="s">
        <v>1925</v>
      </c>
    </row>
    <row r="103" spans="61:66" ht="15" customHeight="1" x14ac:dyDescent="0.3">
      <c r="BI103" s="73" t="s">
        <v>1059</v>
      </c>
      <c r="BJ103" s="73" t="s">
        <v>1060</v>
      </c>
      <c r="BK103" s="119" t="str">
        <f t="shared" si="14"/>
        <v>{{S10__채널_36}}{{S10__고객경험단계_36}}</v>
      </c>
      <c r="BL103" s="24" t="s">
        <v>1844</v>
      </c>
      <c r="BM103" s="24" t="s">
        <v>1885</v>
      </c>
      <c r="BN103" s="24" t="s">
        <v>1926</v>
      </c>
    </row>
    <row r="104" spans="61:66" ht="15" customHeight="1" x14ac:dyDescent="0.3">
      <c r="BI104" s="73" t="s">
        <v>1061</v>
      </c>
      <c r="BJ104" s="73" t="s">
        <v>1062</v>
      </c>
      <c r="BK104" s="119" t="str">
        <f t="shared" si="14"/>
        <v>{{S10__채널_37}}{{S10__고객경험단계_37}}</v>
      </c>
      <c r="BL104" s="24" t="s">
        <v>1845</v>
      </c>
      <c r="BM104" s="24" t="s">
        <v>1886</v>
      </c>
      <c r="BN104" s="24" t="s">
        <v>1927</v>
      </c>
    </row>
    <row r="105" spans="61:66" ht="15" customHeight="1" x14ac:dyDescent="0.3">
      <c r="BI105" s="73" t="s">
        <v>1063</v>
      </c>
      <c r="BJ105" s="73" t="s">
        <v>1064</v>
      </c>
      <c r="BK105" s="119" t="str">
        <f t="shared" si="14"/>
        <v>{{S10__채널_38}}{{S10__고객경험단계_38}}</v>
      </c>
      <c r="BL105" s="24" t="s">
        <v>1846</v>
      </c>
      <c r="BM105" s="24" t="s">
        <v>1887</v>
      </c>
      <c r="BN105" s="24" t="s">
        <v>1928</v>
      </c>
    </row>
    <row r="106" spans="61:66" ht="15" customHeight="1" x14ac:dyDescent="0.3">
      <c r="BI106" s="73" t="s">
        <v>1065</v>
      </c>
      <c r="BJ106" s="73" t="s">
        <v>1066</v>
      </c>
      <c r="BK106" s="119" t="str">
        <f t="shared" si="14"/>
        <v>{{S10__채널_39}}{{S10__고객경험단계_39}}</v>
      </c>
      <c r="BL106" s="24" t="s">
        <v>1847</v>
      </c>
      <c r="BM106" s="24" t="s">
        <v>1888</v>
      </c>
      <c r="BN106" s="24" t="s">
        <v>1929</v>
      </c>
    </row>
    <row r="107" spans="61:66" ht="15" customHeight="1" x14ac:dyDescent="0.3">
      <c r="BI107" s="73" t="s">
        <v>1067</v>
      </c>
      <c r="BJ107" s="73" t="s">
        <v>1068</v>
      </c>
      <c r="BK107" s="119" t="str">
        <f t="shared" si="14"/>
        <v>{{S10__채널_40}}{{S10__고객경험단계_40}}</v>
      </c>
      <c r="BL107" s="24" t="s">
        <v>1848</v>
      </c>
      <c r="BM107" s="24" t="s">
        <v>1889</v>
      </c>
      <c r="BN107" s="24" t="s">
        <v>1930</v>
      </c>
    </row>
  </sheetData>
  <mergeCells count="286">
    <mergeCell ref="D6:I17"/>
    <mergeCell ref="D18:I28"/>
    <mergeCell ref="D29:I35"/>
    <mergeCell ref="D36:I42"/>
    <mergeCell ref="AU10:AX12"/>
    <mergeCell ref="AY10:BB12"/>
    <mergeCell ref="BC10:BF12"/>
    <mergeCell ref="AU19:AX21"/>
    <mergeCell ref="AY19:BB21"/>
    <mergeCell ref="BC19:BF21"/>
    <mergeCell ref="AU22:AX24"/>
    <mergeCell ref="AY22:BB24"/>
    <mergeCell ref="BC22:BF24"/>
    <mergeCell ref="AU41:AX42"/>
    <mergeCell ref="AY41:BB42"/>
    <mergeCell ref="BC41:BF42"/>
    <mergeCell ref="AU27:AX28"/>
    <mergeCell ref="AY27:BB28"/>
    <mergeCell ref="BC27:BF28"/>
    <mergeCell ref="AU14:AX17"/>
    <mergeCell ref="AY14:BB17"/>
    <mergeCell ref="BC14:BF17"/>
    <mergeCell ref="AU18:AX18"/>
    <mergeCell ref="AY18:BB18"/>
    <mergeCell ref="BC18:BF18"/>
    <mergeCell ref="AE6:AH6"/>
    <mergeCell ref="AI6:AL6"/>
    <mergeCell ref="AM6:AP6"/>
    <mergeCell ref="AE19:AH19"/>
    <mergeCell ref="AI19:AL19"/>
    <mergeCell ref="AM19:AP19"/>
    <mergeCell ref="AE11:AH11"/>
    <mergeCell ref="AI11:AL11"/>
    <mergeCell ref="AM11:AP11"/>
    <mergeCell ref="AM7:AP7"/>
    <mergeCell ref="BC9:BF9"/>
    <mergeCell ref="AU6:AX6"/>
    <mergeCell ref="AY6:BB6"/>
    <mergeCell ref="BC6:BF6"/>
    <mergeCell ref="AU7:AX7"/>
    <mergeCell ref="AY7:BB7"/>
    <mergeCell ref="BC7:BF7"/>
    <mergeCell ref="AU8:AX8"/>
    <mergeCell ref="AY8:BB8"/>
    <mergeCell ref="BC8:BF8"/>
    <mergeCell ref="AQ7:AT7"/>
    <mergeCell ref="AA19:AD19"/>
    <mergeCell ref="AM15:AP15"/>
    <mergeCell ref="AQ15:AT15"/>
    <mergeCell ref="AQ19:AT19"/>
    <mergeCell ref="AA20:AD20"/>
    <mergeCell ref="AE20:AH20"/>
    <mergeCell ref="AI20:AL20"/>
    <mergeCell ref="AM20:AP20"/>
    <mergeCell ref="AQ20:AT20"/>
    <mergeCell ref="AA18:AD18"/>
    <mergeCell ref="AE18:AH18"/>
    <mergeCell ref="AI18:AL18"/>
    <mergeCell ref="AM18:AP18"/>
    <mergeCell ref="AQ18:AT18"/>
    <mergeCell ref="AQ16:AT16"/>
    <mergeCell ref="AA17:AD17"/>
    <mergeCell ref="AE17:AH17"/>
    <mergeCell ref="AI17:AL17"/>
    <mergeCell ref="AM17:AP17"/>
    <mergeCell ref="AQ17:AT17"/>
    <mergeCell ref="AA16:AD16"/>
    <mergeCell ref="AE16:AH16"/>
    <mergeCell ref="AI16:AL16"/>
    <mergeCell ref="AM16:AP16"/>
    <mergeCell ref="AA15:AD15"/>
    <mergeCell ref="AE15:AH15"/>
    <mergeCell ref="AI15:AL15"/>
    <mergeCell ref="BC13:BF13"/>
    <mergeCell ref="AQ13:AT13"/>
    <mergeCell ref="AA14:AD14"/>
    <mergeCell ref="AE14:AH14"/>
    <mergeCell ref="AI14:AL14"/>
    <mergeCell ref="AM14:AP14"/>
    <mergeCell ref="AQ14:AT14"/>
    <mergeCell ref="AA13:AD13"/>
    <mergeCell ref="AE13:AH13"/>
    <mergeCell ref="AI13:AL13"/>
    <mergeCell ref="AM13:AP13"/>
    <mergeCell ref="AA12:AD12"/>
    <mergeCell ref="AE12:AH12"/>
    <mergeCell ref="AI12:AL12"/>
    <mergeCell ref="AU13:AX13"/>
    <mergeCell ref="AY13:BB13"/>
    <mergeCell ref="AM12:AP12"/>
    <mergeCell ref="AQ12:AT12"/>
    <mergeCell ref="AU9:AX9"/>
    <mergeCell ref="AY9:BB9"/>
    <mergeCell ref="AQ11:AT11"/>
    <mergeCell ref="AA10:AD10"/>
    <mergeCell ref="AE10:AH10"/>
    <mergeCell ref="AI10:AL10"/>
    <mergeCell ref="AM10:AP10"/>
    <mergeCell ref="AQ10:AT10"/>
    <mergeCell ref="AA9:AD9"/>
    <mergeCell ref="AE9:AH9"/>
    <mergeCell ref="AI9:AL9"/>
    <mergeCell ref="AM9:AP9"/>
    <mergeCell ref="AQ9:AT9"/>
    <mergeCell ref="AA11:AD11"/>
    <mergeCell ref="AA8:AD8"/>
    <mergeCell ref="AE8:AH8"/>
    <mergeCell ref="AI8:AL8"/>
    <mergeCell ref="AM8:AP8"/>
    <mergeCell ref="AQ6:AT6"/>
    <mergeCell ref="AA7:AD7"/>
    <mergeCell ref="AE7:AH7"/>
    <mergeCell ref="AI7:AL7"/>
    <mergeCell ref="AQ8:AT8"/>
    <mergeCell ref="AA6:AD6"/>
    <mergeCell ref="AU5:AX5"/>
    <mergeCell ref="AY5:BB5"/>
    <mergeCell ref="BC5:BF5"/>
    <mergeCell ref="D4:I5"/>
    <mergeCell ref="J4:O5"/>
    <mergeCell ref="P4:Z5"/>
    <mergeCell ref="AA4:AT4"/>
    <mergeCell ref="AU4:BF4"/>
    <mergeCell ref="AA5:AD5"/>
    <mergeCell ref="AE5:AH5"/>
    <mergeCell ref="AI5:AL5"/>
    <mergeCell ref="AM5:AP5"/>
    <mergeCell ref="AQ5:AT5"/>
    <mergeCell ref="AA21:AD21"/>
    <mergeCell ref="AE21:AH21"/>
    <mergeCell ref="AI21:AL21"/>
    <mergeCell ref="AM21:AP21"/>
    <mergeCell ref="AQ21:AT21"/>
    <mergeCell ref="AQ22:AT22"/>
    <mergeCell ref="AA23:AD23"/>
    <mergeCell ref="AE23:AH23"/>
    <mergeCell ref="AI23:AL23"/>
    <mergeCell ref="AM23:AP23"/>
    <mergeCell ref="AQ23:AT23"/>
    <mergeCell ref="AA22:AD22"/>
    <mergeCell ref="AE22:AH22"/>
    <mergeCell ref="AI22:AL22"/>
    <mergeCell ref="AM22:AP22"/>
    <mergeCell ref="AU25:AX25"/>
    <mergeCell ref="AY25:BB25"/>
    <mergeCell ref="BC25:BF25"/>
    <mergeCell ref="AA24:AD24"/>
    <mergeCell ref="AA26:AD26"/>
    <mergeCell ref="AE26:AH26"/>
    <mergeCell ref="AI26:AL26"/>
    <mergeCell ref="AM26:AP26"/>
    <mergeCell ref="AQ26:AT26"/>
    <mergeCell ref="AU26:AX26"/>
    <mergeCell ref="AY26:BB26"/>
    <mergeCell ref="BC26:BF26"/>
    <mergeCell ref="AE24:AH24"/>
    <mergeCell ref="AI24:AL24"/>
    <mergeCell ref="AM24:AP24"/>
    <mergeCell ref="AQ24:AT24"/>
    <mergeCell ref="AA25:AD25"/>
    <mergeCell ref="AE25:AH25"/>
    <mergeCell ref="AI25:AL25"/>
    <mergeCell ref="AM25:AP25"/>
    <mergeCell ref="AQ25:AT25"/>
    <mergeCell ref="AA27:AD27"/>
    <mergeCell ref="AE27:AH27"/>
    <mergeCell ref="AI27:AL27"/>
    <mergeCell ref="AM27:AP27"/>
    <mergeCell ref="AQ27:AT27"/>
    <mergeCell ref="AA28:AD28"/>
    <mergeCell ref="AE28:AH28"/>
    <mergeCell ref="AI28:AL28"/>
    <mergeCell ref="AM28:AP28"/>
    <mergeCell ref="AQ28:AT28"/>
    <mergeCell ref="AA29:AD29"/>
    <mergeCell ref="AE29:AH29"/>
    <mergeCell ref="AI29:AL29"/>
    <mergeCell ref="AM29:AP29"/>
    <mergeCell ref="AQ29:AT29"/>
    <mergeCell ref="AU29:AX29"/>
    <mergeCell ref="AY29:BB29"/>
    <mergeCell ref="BC29:BF29"/>
    <mergeCell ref="AA30:AD30"/>
    <mergeCell ref="AE30:AH30"/>
    <mergeCell ref="AI30:AL30"/>
    <mergeCell ref="AM30:AP30"/>
    <mergeCell ref="AQ30:AT30"/>
    <mergeCell ref="AU30:AX30"/>
    <mergeCell ref="AY30:BB30"/>
    <mergeCell ref="BC30:BF30"/>
    <mergeCell ref="AA31:AD31"/>
    <mergeCell ref="AE31:AH31"/>
    <mergeCell ref="AI31:AL31"/>
    <mergeCell ref="AM31:AP31"/>
    <mergeCell ref="AQ31:AT31"/>
    <mergeCell ref="AU31:AX31"/>
    <mergeCell ref="AY31:BB31"/>
    <mergeCell ref="BC31:BF31"/>
    <mergeCell ref="AA32:AD32"/>
    <mergeCell ref="AE32:AH32"/>
    <mergeCell ref="AI32:AL32"/>
    <mergeCell ref="AM32:AP32"/>
    <mergeCell ref="AQ32:AT32"/>
    <mergeCell ref="AU32:AX32"/>
    <mergeCell ref="AY32:BB32"/>
    <mergeCell ref="BC32:BF32"/>
    <mergeCell ref="AA33:AD33"/>
    <mergeCell ref="AE33:AH33"/>
    <mergeCell ref="AI33:AL33"/>
    <mergeCell ref="AM33:AP33"/>
    <mergeCell ref="AQ33:AT33"/>
    <mergeCell ref="AU33:AX33"/>
    <mergeCell ref="AY33:BB33"/>
    <mergeCell ref="BC33:BF33"/>
    <mergeCell ref="AA34:AD34"/>
    <mergeCell ref="AE34:AH34"/>
    <mergeCell ref="AI34:AL34"/>
    <mergeCell ref="AM34:AP34"/>
    <mergeCell ref="AQ34:AT34"/>
    <mergeCell ref="AU34:AX34"/>
    <mergeCell ref="AY34:BB34"/>
    <mergeCell ref="BC34:BF34"/>
    <mergeCell ref="AA35:AD35"/>
    <mergeCell ref="AE35:AH35"/>
    <mergeCell ref="AI35:AL35"/>
    <mergeCell ref="AM35:AP35"/>
    <mergeCell ref="AQ35:AT35"/>
    <mergeCell ref="AU35:AX35"/>
    <mergeCell ref="AY35:BB35"/>
    <mergeCell ref="BC35:BF35"/>
    <mergeCell ref="AA36:AD36"/>
    <mergeCell ref="AE36:AH36"/>
    <mergeCell ref="AI36:AL36"/>
    <mergeCell ref="AM36:AP36"/>
    <mergeCell ref="AQ36:AT36"/>
    <mergeCell ref="AU36:AX36"/>
    <mergeCell ref="AY36:BB36"/>
    <mergeCell ref="BC36:BF36"/>
    <mergeCell ref="AA37:AD37"/>
    <mergeCell ref="AE37:AH37"/>
    <mergeCell ref="AI37:AL37"/>
    <mergeCell ref="AM37:AP37"/>
    <mergeCell ref="AQ37:AT37"/>
    <mergeCell ref="AU37:AX37"/>
    <mergeCell ref="AY37:BB37"/>
    <mergeCell ref="BC37:BF37"/>
    <mergeCell ref="AI41:AL41"/>
    <mergeCell ref="AM41:AP41"/>
    <mergeCell ref="AQ41:AT41"/>
    <mergeCell ref="AA38:AD38"/>
    <mergeCell ref="AE38:AH38"/>
    <mergeCell ref="AI38:AL38"/>
    <mergeCell ref="AM38:AP38"/>
    <mergeCell ref="AQ38:AT38"/>
    <mergeCell ref="AU38:AX38"/>
    <mergeCell ref="AY38:BB38"/>
    <mergeCell ref="BC38:BF38"/>
    <mergeCell ref="AA39:AD39"/>
    <mergeCell ref="AE39:AH39"/>
    <mergeCell ref="AI39:AL39"/>
    <mergeCell ref="AM39:AP39"/>
    <mergeCell ref="AQ39:AT39"/>
    <mergeCell ref="AU39:AX39"/>
    <mergeCell ref="AY39:BB39"/>
    <mergeCell ref="BC39:BF39"/>
    <mergeCell ref="AA42:AD42"/>
    <mergeCell ref="AE42:AH42"/>
    <mergeCell ref="AI42:AL42"/>
    <mergeCell ref="AM42:AP42"/>
    <mergeCell ref="AQ42:AT42"/>
    <mergeCell ref="J10:O12"/>
    <mergeCell ref="J14:O17"/>
    <mergeCell ref="J19:O21"/>
    <mergeCell ref="J22:O24"/>
    <mergeCell ref="J27:O28"/>
    <mergeCell ref="J41:O42"/>
    <mergeCell ref="AA40:AD40"/>
    <mergeCell ref="AE40:AH40"/>
    <mergeCell ref="AI40:AL40"/>
    <mergeCell ref="AM40:AP40"/>
    <mergeCell ref="AQ40:AT40"/>
    <mergeCell ref="AU40:AX40"/>
    <mergeCell ref="AY40:BB40"/>
    <mergeCell ref="BC40:BF40"/>
    <mergeCell ref="AA41:AD41"/>
    <mergeCell ref="AE41:AH41"/>
  </mergeCells>
  <phoneticPr fontId="1" type="noConversion"/>
  <pageMargins left="0.25" right="0.25" top="0.75" bottom="0.75" header="0.3" footer="0.3"/>
  <pageSetup paperSize="9" scale="9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2DB5-B183-494A-AFBF-55601D5EE9D3}">
  <sheetPr>
    <tabColor rgb="FFFF0000"/>
  </sheetPr>
  <dimension ref="B1:BM59"/>
  <sheetViews>
    <sheetView showGridLines="0" view="pageBreakPreview" zoomScaleNormal="100" zoomScaleSheetLayoutView="100" workbookViewId="0">
      <selection activeCell="AM83" sqref="AM83"/>
    </sheetView>
  </sheetViews>
  <sheetFormatPr defaultColWidth="9.625" defaultRowHeight="15" customHeight="1" x14ac:dyDescent="0.3"/>
  <cols>
    <col min="1" max="57" width="1.625" style="24" customWidth="1"/>
    <col min="58" max="16384" width="9.625" style="24"/>
  </cols>
  <sheetData>
    <row r="1" spans="2:64" ht="8.1" customHeight="1" x14ac:dyDescent="0.3"/>
    <row r="2" spans="2:64" ht="15" customHeight="1" x14ac:dyDescent="0.3">
      <c r="B2" s="1" t="s">
        <v>2809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</row>
    <row r="3" spans="2:64" ht="5.0999999999999996" customHeight="1" x14ac:dyDescent="0.3">
      <c r="B3"/>
      <c r="C3"/>
      <c r="D3"/>
      <c r="E3"/>
      <c r="F3"/>
      <c r="G3"/>
      <c r="H3"/>
      <c r="I3"/>
      <c r="J3"/>
      <c r="K3"/>
      <c r="L3"/>
      <c r="M3"/>
      <c r="N3" s="76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2:64" ht="12" customHeight="1" x14ac:dyDescent="0.3">
      <c r="B4" s="121"/>
      <c r="C4" s="121"/>
      <c r="D4" s="121"/>
      <c r="E4" s="121"/>
      <c r="F4" s="121"/>
      <c r="G4" s="121"/>
      <c r="H4" s="121"/>
      <c r="I4" s="121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</row>
    <row r="5" spans="2:64" ht="12" customHeight="1" x14ac:dyDescent="0.3">
      <c r="B5" s="291" t="s">
        <v>367</v>
      </c>
      <c r="C5" s="291"/>
      <c r="D5" s="291"/>
      <c r="E5" s="291"/>
      <c r="F5" s="291"/>
      <c r="G5" s="291"/>
      <c r="H5" s="291"/>
      <c r="I5" s="123" t="s">
        <v>2763</v>
      </c>
      <c r="J5" s="124"/>
      <c r="K5" s="124"/>
      <c r="L5" s="124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</row>
    <row r="6" spans="2:64" ht="12" customHeight="1" x14ac:dyDescent="0.3">
      <c r="B6" s="291"/>
      <c r="C6" s="291"/>
      <c r="D6" s="291"/>
      <c r="E6" s="291"/>
      <c r="F6" s="291"/>
      <c r="G6" s="291"/>
      <c r="H6" s="291"/>
      <c r="I6" s="126"/>
      <c r="J6" s="127" t="s">
        <v>2761</v>
      </c>
      <c r="K6" s="128"/>
      <c r="L6" s="129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</row>
    <row r="7" spans="2:64" ht="12" customHeight="1" x14ac:dyDescent="0.3">
      <c r="B7" s="131"/>
      <c r="C7" s="131"/>
      <c r="D7" s="131"/>
      <c r="E7" s="131"/>
      <c r="F7" s="131"/>
      <c r="G7" s="131"/>
      <c r="H7" s="131"/>
      <c r="I7" s="126"/>
      <c r="J7" s="126"/>
      <c r="K7" s="132"/>
      <c r="L7" s="123" t="s">
        <v>2762</v>
      </c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</row>
    <row r="8" spans="2:64" ht="24" customHeight="1" x14ac:dyDescent="0.3">
      <c r="B8" s="281" t="s">
        <v>2808</v>
      </c>
      <c r="C8" s="281"/>
      <c r="D8" s="281"/>
      <c r="E8" s="281"/>
      <c r="F8" s="281"/>
      <c r="G8" s="281"/>
      <c r="H8" s="281"/>
      <c r="I8" s="283" t="s">
        <v>2764</v>
      </c>
      <c r="J8" s="284"/>
      <c r="K8" s="284"/>
      <c r="L8" s="284"/>
      <c r="M8" s="284"/>
      <c r="N8" s="284"/>
      <c r="O8" s="284"/>
      <c r="P8" s="284"/>
      <c r="Q8" s="284"/>
      <c r="R8" s="284"/>
      <c r="S8" s="284"/>
      <c r="T8" s="284"/>
      <c r="U8" s="284"/>
      <c r="V8" s="284"/>
      <c r="W8" s="284"/>
      <c r="X8" s="284"/>
      <c r="Y8" s="284"/>
      <c r="Z8" s="284"/>
      <c r="AA8" s="284"/>
      <c r="AB8" s="284"/>
      <c r="AC8" s="284"/>
      <c r="AD8" s="284"/>
      <c r="AE8" s="284"/>
      <c r="AF8" s="284"/>
      <c r="AG8" s="284"/>
      <c r="AH8" s="284"/>
      <c r="AI8" s="284"/>
      <c r="AJ8" s="284"/>
      <c r="AK8" s="284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  <c r="BA8" s="284"/>
      <c r="BB8" s="284"/>
      <c r="BC8" s="284"/>
      <c r="BD8" s="284"/>
    </row>
    <row r="9" spans="2:64" ht="12" customHeight="1" x14ac:dyDescent="0.3">
      <c r="B9" s="281"/>
      <c r="C9" s="281"/>
      <c r="D9" s="281"/>
      <c r="E9" s="281"/>
      <c r="F9" s="281"/>
      <c r="G9" s="281"/>
      <c r="H9" s="281"/>
      <c r="I9" s="134"/>
      <c r="J9" s="287" t="s">
        <v>2765</v>
      </c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  <c r="AA9" s="288"/>
      <c r="AB9" s="288"/>
      <c r="AC9" s="288"/>
      <c r="AD9" s="288"/>
      <c r="AE9" s="288"/>
      <c r="AF9" s="288"/>
      <c r="AG9" s="288"/>
      <c r="AH9" s="288"/>
      <c r="AI9" s="288"/>
      <c r="AJ9" s="288"/>
      <c r="AK9" s="288"/>
      <c r="AL9" s="288"/>
      <c r="AM9" s="288"/>
      <c r="AN9" s="288"/>
      <c r="AO9" s="288"/>
      <c r="AP9" s="288"/>
      <c r="AQ9" s="288"/>
      <c r="AR9" s="288"/>
      <c r="AS9" s="288"/>
      <c r="AT9" s="288"/>
      <c r="AU9" s="288"/>
      <c r="AV9" s="288"/>
      <c r="AW9" s="288"/>
      <c r="AX9" s="288"/>
      <c r="AY9" s="288"/>
      <c r="AZ9" s="288"/>
      <c r="BA9" s="288"/>
      <c r="BB9" s="288"/>
      <c r="BC9" s="288"/>
      <c r="BD9" s="288"/>
    </row>
    <row r="10" spans="2:64" ht="12" customHeight="1" x14ac:dyDescent="0.3">
      <c r="B10" s="281"/>
      <c r="C10" s="281"/>
      <c r="D10" s="281"/>
      <c r="E10" s="281"/>
      <c r="F10" s="281"/>
      <c r="G10" s="281"/>
      <c r="H10" s="281"/>
      <c r="I10" s="135"/>
      <c r="J10" s="136"/>
      <c r="K10" s="137"/>
      <c r="L10" s="285" t="s">
        <v>2766</v>
      </c>
      <c r="M10" s="285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  <c r="AA10" s="285"/>
      <c r="AB10" s="285"/>
      <c r="AC10" s="285"/>
      <c r="AD10" s="285"/>
      <c r="AE10" s="285"/>
      <c r="AF10" s="285"/>
      <c r="AG10" s="285"/>
      <c r="AH10" s="285"/>
      <c r="AI10" s="285"/>
      <c r="AJ10" s="285"/>
      <c r="AK10" s="285"/>
      <c r="AL10" s="285"/>
      <c r="AM10" s="285"/>
      <c r="AN10" s="285"/>
      <c r="AO10" s="285"/>
      <c r="AP10" s="285"/>
      <c r="AQ10" s="285"/>
      <c r="AR10" s="285"/>
      <c r="AS10" s="285"/>
      <c r="AT10" s="285"/>
      <c r="AU10" s="285"/>
      <c r="AV10" s="285"/>
      <c r="AW10" s="285"/>
      <c r="AX10" s="285"/>
      <c r="AY10" s="285"/>
      <c r="AZ10" s="285"/>
      <c r="BA10" s="285"/>
      <c r="BB10" s="285"/>
      <c r="BC10" s="285"/>
      <c r="BD10" s="285"/>
      <c r="BH10" s="73"/>
      <c r="BI10" s="73"/>
      <c r="BJ10" s="73"/>
      <c r="BK10" s="73"/>
      <c r="BL10" s="73"/>
    </row>
    <row r="11" spans="2:64" ht="12" customHeight="1" x14ac:dyDescent="0.3">
      <c r="B11" s="281"/>
      <c r="C11" s="281"/>
      <c r="D11" s="281"/>
      <c r="E11" s="281"/>
      <c r="F11" s="281"/>
      <c r="G11" s="281"/>
      <c r="H11" s="281"/>
      <c r="I11" s="135"/>
      <c r="J11" s="136"/>
      <c r="K11" s="137"/>
      <c r="L11" s="285" t="s">
        <v>2767</v>
      </c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285"/>
      <c r="AI11" s="285"/>
      <c r="AJ11" s="285"/>
      <c r="AK11" s="285"/>
      <c r="AL11" s="285"/>
      <c r="AM11" s="285"/>
      <c r="AN11" s="285"/>
      <c r="AO11" s="285"/>
      <c r="AP11" s="285"/>
      <c r="AQ11" s="285"/>
      <c r="AR11" s="285"/>
      <c r="AS11" s="285"/>
      <c r="AT11" s="285"/>
      <c r="AU11" s="285"/>
      <c r="AV11" s="285"/>
      <c r="AW11" s="285"/>
      <c r="AX11" s="285"/>
      <c r="AY11" s="285"/>
      <c r="AZ11" s="285"/>
      <c r="BA11" s="285"/>
      <c r="BB11" s="285"/>
      <c r="BC11" s="285"/>
      <c r="BD11" s="285"/>
      <c r="BH11" s="73"/>
      <c r="BI11" s="73"/>
      <c r="BJ11" s="73"/>
      <c r="BK11" s="73"/>
      <c r="BL11" s="73"/>
    </row>
    <row r="12" spans="2:64" ht="12" customHeight="1" x14ac:dyDescent="0.3">
      <c r="B12" s="281"/>
      <c r="C12" s="281"/>
      <c r="D12" s="281"/>
      <c r="E12" s="281"/>
      <c r="F12" s="281"/>
      <c r="G12" s="281"/>
      <c r="H12" s="281"/>
      <c r="I12" s="135"/>
      <c r="J12" s="136"/>
      <c r="K12" s="137"/>
      <c r="L12" s="285" t="s">
        <v>2768</v>
      </c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5"/>
      <c r="AL12" s="285"/>
      <c r="AM12" s="285"/>
      <c r="AN12" s="285"/>
      <c r="AO12" s="285"/>
      <c r="AP12" s="285"/>
      <c r="AQ12" s="285"/>
      <c r="AR12" s="285"/>
      <c r="AS12" s="285"/>
      <c r="AT12" s="285"/>
      <c r="AU12" s="285"/>
      <c r="AV12" s="285"/>
      <c r="AW12" s="285"/>
      <c r="AX12" s="285"/>
      <c r="AY12" s="285"/>
      <c r="AZ12" s="285"/>
      <c r="BA12" s="285"/>
      <c r="BB12" s="285"/>
      <c r="BC12" s="285"/>
      <c r="BD12" s="285"/>
      <c r="BH12" s="73"/>
      <c r="BI12" s="73"/>
      <c r="BJ12" s="73"/>
      <c r="BK12" s="73"/>
      <c r="BL12" s="73"/>
    </row>
    <row r="13" spans="2:64" ht="12" customHeight="1" x14ac:dyDescent="0.3">
      <c r="B13" s="281"/>
      <c r="C13" s="281"/>
      <c r="D13" s="281"/>
      <c r="E13" s="281"/>
      <c r="F13" s="281"/>
      <c r="G13" s="281"/>
      <c r="H13" s="281"/>
      <c r="I13" s="134"/>
      <c r="J13" s="289" t="s">
        <v>2810</v>
      </c>
      <c r="K13" s="290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28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8"/>
      <c r="AX13" s="288"/>
      <c r="AY13" s="288"/>
      <c r="AZ13" s="288"/>
      <c r="BA13" s="288"/>
      <c r="BB13" s="288"/>
      <c r="BC13" s="288"/>
      <c r="BD13" s="288"/>
      <c r="BH13" s="73"/>
      <c r="BI13" s="73"/>
      <c r="BJ13" s="73"/>
      <c r="BK13" s="73"/>
      <c r="BL13" s="73"/>
    </row>
    <row r="14" spans="2:64" ht="12" customHeight="1" x14ac:dyDescent="0.3">
      <c r="B14" s="281"/>
      <c r="C14" s="281"/>
      <c r="D14" s="281"/>
      <c r="E14" s="281"/>
      <c r="F14" s="281"/>
      <c r="G14" s="281"/>
      <c r="H14" s="281"/>
      <c r="I14" s="135"/>
      <c r="J14" s="136"/>
      <c r="K14" s="137"/>
      <c r="L14" s="285" t="s">
        <v>2769</v>
      </c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5"/>
      <c r="AB14" s="285"/>
      <c r="AC14" s="285"/>
      <c r="AD14" s="285"/>
      <c r="AE14" s="285"/>
      <c r="AF14" s="285"/>
      <c r="AG14" s="285"/>
      <c r="AH14" s="285"/>
      <c r="AI14" s="285"/>
      <c r="AJ14" s="285"/>
      <c r="AK14" s="285"/>
      <c r="AL14" s="285"/>
      <c r="AM14" s="285"/>
      <c r="AN14" s="285"/>
      <c r="AO14" s="285"/>
      <c r="AP14" s="285"/>
      <c r="AQ14" s="285"/>
      <c r="AR14" s="285"/>
      <c r="AS14" s="285"/>
      <c r="AT14" s="285"/>
      <c r="AU14" s="285"/>
      <c r="AV14" s="285"/>
      <c r="AW14" s="285"/>
      <c r="AX14" s="285"/>
      <c r="AY14" s="285"/>
      <c r="AZ14" s="285"/>
      <c r="BA14" s="285"/>
      <c r="BB14" s="285"/>
      <c r="BC14" s="285"/>
      <c r="BD14" s="285"/>
      <c r="BH14" s="73"/>
      <c r="BI14" s="73"/>
      <c r="BJ14" s="73"/>
      <c r="BK14" s="73"/>
      <c r="BL14" s="73"/>
    </row>
    <row r="15" spans="2:64" ht="12" customHeight="1" x14ac:dyDescent="0.3">
      <c r="B15" s="281"/>
      <c r="C15" s="281"/>
      <c r="D15" s="281"/>
      <c r="E15" s="281"/>
      <c r="F15" s="281"/>
      <c r="G15" s="281"/>
      <c r="H15" s="281"/>
      <c r="I15" s="135"/>
      <c r="J15" s="136"/>
      <c r="K15" s="137"/>
      <c r="L15" s="285" t="s">
        <v>2770</v>
      </c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  <c r="AA15" s="285"/>
      <c r="AB15" s="285"/>
      <c r="AC15" s="285"/>
      <c r="AD15" s="285"/>
      <c r="AE15" s="285"/>
      <c r="AF15" s="285"/>
      <c r="AG15" s="285"/>
      <c r="AH15" s="285"/>
      <c r="AI15" s="285"/>
      <c r="AJ15" s="285"/>
      <c r="AK15" s="285"/>
      <c r="AL15" s="285"/>
      <c r="AM15" s="285"/>
      <c r="AN15" s="285"/>
      <c r="AO15" s="285"/>
      <c r="AP15" s="285"/>
      <c r="AQ15" s="285"/>
      <c r="AR15" s="285"/>
      <c r="AS15" s="285"/>
      <c r="AT15" s="285"/>
      <c r="AU15" s="285"/>
      <c r="AV15" s="285"/>
      <c r="AW15" s="285"/>
      <c r="AX15" s="285"/>
      <c r="AY15" s="285"/>
      <c r="AZ15" s="285"/>
      <c r="BA15" s="285"/>
      <c r="BB15" s="285"/>
      <c r="BC15" s="285"/>
      <c r="BD15" s="285"/>
      <c r="BH15" s="73"/>
      <c r="BI15" s="73"/>
      <c r="BJ15" s="73"/>
      <c r="BK15" s="73"/>
      <c r="BL15" s="73"/>
    </row>
    <row r="16" spans="2:64" ht="12" customHeight="1" x14ac:dyDescent="0.3">
      <c r="B16" s="281"/>
      <c r="C16" s="281"/>
      <c r="D16" s="281"/>
      <c r="E16" s="281"/>
      <c r="F16" s="281"/>
      <c r="G16" s="281"/>
      <c r="H16" s="281"/>
      <c r="I16" s="135"/>
      <c r="J16" s="136"/>
      <c r="K16" s="137"/>
      <c r="L16" s="285" t="s">
        <v>2771</v>
      </c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85"/>
      <c r="AS16" s="285"/>
      <c r="AT16" s="285"/>
      <c r="AU16" s="285"/>
      <c r="AV16" s="285"/>
      <c r="AW16" s="285"/>
      <c r="AX16" s="285"/>
      <c r="AY16" s="285"/>
      <c r="AZ16" s="285"/>
      <c r="BA16" s="285"/>
      <c r="BB16" s="285"/>
      <c r="BC16" s="285"/>
      <c r="BD16" s="285"/>
      <c r="BH16" s="73"/>
      <c r="BI16" s="73"/>
      <c r="BJ16" s="73"/>
      <c r="BK16" s="73"/>
      <c r="BL16" s="73"/>
    </row>
    <row r="17" spans="2:64" ht="12" customHeight="1" x14ac:dyDescent="0.3">
      <c r="B17" s="281"/>
      <c r="C17" s="281"/>
      <c r="D17" s="281"/>
      <c r="E17" s="281"/>
      <c r="F17" s="281"/>
      <c r="G17" s="281"/>
      <c r="H17" s="281"/>
      <c r="I17" s="134"/>
      <c r="J17" s="289" t="s">
        <v>2811</v>
      </c>
      <c r="K17" s="290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/>
      <c r="AI17" s="288"/>
      <c r="AJ17" s="288"/>
      <c r="AK17" s="288"/>
      <c r="AL17" s="288"/>
      <c r="AM17" s="288"/>
      <c r="AN17" s="288"/>
      <c r="AO17" s="288"/>
      <c r="AP17" s="288"/>
      <c r="AQ17" s="288"/>
      <c r="AR17" s="288"/>
      <c r="AS17" s="288"/>
      <c r="AT17" s="288"/>
      <c r="AU17" s="288"/>
      <c r="AV17" s="288"/>
      <c r="AW17" s="288"/>
      <c r="AX17" s="288"/>
      <c r="AY17" s="288"/>
      <c r="AZ17" s="288"/>
      <c r="BA17" s="288"/>
      <c r="BB17" s="288"/>
      <c r="BC17" s="288"/>
      <c r="BD17" s="288"/>
      <c r="BH17" s="73"/>
      <c r="BI17" s="73"/>
      <c r="BJ17" s="73"/>
      <c r="BK17" s="73"/>
      <c r="BL17" s="73"/>
    </row>
    <row r="18" spans="2:64" ht="12" customHeight="1" x14ac:dyDescent="0.3">
      <c r="B18" s="281"/>
      <c r="C18" s="281"/>
      <c r="D18" s="281"/>
      <c r="E18" s="281"/>
      <c r="F18" s="281"/>
      <c r="G18" s="281"/>
      <c r="H18" s="281"/>
      <c r="I18" s="135"/>
      <c r="J18" s="136"/>
      <c r="K18" s="137"/>
      <c r="L18" s="285" t="s">
        <v>2772</v>
      </c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85"/>
      <c r="AC18" s="285"/>
      <c r="AD18" s="285"/>
      <c r="AE18" s="285"/>
      <c r="AF18" s="285"/>
      <c r="AG18" s="285"/>
      <c r="AH18" s="285"/>
      <c r="AI18" s="285"/>
      <c r="AJ18" s="285"/>
      <c r="AK18" s="285"/>
      <c r="AL18" s="285"/>
      <c r="AM18" s="285"/>
      <c r="AN18" s="285"/>
      <c r="AO18" s="285"/>
      <c r="AP18" s="285"/>
      <c r="AQ18" s="285"/>
      <c r="AR18" s="285"/>
      <c r="AS18" s="285"/>
      <c r="AT18" s="285"/>
      <c r="AU18" s="285"/>
      <c r="AV18" s="285"/>
      <c r="AW18" s="285"/>
      <c r="AX18" s="285"/>
      <c r="AY18" s="285"/>
      <c r="AZ18" s="285"/>
      <c r="BA18" s="285"/>
      <c r="BB18" s="285"/>
      <c r="BC18" s="285"/>
      <c r="BD18" s="285"/>
      <c r="BH18" s="73"/>
      <c r="BI18" s="73"/>
      <c r="BJ18" s="73"/>
      <c r="BK18" s="73"/>
      <c r="BL18" s="73"/>
    </row>
    <row r="19" spans="2:64" ht="12" customHeight="1" x14ac:dyDescent="0.3">
      <c r="B19" s="281"/>
      <c r="C19" s="281"/>
      <c r="D19" s="281"/>
      <c r="E19" s="281"/>
      <c r="F19" s="281"/>
      <c r="G19" s="281"/>
      <c r="H19" s="281"/>
      <c r="I19" s="135"/>
      <c r="J19" s="136"/>
      <c r="K19" s="137"/>
      <c r="L19" s="285" t="s">
        <v>2773</v>
      </c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285"/>
      <c r="AB19" s="285"/>
      <c r="AC19" s="285"/>
      <c r="AD19" s="285"/>
      <c r="AE19" s="285"/>
      <c r="AF19" s="285"/>
      <c r="AG19" s="285"/>
      <c r="AH19" s="285"/>
      <c r="AI19" s="285"/>
      <c r="AJ19" s="285"/>
      <c r="AK19" s="285"/>
      <c r="AL19" s="285"/>
      <c r="AM19" s="285"/>
      <c r="AN19" s="285"/>
      <c r="AO19" s="285"/>
      <c r="AP19" s="285"/>
      <c r="AQ19" s="285"/>
      <c r="AR19" s="285"/>
      <c r="AS19" s="285"/>
      <c r="AT19" s="285"/>
      <c r="AU19" s="285"/>
      <c r="AV19" s="285"/>
      <c r="AW19" s="285"/>
      <c r="AX19" s="285"/>
      <c r="AY19" s="285"/>
      <c r="AZ19" s="285"/>
      <c r="BA19" s="285"/>
      <c r="BB19" s="285"/>
      <c r="BC19" s="285"/>
      <c r="BD19" s="285"/>
      <c r="BH19" s="73"/>
      <c r="BI19" s="73"/>
      <c r="BJ19" s="73"/>
      <c r="BK19" s="73"/>
      <c r="BL19" s="73"/>
    </row>
    <row r="20" spans="2:64" ht="12" customHeight="1" thickBot="1" x14ac:dyDescent="0.35">
      <c r="B20" s="282"/>
      <c r="C20" s="282"/>
      <c r="D20" s="282"/>
      <c r="E20" s="282"/>
      <c r="F20" s="282"/>
      <c r="G20" s="282"/>
      <c r="H20" s="282"/>
      <c r="I20" s="138"/>
      <c r="J20" s="139"/>
      <c r="K20" s="140"/>
      <c r="L20" s="286" t="s">
        <v>2774</v>
      </c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  <c r="AD20" s="286"/>
      <c r="AE20" s="286"/>
      <c r="AF20" s="286"/>
      <c r="AG20" s="286"/>
      <c r="AH20" s="286"/>
      <c r="AI20" s="286"/>
      <c r="AJ20" s="286"/>
      <c r="AK20" s="286"/>
      <c r="AL20" s="286"/>
      <c r="AM20" s="286"/>
      <c r="AN20" s="286"/>
      <c r="AO20" s="286"/>
      <c r="AP20" s="286"/>
      <c r="AQ20" s="286"/>
      <c r="AR20" s="286"/>
      <c r="AS20" s="286"/>
      <c r="AT20" s="286"/>
      <c r="AU20" s="286"/>
      <c r="AV20" s="286"/>
      <c r="AW20" s="286"/>
      <c r="AX20" s="286"/>
      <c r="AY20" s="286"/>
      <c r="AZ20" s="286"/>
      <c r="BA20" s="286"/>
      <c r="BB20" s="286"/>
      <c r="BC20" s="286"/>
      <c r="BD20" s="286"/>
      <c r="BH20" s="73"/>
      <c r="BI20" s="73"/>
      <c r="BJ20" s="73"/>
      <c r="BK20" s="73"/>
      <c r="BL20" s="73"/>
    </row>
    <row r="21" spans="2:64" ht="24" customHeight="1" x14ac:dyDescent="0.3">
      <c r="B21" s="281" t="s">
        <v>333</v>
      </c>
      <c r="C21" s="281"/>
      <c r="D21" s="281"/>
      <c r="E21" s="281"/>
      <c r="F21" s="281"/>
      <c r="G21" s="281"/>
      <c r="H21" s="281"/>
      <c r="I21" s="283" t="s">
        <v>2775</v>
      </c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H21" s="73"/>
      <c r="BI21" s="73"/>
      <c r="BJ21" s="73"/>
      <c r="BK21" s="73"/>
      <c r="BL21" s="73"/>
    </row>
    <row r="22" spans="2:64" ht="12" customHeight="1" x14ac:dyDescent="0.3">
      <c r="B22" s="281" t="s">
        <v>333</v>
      </c>
      <c r="C22" s="281"/>
      <c r="D22" s="281"/>
      <c r="E22" s="281"/>
      <c r="F22" s="281"/>
      <c r="G22" s="281"/>
      <c r="H22" s="281"/>
      <c r="I22" s="134"/>
      <c r="J22" s="287" t="s">
        <v>2776</v>
      </c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  <c r="W22" s="288"/>
      <c r="X22" s="288"/>
      <c r="Y22" s="288"/>
      <c r="Z22" s="288"/>
      <c r="AA22" s="288"/>
      <c r="AB22" s="288"/>
      <c r="AC22" s="288"/>
      <c r="AD22" s="288"/>
      <c r="AE22" s="288"/>
      <c r="AF22" s="288"/>
      <c r="AG22" s="288"/>
      <c r="AH22" s="288"/>
      <c r="AI22" s="288"/>
      <c r="AJ22" s="288"/>
      <c r="AK22" s="288"/>
      <c r="AL22" s="288"/>
      <c r="AM22" s="288"/>
      <c r="AN22" s="288"/>
      <c r="AO22" s="288"/>
      <c r="AP22" s="288"/>
      <c r="AQ22" s="288"/>
      <c r="AR22" s="288"/>
      <c r="AS22" s="288"/>
      <c r="AT22" s="288"/>
      <c r="AU22" s="288"/>
      <c r="AV22" s="288"/>
      <c r="AW22" s="288"/>
      <c r="AX22" s="288"/>
      <c r="AY22" s="288"/>
      <c r="AZ22" s="288"/>
      <c r="BA22" s="288"/>
      <c r="BB22" s="288"/>
      <c r="BC22" s="288"/>
      <c r="BD22" s="288"/>
      <c r="BH22" s="73"/>
      <c r="BI22" s="73"/>
      <c r="BJ22" s="73"/>
      <c r="BK22" s="73"/>
      <c r="BL22" s="73"/>
    </row>
    <row r="23" spans="2:64" ht="12" customHeight="1" x14ac:dyDescent="0.3">
      <c r="B23" s="281"/>
      <c r="C23" s="281"/>
      <c r="D23" s="281"/>
      <c r="E23" s="281"/>
      <c r="F23" s="281"/>
      <c r="G23" s="281"/>
      <c r="H23" s="281"/>
      <c r="I23" s="135"/>
      <c r="J23" s="136"/>
      <c r="K23" s="137"/>
      <c r="L23" s="285" t="s">
        <v>2777</v>
      </c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  <c r="AA23" s="285"/>
      <c r="AB23" s="285"/>
      <c r="AC23" s="285"/>
      <c r="AD23" s="285"/>
      <c r="AE23" s="285"/>
      <c r="AF23" s="285"/>
      <c r="AG23" s="285"/>
      <c r="AH23" s="285"/>
      <c r="AI23" s="285"/>
      <c r="AJ23" s="285"/>
      <c r="AK23" s="285"/>
      <c r="AL23" s="285"/>
      <c r="AM23" s="285"/>
      <c r="AN23" s="285"/>
      <c r="AO23" s="285"/>
      <c r="AP23" s="285"/>
      <c r="AQ23" s="285"/>
      <c r="AR23" s="285"/>
      <c r="AS23" s="285"/>
      <c r="AT23" s="285"/>
      <c r="AU23" s="285"/>
      <c r="AV23" s="285"/>
      <c r="AW23" s="285"/>
      <c r="AX23" s="285"/>
      <c r="AY23" s="285"/>
      <c r="AZ23" s="285"/>
      <c r="BA23" s="285"/>
      <c r="BB23" s="285"/>
      <c r="BC23" s="285"/>
      <c r="BD23" s="285"/>
    </row>
    <row r="24" spans="2:64" ht="12" customHeight="1" x14ac:dyDescent="0.3">
      <c r="B24" s="281"/>
      <c r="C24" s="281"/>
      <c r="D24" s="281"/>
      <c r="E24" s="281"/>
      <c r="F24" s="281"/>
      <c r="G24" s="281"/>
      <c r="H24" s="281"/>
      <c r="I24" s="135"/>
      <c r="J24" s="136"/>
      <c r="K24" s="137"/>
      <c r="L24" s="285" t="s">
        <v>2778</v>
      </c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A24" s="285"/>
      <c r="AB24" s="285"/>
      <c r="AC24" s="285"/>
      <c r="AD24" s="285"/>
      <c r="AE24" s="285"/>
      <c r="AF24" s="285"/>
      <c r="AG24" s="285"/>
      <c r="AH24" s="285"/>
      <c r="AI24" s="285"/>
      <c r="AJ24" s="285"/>
      <c r="AK24" s="285"/>
      <c r="AL24" s="285"/>
      <c r="AM24" s="285"/>
      <c r="AN24" s="285"/>
      <c r="AO24" s="285"/>
      <c r="AP24" s="285"/>
      <c r="AQ24" s="285"/>
      <c r="AR24" s="285"/>
      <c r="AS24" s="285"/>
      <c r="AT24" s="285"/>
      <c r="AU24" s="285"/>
      <c r="AV24" s="285"/>
      <c r="AW24" s="285"/>
      <c r="AX24" s="285"/>
      <c r="AY24" s="285"/>
      <c r="AZ24" s="285"/>
      <c r="BA24" s="285"/>
      <c r="BB24" s="285"/>
      <c r="BC24" s="285"/>
      <c r="BD24" s="285"/>
    </row>
    <row r="25" spans="2:64" ht="12" customHeight="1" x14ac:dyDescent="0.3">
      <c r="B25" s="281"/>
      <c r="C25" s="281"/>
      <c r="D25" s="281"/>
      <c r="E25" s="281"/>
      <c r="F25" s="281"/>
      <c r="G25" s="281"/>
      <c r="H25" s="281"/>
      <c r="I25" s="135"/>
      <c r="J25" s="136"/>
      <c r="K25" s="137"/>
      <c r="L25" s="285" t="s">
        <v>2779</v>
      </c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  <c r="AA25" s="285"/>
      <c r="AB25" s="285"/>
      <c r="AC25" s="285"/>
      <c r="AD25" s="285"/>
      <c r="AE25" s="285"/>
      <c r="AF25" s="285"/>
      <c r="AG25" s="285"/>
      <c r="AH25" s="285"/>
      <c r="AI25" s="285"/>
      <c r="AJ25" s="285"/>
      <c r="AK25" s="285"/>
      <c r="AL25" s="285"/>
      <c r="AM25" s="285"/>
      <c r="AN25" s="285"/>
      <c r="AO25" s="285"/>
      <c r="AP25" s="285"/>
      <c r="AQ25" s="285"/>
      <c r="AR25" s="285"/>
      <c r="AS25" s="285"/>
      <c r="AT25" s="285"/>
      <c r="AU25" s="285"/>
      <c r="AV25" s="285"/>
      <c r="AW25" s="285"/>
      <c r="AX25" s="285"/>
      <c r="AY25" s="285"/>
      <c r="AZ25" s="285"/>
      <c r="BA25" s="285"/>
      <c r="BB25" s="285"/>
      <c r="BC25" s="285"/>
      <c r="BD25" s="285"/>
    </row>
    <row r="26" spans="2:64" ht="12" customHeight="1" x14ac:dyDescent="0.3">
      <c r="B26" s="281"/>
      <c r="C26" s="281"/>
      <c r="D26" s="281"/>
      <c r="E26" s="281"/>
      <c r="F26" s="281"/>
      <c r="G26" s="281"/>
      <c r="H26" s="281"/>
      <c r="I26" s="134"/>
      <c r="J26" s="289" t="s">
        <v>2812</v>
      </c>
      <c r="K26" s="290"/>
      <c r="L26" s="288"/>
      <c r="M26" s="288"/>
      <c r="N26" s="288"/>
      <c r="O26" s="288"/>
      <c r="P26" s="288"/>
      <c r="Q26" s="288"/>
      <c r="R26" s="288"/>
      <c r="S26" s="288"/>
      <c r="T26" s="288"/>
      <c r="U26" s="288"/>
      <c r="V26" s="288"/>
      <c r="W26" s="288"/>
      <c r="X26" s="288"/>
      <c r="Y26" s="288"/>
      <c r="Z26" s="288"/>
      <c r="AA26" s="288"/>
      <c r="AB26" s="288"/>
      <c r="AC26" s="288"/>
      <c r="AD26" s="288"/>
      <c r="AE26" s="288"/>
      <c r="AF26" s="288"/>
      <c r="AG26" s="288"/>
      <c r="AH26" s="288"/>
      <c r="AI26" s="288"/>
      <c r="AJ26" s="288"/>
      <c r="AK26" s="288"/>
      <c r="AL26" s="288"/>
      <c r="AM26" s="288"/>
      <c r="AN26" s="288"/>
      <c r="AO26" s="288"/>
      <c r="AP26" s="288"/>
      <c r="AQ26" s="288"/>
      <c r="AR26" s="288"/>
      <c r="AS26" s="288"/>
      <c r="AT26" s="288"/>
      <c r="AU26" s="288"/>
      <c r="AV26" s="288"/>
      <c r="AW26" s="288"/>
      <c r="AX26" s="288"/>
      <c r="AY26" s="288"/>
      <c r="AZ26" s="288"/>
      <c r="BA26" s="288"/>
      <c r="BB26" s="288"/>
      <c r="BC26" s="288"/>
      <c r="BD26" s="288"/>
    </row>
    <row r="27" spans="2:64" ht="12" customHeight="1" x14ac:dyDescent="0.3">
      <c r="B27" s="281"/>
      <c r="C27" s="281"/>
      <c r="D27" s="281"/>
      <c r="E27" s="281"/>
      <c r="F27" s="281"/>
      <c r="G27" s="281"/>
      <c r="H27" s="281"/>
      <c r="I27" s="135"/>
      <c r="J27" s="136"/>
      <c r="K27" s="137"/>
      <c r="L27" s="285" t="s">
        <v>2780</v>
      </c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  <c r="AE27" s="285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5"/>
      <c r="AV27" s="285"/>
      <c r="AW27" s="285"/>
      <c r="AX27" s="285"/>
      <c r="AY27" s="285"/>
      <c r="AZ27" s="285"/>
      <c r="BA27" s="285"/>
      <c r="BB27" s="285"/>
      <c r="BC27" s="285"/>
      <c r="BD27" s="285"/>
    </row>
    <row r="28" spans="2:64" ht="12" customHeight="1" x14ac:dyDescent="0.3">
      <c r="B28" s="281"/>
      <c r="C28" s="281"/>
      <c r="D28" s="281"/>
      <c r="E28" s="281"/>
      <c r="F28" s="281"/>
      <c r="G28" s="281"/>
      <c r="H28" s="281"/>
      <c r="I28" s="135"/>
      <c r="J28" s="136"/>
      <c r="K28" s="137"/>
      <c r="L28" s="285" t="s">
        <v>2781</v>
      </c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A28" s="285"/>
      <c r="AB28" s="285"/>
      <c r="AC28" s="285"/>
      <c r="AD28" s="285"/>
      <c r="AE28" s="285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85"/>
      <c r="AS28" s="285"/>
      <c r="AT28" s="285"/>
      <c r="AU28" s="285"/>
      <c r="AV28" s="285"/>
      <c r="AW28" s="285"/>
      <c r="AX28" s="285"/>
      <c r="AY28" s="285"/>
      <c r="AZ28" s="285"/>
      <c r="BA28" s="285"/>
      <c r="BB28" s="285"/>
      <c r="BC28" s="285"/>
      <c r="BD28" s="285"/>
      <c r="BH28" s="73"/>
      <c r="BI28" s="73"/>
      <c r="BJ28" s="73"/>
      <c r="BK28" s="73"/>
      <c r="BL28" s="73"/>
    </row>
    <row r="29" spans="2:64" ht="12" customHeight="1" x14ac:dyDescent="0.3">
      <c r="B29" s="281"/>
      <c r="C29" s="281"/>
      <c r="D29" s="281"/>
      <c r="E29" s="281"/>
      <c r="F29" s="281"/>
      <c r="G29" s="281"/>
      <c r="H29" s="281"/>
      <c r="I29" s="135"/>
      <c r="J29" s="136"/>
      <c r="K29" s="137"/>
      <c r="L29" s="285" t="s">
        <v>2782</v>
      </c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  <c r="AA29" s="285"/>
      <c r="AB29" s="285"/>
      <c r="AC29" s="285"/>
      <c r="AD29" s="285"/>
      <c r="AE29" s="285"/>
      <c r="AF29" s="285"/>
      <c r="AG29" s="285"/>
      <c r="AH29" s="285"/>
      <c r="AI29" s="285"/>
      <c r="AJ29" s="285"/>
      <c r="AK29" s="285"/>
      <c r="AL29" s="285"/>
      <c r="AM29" s="285"/>
      <c r="AN29" s="285"/>
      <c r="AO29" s="285"/>
      <c r="AP29" s="285"/>
      <c r="AQ29" s="285"/>
      <c r="AR29" s="285"/>
      <c r="AS29" s="285"/>
      <c r="AT29" s="285"/>
      <c r="AU29" s="285"/>
      <c r="AV29" s="285"/>
      <c r="AW29" s="285"/>
      <c r="AX29" s="285"/>
      <c r="AY29" s="285"/>
      <c r="AZ29" s="285"/>
      <c r="BA29" s="285"/>
      <c r="BB29" s="285"/>
      <c r="BC29" s="285"/>
      <c r="BD29" s="285"/>
    </row>
    <row r="30" spans="2:64" ht="12" customHeight="1" x14ac:dyDescent="0.3">
      <c r="B30" s="281"/>
      <c r="C30" s="281"/>
      <c r="D30" s="281"/>
      <c r="E30" s="281"/>
      <c r="F30" s="281"/>
      <c r="G30" s="281"/>
      <c r="H30" s="281"/>
      <c r="I30" s="134"/>
      <c r="J30" s="289" t="s">
        <v>2813</v>
      </c>
      <c r="K30" s="290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88"/>
      <c r="AB30" s="288"/>
      <c r="AC30" s="288"/>
      <c r="AD30" s="288"/>
      <c r="AE30" s="288"/>
      <c r="AF30" s="288"/>
      <c r="AG30" s="288"/>
      <c r="AH30" s="288"/>
      <c r="AI30" s="288"/>
      <c r="AJ30" s="288"/>
      <c r="AK30" s="288"/>
      <c r="AL30" s="288"/>
      <c r="AM30" s="288"/>
      <c r="AN30" s="288"/>
      <c r="AO30" s="288"/>
      <c r="AP30" s="288"/>
      <c r="AQ30" s="288"/>
      <c r="AR30" s="288"/>
      <c r="AS30" s="288"/>
      <c r="AT30" s="288"/>
      <c r="AU30" s="288"/>
      <c r="AV30" s="288"/>
      <c r="AW30" s="288"/>
      <c r="AX30" s="288"/>
      <c r="AY30" s="288"/>
      <c r="AZ30" s="288"/>
      <c r="BA30" s="288"/>
      <c r="BB30" s="288"/>
      <c r="BC30" s="288"/>
      <c r="BD30" s="288"/>
    </row>
    <row r="31" spans="2:64" ht="12" customHeight="1" x14ac:dyDescent="0.3">
      <c r="B31" s="281"/>
      <c r="C31" s="281"/>
      <c r="D31" s="281"/>
      <c r="E31" s="281"/>
      <c r="F31" s="281"/>
      <c r="G31" s="281"/>
      <c r="H31" s="281"/>
      <c r="I31" s="135"/>
      <c r="J31" s="136"/>
      <c r="K31" s="137"/>
      <c r="L31" s="285" t="s">
        <v>2783</v>
      </c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85"/>
      <c r="AB31" s="285"/>
      <c r="AC31" s="285"/>
      <c r="AD31" s="285"/>
      <c r="AE31" s="285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85"/>
      <c r="AS31" s="285"/>
      <c r="AT31" s="285"/>
      <c r="AU31" s="285"/>
      <c r="AV31" s="285"/>
      <c r="AW31" s="285"/>
      <c r="AX31" s="285"/>
      <c r="AY31" s="285"/>
      <c r="AZ31" s="285"/>
      <c r="BA31" s="285"/>
      <c r="BB31" s="285"/>
      <c r="BC31" s="285"/>
      <c r="BD31" s="285"/>
    </row>
    <row r="32" spans="2:64" ht="12" customHeight="1" x14ac:dyDescent="0.3">
      <c r="B32" s="281"/>
      <c r="C32" s="281"/>
      <c r="D32" s="281"/>
      <c r="E32" s="281"/>
      <c r="F32" s="281"/>
      <c r="G32" s="281"/>
      <c r="H32" s="281"/>
      <c r="I32" s="135"/>
      <c r="J32" s="136"/>
      <c r="K32" s="137"/>
      <c r="L32" s="285" t="s">
        <v>2784</v>
      </c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85"/>
      <c r="AB32" s="285"/>
      <c r="AC32" s="285"/>
      <c r="AD32" s="285"/>
      <c r="AE32" s="285"/>
      <c r="AF32" s="285"/>
      <c r="AG32" s="285"/>
      <c r="AH32" s="285"/>
      <c r="AI32" s="285"/>
      <c r="AJ32" s="285"/>
      <c r="AK32" s="285"/>
      <c r="AL32" s="285"/>
      <c r="AM32" s="285"/>
      <c r="AN32" s="285"/>
      <c r="AO32" s="285"/>
      <c r="AP32" s="285"/>
      <c r="AQ32" s="285"/>
      <c r="AR32" s="285"/>
      <c r="AS32" s="285"/>
      <c r="AT32" s="285"/>
      <c r="AU32" s="285"/>
      <c r="AV32" s="285"/>
      <c r="AW32" s="285"/>
      <c r="AX32" s="285"/>
      <c r="AY32" s="285"/>
      <c r="AZ32" s="285"/>
      <c r="BA32" s="285"/>
      <c r="BB32" s="285"/>
      <c r="BC32" s="285"/>
      <c r="BD32" s="285"/>
    </row>
    <row r="33" spans="2:65" ht="12" customHeight="1" thickBot="1" x14ac:dyDescent="0.35">
      <c r="B33" s="282"/>
      <c r="C33" s="282"/>
      <c r="D33" s="282"/>
      <c r="E33" s="282"/>
      <c r="F33" s="282"/>
      <c r="G33" s="282"/>
      <c r="H33" s="282"/>
      <c r="I33" s="138"/>
      <c r="J33" s="139"/>
      <c r="K33" s="140"/>
      <c r="L33" s="286" t="s">
        <v>2785</v>
      </c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  <c r="AA33" s="286"/>
      <c r="AB33" s="286"/>
      <c r="AC33" s="286"/>
      <c r="AD33" s="286"/>
      <c r="AE33" s="286"/>
      <c r="AF33" s="286"/>
      <c r="AG33" s="286"/>
      <c r="AH33" s="286"/>
      <c r="AI33" s="286"/>
      <c r="AJ33" s="286"/>
      <c r="AK33" s="286"/>
      <c r="AL33" s="286"/>
      <c r="AM33" s="286"/>
      <c r="AN33" s="286"/>
      <c r="AO33" s="286"/>
      <c r="AP33" s="286"/>
      <c r="AQ33" s="286"/>
      <c r="AR33" s="286"/>
      <c r="AS33" s="286"/>
      <c r="AT33" s="286"/>
      <c r="AU33" s="286"/>
      <c r="AV33" s="286"/>
      <c r="AW33" s="286"/>
      <c r="AX33" s="286"/>
      <c r="AY33" s="286"/>
      <c r="AZ33" s="286"/>
      <c r="BA33" s="286"/>
      <c r="BB33" s="286"/>
      <c r="BC33" s="286"/>
      <c r="BD33" s="286"/>
    </row>
    <row r="34" spans="2:65" ht="24" customHeight="1" x14ac:dyDescent="0.3">
      <c r="B34" s="281" t="s">
        <v>335</v>
      </c>
      <c r="C34" s="281"/>
      <c r="D34" s="281"/>
      <c r="E34" s="281"/>
      <c r="F34" s="281"/>
      <c r="G34" s="281"/>
      <c r="H34" s="281"/>
      <c r="I34" s="283" t="s">
        <v>2786</v>
      </c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4"/>
      <c r="V34" s="284"/>
      <c r="W34" s="284"/>
      <c r="X34" s="284"/>
      <c r="Y34" s="284"/>
      <c r="Z34" s="284"/>
      <c r="AA34" s="284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  <c r="BC34" s="284"/>
      <c r="BD34" s="284"/>
    </row>
    <row r="35" spans="2:65" ht="12" customHeight="1" x14ac:dyDescent="0.3">
      <c r="B35" s="281" t="s">
        <v>57</v>
      </c>
      <c r="C35" s="281"/>
      <c r="D35" s="281"/>
      <c r="E35" s="281"/>
      <c r="F35" s="281"/>
      <c r="G35" s="281"/>
      <c r="H35" s="281"/>
      <c r="I35" s="134"/>
      <c r="J35" s="287" t="s">
        <v>2787</v>
      </c>
      <c r="K35" s="288"/>
      <c r="L35" s="288"/>
      <c r="M35" s="288"/>
      <c r="N35" s="288"/>
      <c r="O35" s="288"/>
      <c r="P35" s="288"/>
      <c r="Q35" s="288"/>
      <c r="R35" s="288"/>
      <c r="S35" s="288"/>
      <c r="T35" s="288"/>
      <c r="U35" s="288"/>
      <c r="V35" s="288"/>
      <c r="W35" s="288"/>
      <c r="X35" s="288"/>
      <c r="Y35" s="288"/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8"/>
      <c r="AO35" s="288"/>
      <c r="AP35" s="288"/>
      <c r="AQ35" s="288"/>
      <c r="AR35" s="288"/>
      <c r="AS35" s="288"/>
      <c r="AT35" s="288"/>
      <c r="AU35" s="288"/>
      <c r="AV35" s="288"/>
      <c r="AW35" s="288"/>
      <c r="AX35" s="288"/>
      <c r="AY35" s="288"/>
      <c r="AZ35" s="288"/>
      <c r="BA35" s="288"/>
      <c r="BB35" s="288"/>
      <c r="BC35" s="288"/>
      <c r="BD35" s="288"/>
    </row>
    <row r="36" spans="2:65" ht="12" customHeight="1" x14ac:dyDescent="0.3">
      <c r="B36" s="281"/>
      <c r="C36" s="281"/>
      <c r="D36" s="281"/>
      <c r="E36" s="281"/>
      <c r="F36" s="281"/>
      <c r="G36" s="281"/>
      <c r="H36" s="281"/>
      <c r="I36" s="135"/>
      <c r="J36" s="136"/>
      <c r="K36" s="137"/>
      <c r="L36" s="285" t="s">
        <v>2788</v>
      </c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285"/>
      <c r="AB36" s="285"/>
      <c r="AC36" s="285"/>
      <c r="AD36" s="285"/>
      <c r="AE36" s="285"/>
      <c r="AF36" s="285"/>
      <c r="AG36" s="285"/>
      <c r="AH36" s="285"/>
      <c r="AI36" s="285"/>
      <c r="AJ36" s="285"/>
      <c r="AK36" s="285"/>
      <c r="AL36" s="285"/>
      <c r="AM36" s="285"/>
      <c r="AN36" s="285"/>
      <c r="AO36" s="285"/>
      <c r="AP36" s="285"/>
      <c r="AQ36" s="285"/>
      <c r="AR36" s="285"/>
      <c r="AS36" s="285"/>
      <c r="AT36" s="285"/>
      <c r="AU36" s="285"/>
      <c r="AV36" s="285"/>
      <c r="AW36" s="285"/>
      <c r="AX36" s="285"/>
      <c r="AY36" s="285"/>
      <c r="AZ36" s="285"/>
      <c r="BA36" s="285"/>
      <c r="BB36" s="285"/>
      <c r="BC36" s="285"/>
      <c r="BD36" s="285"/>
    </row>
    <row r="37" spans="2:65" ht="12" customHeight="1" x14ac:dyDescent="0.3">
      <c r="B37" s="281"/>
      <c r="C37" s="281"/>
      <c r="D37" s="281"/>
      <c r="E37" s="281"/>
      <c r="F37" s="281"/>
      <c r="G37" s="281"/>
      <c r="H37" s="281"/>
      <c r="I37" s="135"/>
      <c r="J37" s="136"/>
      <c r="K37" s="137"/>
      <c r="L37" s="285" t="s">
        <v>2789</v>
      </c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85"/>
      <c r="AG37" s="285"/>
      <c r="AH37" s="285"/>
      <c r="AI37" s="285"/>
      <c r="AJ37" s="285"/>
      <c r="AK37" s="285"/>
      <c r="AL37" s="285"/>
      <c r="AM37" s="285"/>
      <c r="AN37" s="285"/>
      <c r="AO37" s="285"/>
      <c r="AP37" s="285"/>
      <c r="AQ37" s="285"/>
      <c r="AR37" s="285"/>
      <c r="AS37" s="285"/>
      <c r="AT37" s="285"/>
      <c r="AU37" s="285"/>
      <c r="AV37" s="285"/>
      <c r="AW37" s="285"/>
      <c r="AX37" s="285"/>
      <c r="AY37" s="285"/>
      <c r="AZ37" s="285"/>
      <c r="BA37" s="285"/>
      <c r="BB37" s="285"/>
      <c r="BC37" s="285"/>
      <c r="BD37" s="285"/>
    </row>
    <row r="38" spans="2:65" ht="12" customHeight="1" x14ac:dyDescent="0.3">
      <c r="B38" s="281"/>
      <c r="C38" s="281"/>
      <c r="D38" s="281"/>
      <c r="E38" s="281"/>
      <c r="F38" s="281"/>
      <c r="G38" s="281"/>
      <c r="H38" s="281"/>
      <c r="I38" s="135"/>
      <c r="J38" s="136"/>
      <c r="K38" s="137"/>
      <c r="L38" s="285" t="s">
        <v>2790</v>
      </c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L38" s="285"/>
      <c r="AM38" s="285"/>
      <c r="AN38" s="285"/>
      <c r="AO38" s="285"/>
      <c r="AP38" s="285"/>
      <c r="AQ38" s="285"/>
      <c r="AR38" s="285"/>
      <c r="AS38" s="285"/>
      <c r="AT38" s="285"/>
      <c r="AU38" s="285"/>
      <c r="AV38" s="285"/>
      <c r="AW38" s="285"/>
      <c r="AX38" s="285"/>
      <c r="AY38" s="285"/>
      <c r="AZ38" s="285"/>
      <c r="BA38" s="285"/>
      <c r="BB38" s="285"/>
      <c r="BC38" s="285"/>
      <c r="BD38" s="285"/>
      <c r="BG38"/>
      <c r="BL38" s="82"/>
      <c r="BM38" s="82"/>
    </row>
    <row r="39" spans="2:65" ht="12" customHeight="1" x14ac:dyDescent="0.3">
      <c r="B39" s="281"/>
      <c r="C39" s="281"/>
      <c r="D39" s="281"/>
      <c r="E39" s="281"/>
      <c r="F39" s="281"/>
      <c r="G39" s="281"/>
      <c r="H39" s="281"/>
      <c r="I39" s="134"/>
      <c r="J39" s="289" t="s">
        <v>2815</v>
      </c>
      <c r="K39" s="290"/>
      <c r="L39" s="288"/>
      <c r="M39" s="288"/>
      <c r="N39" s="288"/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8"/>
      <c r="Z39" s="288"/>
      <c r="AA39" s="288"/>
      <c r="AB39" s="288"/>
      <c r="AC39" s="288"/>
      <c r="AD39" s="288"/>
      <c r="AE39" s="288"/>
      <c r="AF39" s="288"/>
      <c r="AG39" s="288"/>
      <c r="AH39" s="288"/>
      <c r="AI39" s="288"/>
      <c r="AJ39" s="288"/>
      <c r="AK39" s="288"/>
      <c r="AL39" s="288"/>
      <c r="AM39" s="288"/>
      <c r="AN39" s="288"/>
      <c r="AO39" s="288"/>
      <c r="AP39" s="288"/>
      <c r="AQ39" s="288"/>
      <c r="AR39" s="288"/>
      <c r="AS39" s="288"/>
      <c r="AT39" s="288"/>
      <c r="AU39" s="288"/>
      <c r="AV39" s="288"/>
      <c r="AW39" s="288"/>
      <c r="AX39" s="288"/>
      <c r="AY39" s="288"/>
      <c r="AZ39" s="288"/>
      <c r="BA39" s="288"/>
      <c r="BB39" s="288"/>
      <c r="BC39" s="288"/>
      <c r="BD39" s="288"/>
    </row>
    <row r="40" spans="2:65" ht="12" customHeight="1" x14ac:dyDescent="0.3">
      <c r="B40" s="281"/>
      <c r="C40" s="281"/>
      <c r="D40" s="281"/>
      <c r="E40" s="281"/>
      <c r="F40" s="281"/>
      <c r="G40" s="281"/>
      <c r="H40" s="281"/>
      <c r="I40" s="135"/>
      <c r="J40" s="136"/>
      <c r="K40" s="137"/>
      <c r="L40" s="285" t="s">
        <v>2791</v>
      </c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85"/>
      <c r="AB40" s="285"/>
      <c r="AC40" s="285"/>
      <c r="AD40" s="285"/>
      <c r="AE40" s="285"/>
      <c r="AF40" s="285"/>
      <c r="AG40" s="285"/>
      <c r="AH40" s="285"/>
      <c r="AI40" s="285"/>
      <c r="AJ40" s="285"/>
      <c r="AK40" s="285"/>
      <c r="AL40" s="285"/>
      <c r="AM40" s="285"/>
      <c r="AN40" s="285"/>
      <c r="AO40" s="285"/>
      <c r="AP40" s="285"/>
      <c r="AQ40" s="285"/>
      <c r="AR40" s="285"/>
      <c r="AS40" s="285"/>
      <c r="AT40" s="285"/>
      <c r="AU40" s="285"/>
      <c r="AV40" s="285"/>
      <c r="AW40" s="285"/>
      <c r="AX40" s="285"/>
      <c r="AY40" s="285"/>
      <c r="AZ40" s="285"/>
      <c r="BA40" s="285"/>
      <c r="BB40" s="285"/>
      <c r="BC40" s="285"/>
      <c r="BD40" s="285"/>
    </row>
    <row r="41" spans="2:65" ht="12" customHeight="1" x14ac:dyDescent="0.3">
      <c r="B41" s="281"/>
      <c r="C41" s="281"/>
      <c r="D41" s="281"/>
      <c r="E41" s="281"/>
      <c r="F41" s="281"/>
      <c r="G41" s="281"/>
      <c r="H41" s="281"/>
      <c r="I41" s="135"/>
      <c r="J41" s="136"/>
      <c r="K41" s="137"/>
      <c r="L41" s="285" t="s">
        <v>2792</v>
      </c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85"/>
      <c r="AS41" s="285"/>
      <c r="AT41" s="285"/>
      <c r="AU41" s="285"/>
      <c r="AV41" s="285"/>
      <c r="AW41" s="285"/>
      <c r="AX41" s="285"/>
      <c r="AY41" s="285"/>
      <c r="AZ41" s="285"/>
      <c r="BA41" s="285"/>
      <c r="BB41" s="285"/>
      <c r="BC41" s="285"/>
      <c r="BD41" s="285"/>
    </row>
    <row r="42" spans="2:65" ht="12" customHeight="1" x14ac:dyDescent="0.3">
      <c r="B42" s="281"/>
      <c r="C42" s="281"/>
      <c r="D42" s="281"/>
      <c r="E42" s="281"/>
      <c r="F42" s="281"/>
      <c r="G42" s="281"/>
      <c r="H42" s="281"/>
      <c r="I42" s="135"/>
      <c r="J42" s="136"/>
      <c r="K42" s="137"/>
      <c r="L42" s="285" t="s">
        <v>2793</v>
      </c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85"/>
      <c r="AG42" s="285"/>
      <c r="AH42" s="285"/>
      <c r="AI42" s="285"/>
      <c r="AJ42" s="285"/>
      <c r="AK42" s="285"/>
      <c r="AL42" s="285"/>
      <c r="AM42" s="285"/>
      <c r="AN42" s="285"/>
      <c r="AO42" s="285"/>
      <c r="AP42" s="285"/>
      <c r="AQ42" s="285"/>
      <c r="AR42" s="285"/>
      <c r="AS42" s="285"/>
      <c r="AT42" s="285"/>
      <c r="AU42" s="285"/>
      <c r="AV42" s="285"/>
      <c r="AW42" s="285"/>
      <c r="AX42" s="285"/>
      <c r="AY42" s="285"/>
      <c r="AZ42" s="285"/>
      <c r="BA42" s="285"/>
      <c r="BB42" s="285"/>
      <c r="BC42" s="285"/>
      <c r="BD42" s="285"/>
    </row>
    <row r="43" spans="2:65" ht="12" customHeight="1" x14ac:dyDescent="0.3">
      <c r="B43" s="281"/>
      <c r="C43" s="281"/>
      <c r="D43" s="281"/>
      <c r="E43" s="281"/>
      <c r="F43" s="281"/>
      <c r="G43" s="281"/>
      <c r="H43" s="281"/>
      <c r="I43" s="134"/>
      <c r="J43" s="289" t="s">
        <v>2814</v>
      </c>
      <c r="K43" s="290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88"/>
      <c r="AB43" s="288"/>
      <c r="AC43" s="288"/>
      <c r="AD43" s="288"/>
      <c r="AE43" s="288"/>
      <c r="AF43" s="288"/>
      <c r="AG43" s="288"/>
      <c r="AH43" s="288"/>
      <c r="AI43" s="288"/>
      <c r="AJ43" s="288"/>
      <c r="AK43" s="288"/>
      <c r="AL43" s="288"/>
      <c r="AM43" s="288"/>
      <c r="AN43" s="288"/>
      <c r="AO43" s="288"/>
      <c r="AP43" s="288"/>
      <c r="AQ43" s="288"/>
      <c r="AR43" s="288"/>
      <c r="AS43" s="288"/>
      <c r="AT43" s="288"/>
      <c r="AU43" s="288"/>
      <c r="AV43" s="288"/>
      <c r="AW43" s="288"/>
      <c r="AX43" s="288"/>
      <c r="AY43" s="288"/>
      <c r="AZ43" s="288"/>
      <c r="BA43" s="288"/>
      <c r="BB43" s="288"/>
      <c r="BC43" s="288"/>
      <c r="BD43" s="288"/>
    </row>
    <row r="44" spans="2:65" ht="12" customHeight="1" x14ac:dyDescent="0.3">
      <c r="B44" s="281"/>
      <c r="C44" s="281"/>
      <c r="D44" s="281"/>
      <c r="E44" s="281"/>
      <c r="F44" s="281"/>
      <c r="G44" s="281"/>
      <c r="H44" s="281"/>
      <c r="I44" s="135"/>
      <c r="J44" s="136"/>
      <c r="K44" s="137"/>
      <c r="L44" s="285" t="s">
        <v>2794</v>
      </c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  <c r="AO44" s="285"/>
      <c r="AP44" s="285"/>
      <c r="AQ44" s="285"/>
      <c r="AR44" s="285"/>
      <c r="AS44" s="285"/>
      <c r="AT44" s="285"/>
      <c r="AU44" s="285"/>
      <c r="AV44" s="285"/>
      <c r="AW44" s="285"/>
      <c r="AX44" s="285"/>
      <c r="AY44" s="285"/>
      <c r="AZ44" s="285"/>
      <c r="BA44" s="285"/>
      <c r="BB44" s="285"/>
      <c r="BC44" s="285"/>
      <c r="BD44" s="285"/>
    </row>
    <row r="45" spans="2:65" ht="12" customHeight="1" x14ac:dyDescent="0.3">
      <c r="B45" s="281"/>
      <c r="C45" s="281"/>
      <c r="D45" s="281"/>
      <c r="E45" s="281"/>
      <c r="F45" s="281"/>
      <c r="G45" s="281"/>
      <c r="H45" s="281"/>
      <c r="I45" s="135"/>
      <c r="J45" s="136"/>
      <c r="K45" s="137"/>
      <c r="L45" s="285" t="s">
        <v>2795</v>
      </c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  <c r="AA45" s="285"/>
      <c r="AB45" s="285"/>
      <c r="AC45" s="285"/>
      <c r="AD45" s="285"/>
      <c r="AE45" s="285"/>
      <c r="AF45" s="285"/>
      <c r="AG45" s="285"/>
      <c r="AH45" s="285"/>
      <c r="AI45" s="285"/>
      <c r="AJ45" s="285"/>
      <c r="AK45" s="285"/>
      <c r="AL45" s="285"/>
      <c r="AM45" s="285"/>
      <c r="AN45" s="285"/>
      <c r="AO45" s="285"/>
      <c r="AP45" s="285"/>
      <c r="AQ45" s="285"/>
      <c r="AR45" s="285"/>
      <c r="AS45" s="285"/>
      <c r="AT45" s="285"/>
      <c r="AU45" s="285"/>
      <c r="AV45" s="285"/>
      <c r="AW45" s="285"/>
      <c r="AX45" s="285"/>
      <c r="AY45" s="285"/>
      <c r="AZ45" s="285"/>
      <c r="BA45" s="285"/>
      <c r="BB45" s="285"/>
      <c r="BC45" s="285"/>
      <c r="BD45" s="285"/>
    </row>
    <row r="46" spans="2:65" ht="12" customHeight="1" thickBot="1" x14ac:dyDescent="0.35">
      <c r="B46" s="282"/>
      <c r="C46" s="282"/>
      <c r="D46" s="282"/>
      <c r="E46" s="282"/>
      <c r="F46" s="282"/>
      <c r="G46" s="282"/>
      <c r="H46" s="282"/>
      <c r="I46" s="138"/>
      <c r="J46" s="139"/>
      <c r="K46" s="140"/>
      <c r="L46" s="286" t="s">
        <v>2796</v>
      </c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  <c r="AD46" s="286"/>
      <c r="AE46" s="286"/>
      <c r="AF46" s="286"/>
      <c r="AG46" s="286"/>
      <c r="AH46" s="286"/>
      <c r="AI46" s="286"/>
      <c r="AJ46" s="286"/>
      <c r="AK46" s="286"/>
      <c r="AL46" s="286"/>
      <c r="AM46" s="286"/>
      <c r="AN46" s="286"/>
      <c r="AO46" s="286"/>
      <c r="AP46" s="286"/>
      <c r="AQ46" s="286"/>
      <c r="AR46" s="286"/>
      <c r="AS46" s="286"/>
      <c r="AT46" s="286"/>
      <c r="AU46" s="286"/>
      <c r="AV46" s="286"/>
      <c r="AW46" s="286"/>
      <c r="AX46" s="286"/>
      <c r="AY46" s="286"/>
      <c r="AZ46" s="286"/>
      <c r="BA46" s="286"/>
      <c r="BB46" s="286"/>
      <c r="BC46" s="286"/>
      <c r="BD46" s="286"/>
    </row>
    <row r="47" spans="2:65" ht="24" customHeight="1" x14ac:dyDescent="0.3">
      <c r="B47" s="281" t="s">
        <v>337</v>
      </c>
      <c r="C47" s="281"/>
      <c r="D47" s="281"/>
      <c r="E47" s="281"/>
      <c r="F47" s="281"/>
      <c r="G47" s="281"/>
      <c r="H47" s="281"/>
      <c r="I47" s="283" t="s">
        <v>2797</v>
      </c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  <c r="AC47" s="284"/>
      <c r="AD47" s="284"/>
      <c r="AE47" s="284"/>
      <c r="AF47" s="284"/>
      <c r="AG47" s="284"/>
      <c r="AH47" s="284"/>
      <c r="AI47" s="284"/>
      <c r="AJ47" s="284"/>
      <c r="AK47" s="284"/>
      <c r="AL47" s="284"/>
      <c r="AM47" s="284"/>
      <c r="AN47" s="284"/>
      <c r="AO47" s="284"/>
      <c r="AP47" s="284"/>
      <c r="AQ47" s="284"/>
      <c r="AR47" s="284"/>
      <c r="AS47" s="284"/>
      <c r="AT47" s="284"/>
      <c r="AU47" s="284"/>
      <c r="AV47" s="284"/>
      <c r="AW47" s="284"/>
      <c r="AX47" s="284"/>
      <c r="AY47" s="284"/>
      <c r="AZ47" s="284"/>
      <c r="BA47" s="284"/>
      <c r="BB47" s="284"/>
      <c r="BC47" s="284"/>
      <c r="BD47" s="284"/>
    </row>
    <row r="48" spans="2:65" ht="12" customHeight="1" x14ac:dyDescent="0.3">
      <c r="B48" s="281" t="s">
        <v>337</v>
      </c>
      <c r="C48" s="281"/>
      <c r="D48" s="281"/>
      <c r="E48" s="281"/>
      <c r="F48" s="281"/>
      <c r="G48" s="281"/>
      <c r="H48" s="281"/>
      <c r="I48" s="134"/>
      <c r="J48" s="287" t="s">
        <v>2798</v>
      </c>
      <c r="K48" s="288"/>
      <c r="L48" s="288"/>
      <c r="M48" s="288"/>
      <c r="N48" s="288"/>
      <c r="O48" s="288"/>
      <c r="P48" s="288"/>
      <c r="Q48" s="288"/>
      <c r="R48" s="288"/>
      <c r="S48" s="288"/>
      <c r="T48" s="288"/>
      <c r="U48" s="288"/>
      <c r="V48" s="288"/>
      <c r="W48" s="288"/>
      <c r="X48" s="288"/>
      <c r="Y48" s="288"/>
      <c r="Z48" s="288"/>
      <c r="AA48" s="288"/>
      <c r="AB48" s="288"/>
      <c r="AC48" s="288"/>
      <c r="AD48" s="288"/>
      <c r="AE48" s="288"/>
      <c r="AF48" s="288"/>
      <c r="AG48" s="288"/>
      <c r="AH48" s="288"/>
      <c r="AI48" s="288"/>
      <c r="AJ48" s="288"/>
      <c r="AK48" s="288"/>
      <c r="AL48" s="288"/>
      <c r="AM48" s="288"/>
      <c r="AN48" s="288"/>
      <c r="AO48" s="288"/>
      <c r="AP48" s="288"/>
      <c r="AQ48" s="288"/>
      <c r="AR48" s="288"/>
      <c r="AS48" s="288"/>
      <c r="AT48" s="288"/>
      <c r="AU48" s="288"/>
      <c r="AV48" s="288"/>
      <c r="AW48" s="288"/>
      <c r="AX48" s="288"/>
      <c r="AY48" s="288"/>
      <c r="AZ48" s="288"/>
      <c r="BA48" s="288"/>
      <c r="BB48" s="288"/>
      <c r="BC48" s="288"/>
      <c r="BD48" s="288"/>
    </row>
    <row r="49" spans="2:56" ht="12" customHeight="1" x14ac:dyDescent="0.3">
      <c r="B49" s="281"/>
      <c r="C49" s="281"/>
      <c r="D49" s="281"/>
      <c r="E49" s="281"/>
      <c r="F49" s="281"/>
      <c r="G49" s="281"/>
      <c r="H49" s="281"/>
      <c r="I49" s="135"/>
      <c r="J49" s="136"/>
      <c r="K49" s="137"/>
      <c r="L49" s="285" t="s">
        <v>2799</v>
      </c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5"/>
      <c r="AT49" s="285"/>
      <c r="AU49" s="285"/>
      <c r="AV49" s="285"/>
      <c r="AW49" s="285"/>
      <c r="AX49" s="285"/>
      <c r="AY49" s="285"/>
      <c r="AZ49" s="285"/>
      <c r="BA49" s="285"/>
      <c r="BB49" s="285"/>
      <c r="BC49" s="285"/>
      <c r="BD49" s="285"/>
    </row>
    <row r="50" spans="2:56" ht="12" customHeight="1" x14ac:dyDescent="0.3">
      <c r="B50" s="281"/>
      <c r="C50" s="281"/>
      <c r="D50" s="281"/>
      <c r="E50" s="281"/>
      <c r="F50" s="281"/>
      <c r="G50" s="281"/>
      <c r="H50" s="281"/>
      <c r="I50" s="135"/>
      <c r="J50" s="136"/>
      <c r="K50" s="137"/>
      <c r="L50" s="285" t="s">
        <v>2800</v>
      </c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85"/>
      <c r="AB50" s="285"/>
      <c r="AC50" s="285"/>
      <c r="AD50" s="285"/>
      <c r="AE50" s="285"/>
      <c r="AF50" s="285"/>
      <c r="AG50" s="285"/>
      <c r="AH50" s="285"/>
      <c r="AI50" s="285"/>
      <c r="AJ50" s="285"/>
      <c r="AK50" s="285"/>
      <c r="AL50" s="285"/>
      <c r="AM50" s="285"/>
      <c r="AN50" s="285"/>
      <c r="AO50" s="285"/>
      <c r="AP50" s="285"/>
      <c r="AQ50" s="285"/>
      <c r="AR50" s="285"/>
      <c r="AS50" s="285"/>
      <c r="AT50" s="285"/>
      <c r="AU50" s="285"/>
      <c r="AV50" s="285"/>
      <c r="AW50" s="285"/>
      <c r="AX50" s="285"/>
      <c r="AY50" s="285"/>
      <c r="AZ50" s="285"/>
      <c r="BA50" s="285"/>
      <c r="BB50" s="285"/>
      <c r="BC50" s="285"/>
      <c r="BD50" s="285"/>
    </row>
    <row r="51" spans="2:56" ht="12" customHeight="1" x14ac:dyDescent="0.3">
      <c r="B51" s="281"/>
      <c r="C51" s="281"/>
      <c r="D51" s="281"/>
      <c r="E51" s="281"/>
      <c r="F51" s="281"/>
      <c r="G51" s="281"/>
      <c r="H51" s="281"/>
      <c r="I51" s="135"/>
      <c r="J51" s="136"/>
      <c r="K51" s="137"/>
      <c r="L51" s="285" t="s">
        <v>2801</v>
      </c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85"/>
      <c r="AB51" s="285"/>
      <c r="AC51" s="285"/>
      <c r="AD51" s="285"/>
      <c r="AE51" s="285"/>
      <c r="AF51" s="285"/>
      <c r="AG51" s="285"/>
      <c r="AH51" s="285"/>
      <c r="AI51" s="285"/>
      <c r="AJ51" s="285"/>
      <c r="AK51" s="285"/>
      <c r="AL51" s="285"/>
      <c r="AM51" s="285"/>
      <c r="AN51" s="285"/>
      <c r="AO51" s="285"/>
      <c r="AP51" s="285"/>
      <c r="AQ51" s="285"/>
      <c r="AR51" s="285"/>
      <c r="AS51" s="285"/>
      <c r="AT51" s="285"/>
      <c r="AU51" s="285"/>
      <c r="AV51" s="285"/>
      <c r="AW51" s="285"/>
      <c r="AX51" s="285"/>
      <c r="AY51" s="285"/>
      <c r="AZ51" s="285"/>
      <c r="BA51" s="285"/>
      <c r="BB51" s="285"/>
      <c r="BC51" s="285"/>
      <c r="BD51" s="285"/>
    </row>
    <row r="52" spans="2:56" ht="12" customHeight="1" x14ac:dyDescent="0.3">
      <c r="B52" s="281"/>
      <c r="C52" s="281"/>
      <c r="D52" s="281"/>
      <c r="E52" s="281"/>
      <c r="F52" s="281"/>
      <c r="G52" s="281"/>
      <c r="H52" s="281"/>
      <c r="I52" s="134"/>
      <c r="J52" s="289" t="s">
        <v>2816</v>
      </c>
      <c r="K52" s="290"/>
      <c r="L52" s="288"/>
      <c r="M52" s="288"/>
      <c r="N52" s="288"/>
      <c r="O52" s="288"/>
      <c r="P52" s="288"/>
      <c r="Q52" s="288"/>
      <c r="R52" s="288"/>
      <c r="S52" s="288"/>
      <c r="T52" s="288"/>
      <c r="U52" s="288"/>
      <c r="V52" s="288"/>
      <c r="W52" s="288"/>
      <c r="X52" s="288"/>
      <c r="Y52" s="288"/>
      <c r="Z52" s="288"/>
      <c r="AA52" s="288"/>
      <c r="AB52" s="288"/>
      <c r="AC52" s="288"/>
      <c r="AD52" s="288"/>
      <c r="AE52" s="288"/>
      <c r="AF52" s="288"/>
      <c r="AG52" s="288"/>
      <c r="AH52" s="288"/>
      <c r="AI52" s="288"/>
      <c r="AJ52" s="288"/>
      <c r="AK52" s="288"/>
      <c r="AL52" s="288"/>
      <c r="AM52" s="288"/>
      <c r="AN52" s="288"/>
      <c r="AO52" s="288"/>
      <c r="AP52" s="288"/>
      <c r="AQ52" s="288"/>
      <c r="AR52" s="288"/>
      <c r="AS52" s="288"/>
      <c r="AT52" s="288"/>
      <c r="AU52" s="288"/>
      <c r="AV52" s="288"/>
      <c r="AW52" s="288"/>
      <c r="AX52" s="288"/>
      <c r="AY52" s="288"/>
      <c r="AZ52" s="288"/>
      <c r="BA52" s="288"/>
      <c r="BB52" s="288"/>
      <c r="BC52" s="288"/>
      <c r="BD52" s="288"/>
    </row>
    <row r="53" spans="2:56" ht="12" customHeight="1" x14ac:dyDescent="0.3">
      <c r="B53" s="281"/>
      <c r="C53" s="281"/>
      <c r="D53" s="281"/>
      <c r="E53" s="281"/>
      <c r="F53" s="281"/>
      <c r="G53" s="281"/>
      <c r="H53" s="281"/>
      <c r="I53" s="135"/>
      <c r="J53" s="136"/>
      <c r="K53" s="137"/>
      <c r="L53" s="285" t="s">
        <v>2802</v>
      </c>
      <c r="M53" s="285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  <c r="AA53" s="285"/>
      <c r="AB53" s="285"/>
      <c r="AC53" s="285"/>
      <c r="AD53" s="285"/>
      <c r="AE53" s="285"/>
      <c r="AF53" s="285"/>
      <c r="AG53" s="285"/>
      <c r="AH53" s="285"/>
      <c r="AI53" s="285"/>
      <c r="AJ53" s="285"/>
      <c r="AK53" s="285"/>
      <c r="AL53" s="285"/>
      <c r="AM53" s="285"/>
      <c r="AN53" s="285"/>
      <c r="AO53" s="285"/>
      <c r="AP53" s="285"/>
      <c r="AQ53" s="285"/>
      <c r="AR53" s="285"/>
      <c r="AS53" s="285"/>
      <c r="AT53" s="285"/>
      <c r="AU53" s="285"/>
      <c r="AV53" s="285"/>
      <c r="AW53" s="285"/>
      <c r="AX53" s="285"/>
      <c r="AY53" s="285"/>
      <c r="AZ53" s="285"/>
      <c r="BA53" s="285"/>
      <c r="BB53" s="285"/>
      <c r="BC53" s="285"/>
      <c r="BD53" s="285"/>
    </row>
    <row r="54" spans="2:56" ht="12" customHeight="1" x14ac:dyDescent="0.3">
      <c r="B54" s="281"/>
      <c r="C54" s="281"/>
      <c r="D54" s="281"/>
      <c r="E54" s="281"/>
      <c r="F54" s="281"/>
      <c r="G54" s="281"/>
      <c r="H54" s="281"/>
      <c r="I54" s="135"/>
      <c r="J54" s="136"/>
      <c r="K54" s="137"/>
      <c r="L54" s="285" t="s">
        <v>2803</v>
      </c>
      <c r="M54" s="285"/>
      <c r="N54" s="285"/>
      <c r="O54" s="285"/>
      <c r="P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  <c r="AA54" s="285"/>
      <c r="AB54" s="285"/>
      <c r="AC54" s="285"/>
      <c r="AD54" s="285"/>
      <c r="AE54" s="285"/>
      <c r="AF54" s="285"/>
      <c r="AG54" s="285"/>
      <c r="AH54" s="285"/>
      <c r="AI54" s="285"/>
      <c r="AJ54" s="285"/>
      <c r="AK54" s="285"/>
      <c r="AL54" s="285"/>
      <c r="AM54" s="285"/>
      <c r="AN54" s="285"/>
      <c r="AO54" s="285"/>
      <c r="AP54" s="285"/>
      <c r="AQ54" s="285"/>
      <c r="AR54" s="285"/>
      <c r="AS54" s="285"/>
      <c r="AT54" s="285"/>
      <c r="AU54" s="285"/>
      <c r="AV54" s="285"/>
      <c r="AW54" s="285"/>
      <c r="AX54" s="285"/>
      <c r="AY54" s="285"/>
      <c r="AZ54" s="285"/>
      <c r="BA54" s="285"/>
      <c r="BB54" s="285"/>
      <c r="BC54" s="285"/>
      <c r="BD54" s="285"/>
    </row>
    <row r="55" spans="2:56" ht="12" customHeight="1" x14ac:dyDescent="0.3">
      <c r="B55" s="281"/>
      <c r="C55" s="281"/>
      <c r="D55" s="281"/>
      <c r="E55" s="281"/>
      <c r="F55" s="281"/>
      <c r="G55" s="281"/>
      <c r="H55" s="281"/>
      <c r="I55" s="135"/>
      <c r="J55" s="136"/>
      <c r="K55" s="137"/>
      <c r="L55" s="285" t="s">
        <v>2804</v>
      </c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  <c r="AA55" s="285"/>
      <c r="AB55" s="285"/>
      <c r="AC55" s="285"/>
      <c r="AD55" s="285"/>
      <c r="AE55" s="285"/>
      <c r="AF55" s="285"/>
      <c r="AG55" s="285"/>
      <c r="AH55" s="285"/>
      <c r="AI55" s="285"/>
      <c r="AJ55" s="285"/>
      <c r="AK55" s="285"/>
      <c r="AL55" s="285"/>
      <c r="AM55" s="285"/>
      <c r="AN55" s="285"/>
      <c r="AO55" s="285"/>
      <c r="AP55" s="285"/>
      <c r="AQ55" s="285"/>
      <c r="AR55" s="285"/>
      <c r="AS55" s="285"/>
      <c r="AT55" s="285"/>
      <c r="AU55" s="285"/>
      <c r="AV55" s="285"/>
      <c r="AW55" s="285"/>
      <c r="AX55" s="285"/>
      <c r="AY55" s="285"/>
      <c r="AZ55" s="285"/>
      <c r="BA55" s="285"/>
      <c r="BB55" s="285"/>
      <c r="BC55" s="285"/>
      <c r="BD55" s="285"/>
    </row>
    <row r="56" spans="2:56" ht="12" customHeight="1" x14ac:dyDescent="0.3">
      <c r="B56" s="281"/>
      <c r="C56" s="281"/>
      <c r="D56" s="281"/>
      <c r="E56" s="281"/>
      <c r="F56" s="281"/>
      <c r="G56" s="281"/>
      <c r="H56" s="281"/>
      <c r="I56" s="134"/>
      <c r="J56" s="289" t="s">
        <v>2817</v>
      </c>
      <c r="K56" s="290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88"/>
      <c r="AB56" s="288"/>
      <c r="AC56" s="288"/>
      <c r="AD56" s="288"/>
      <c r="AE56" s="288"/>
      <c r="AF56" s="288"/>
      <c r="AG56" s="288"/>
      <c r="AH56" s="288"/>
      <c r="AI56" s="288"/>
      <c r="AJ56" s="288"/>
      <c r="AK56" s="288"/>
      <c r="AL56" s="288"/>
      <c r="AM56" s="288"/>
      <c r="AN56" s="288"/>
      <c r="AO56" s="288"/>
      <c r="AP56" s="288"/>
      <c r="AQ56" s="288"/>
      <c r="AR56" s="288"/>
      <c r="AS56" s="288"/>
      <c r="AT56" s="288"/>
      <c r="AU56" s="288"/>
      <c r="AV56" s="288"/>
      <c r="AW56" s="288"/>
      <c r="AX56" s="288"/>
      <c r="AY56" s="288"/>
      <c r="AZ56" s="288"/>
      <c r="BA56" s="288"/>
      <c r="BB56" s="288"/>
      <c r="BC56" s="288"/>
      <c r="BD56" s="288"/>
    </row>
    <row r="57" spans="2:56" ht="12" customHeight="1" x14ac:dyDescent="0.3">
      <c r="B57" s="281"/>
      <c r="C57" s="281"/>
      <c r="D57" s="281"/>
      <c r="E57" s="281"/>
      <c r="F57" s="281"/>
      <c r="G57" s="281"/>
      <c r="H57" s="281"/>
      <c r="I57" s="135"/>
      <c r="J57" s="136"/>
      <c r="K57" s="137"/>
      <c r="L57" s="285" t="s">
        <v>2805</v>
      </c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A57" s="285"/>
      <c r="AB57" s="285"/>
      <c r="AC57" s="285"/>
      <c r="AD57" s="285"/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5"/>
      <c r="AS57" s="285"/>
      <c r="AT57" s="285"/>
      <c r="AU57" s="285"/>
      <c r="AV57" s="285"/>
      <c r="AW57" s="285"/>
      <c r="AX57" s="285"/>
      <c r="AY57" s="285"/>
      <c r="AZ57" s="285"/>
      <c r="BA57" s="285"/>
      <c r="BB57" s="285"/>
      <c r="BC57" s="285"/>
      <c r="BD57" s="285"/>
    </row>
    <row r="58" spans="2:56" ht="12" customHeight="1" x14ac:dyDescent="0.3">
      <c r="B58" s="281"/>
      <c r="C58" s="281"/>
      <c r="D58" s="281"/>
      <c r="E58" s="281"/>
      <c r="F58" s="281"/>
      <c r="G58" s="281"/>
      <c r="H58" s="281"/>
      <c r="I58" s="135"/>
      <c r="J58" s="136"/>
      <c r="K58" s="137"/>
      <c r="L58" s="285" t="s">
        <v>2806</v>
      </c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85"/>
      <c r="AB58" s="285"/>
      <c r="AC58" s="285"/>
      <c r="AD58" s="285"/>
      <c r="AE58" s="285"/>
      <c r="AF58" s="285"/>
      <c r="AG58" s="285"/>
      <c r="AH58" s="285"/>
      <c r="AI58" s="285"/>
      <c r="AJ58" s="285"/>
      <c r="AK58" s="285"/>
      <c r="AL58" s="285"/>
      <c r="AM58" s="285"/>
      <c r="AN58" s="285"/>
      <c r="AO58" s="285"/>
      <c r="AP58" s="285"/>
      <c r="AQ58" s="285"/>
      <c r="AR58" s="285"/>
      <c r="AS58" s="285"/>
      <c r="AT58" s="285"/>
      <c r="AU58" s="285"/>
      <c r="AV58" s="285"/>
      <c r="AW58" s="285"/>
      <c r="AX58" s="285"/>
      <c r="AY58" s="285"/>
      <c r="AZ58" s="285"/>
      <c r="BA58" s="285"/>
      <c r="BB58" s="285"/>
      <c r="BC58" s="285"/>
      <c r="BD58" s="285"/>
    </row>
    <row r="59" spans="2:56" ht="12" customHeight="1" thickBot="1" x14ac:dyDescent="0.35">
      <c r="B59" s="282"/>
      <c r="C59" s="282"/>
      <c r="D59" s="282"/>
      <c r="E59" s="282"/>
      <c r="F59" s="282"/>
      <c r="G59" s="282"/>
      <c r="H59" s="282"/>
      <c r="I59" s="138"/>
      <c r="J59" s="139"/>
      <c r="K59" s="140"/>
      <c r="L59" s="286" t="s">
        <v>2807</v>
      </c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86"/>
      <c r="AB59" s="286"/>
      <c r="AC59" s="286"/>
      <c r="AD59" s="286"/>
      <c r="AE59" s="286"/>
      <c r="AF59" s="286"/>
      <c r="AG59" s="286"/>
      <c r="AH59" s="286"/>
      <c r="AI59" s="286"/>
      <c r="AJ59" s="286"/>
      <c r="AK59" s="286"/>
      <c r="AL59" s="286"/>
      <c r="AM59" s="286"/>
      <c r="AN59" s="286"/>
      <c r="AO59" s="286"/>
      <c r="AP59" s="286"/>
      <c r="AQ59" s="286"/>
      <c r="AR59" s="286"/>
      <c r="AS59" s="286"/>
      <c r="AT59" s="286"/>
      <c r="AU59" s="286"/>
      <c r="AV59" s="286"/>
      <c r="AW59" s="286"/>
      <c r="AX59" s="286"/>
      <c r="AY59" s="286"/>
      <c r="AZ59" s="286"/>
      <c r="BA59" s="286"/>
      <c r="BB59" s="286"/>
      <c r="BC59" s="286"/>
      <c r="BD59" s="286"/>
    </row>
  </sheetData>
  <mergeCells count="57">
    <mergeCell ref="B5:H6"/>
    <mergeCell ref="B8:H20"/>
    <mergeCell ref="I8:BD8"/>
    <mergeCell ref="L10:BD10"/>
    <mergeCell ref="L11:BD11"/>
    <mergeCell ref="L12:BD12"/>
    <mergeCell ref="L14:BD14"/>
    <mergeCell ref="L15:BD15"/>
    <mergeCell ref="L16:BD16"/>
    <mergeCell ref="L18:BD18"/>
    <mergeCell ref="L19:BD19"/>
    <mergeCell ref="L20:BD20"/>
    <mergeCell ref="J9:BD9"/>
    <mergeCell ref="J13:BD13"/>
    <mergeCell ref="J17:BD17"/>
    <mergeCell ref="B21:H33"/>
    <mergeCell ref="I21:BD21"/>
    <mergeCell ref="L23:BD23"/>
    <mergeCell ref="L24:BD24"/>
    <mergeCell ref="L25:BD25"/>
    <mergeCell ref="L27:BD27"/>
    <mergeCell ref="L28:BD28"/>
    <mergeCell ref="L29:BD29"/>
    <mergeCell ref="L31:BD31"/>
    <mergeCell ref="L32:BD32"/>
    <mergeCell ref="L33:BD33"/>
    <mergeCell ref="J22:BD22"/>
    <mergeCell ref="J26:BD26"/>
    <mergeCell ref="J30:BD30"/>
    <mergeCell ref="B34:H46"/>
    <mergeCell ref="I34:BD34"/>
    <mergeCell ref="L36:BD36"/>
    <mergeCell ref="L37:BD37"/>
    <mergeCell ref="L38:BD38"/>
    <mergeCell ref="L40:BD40"/>
    <mergeCell ref="L41:BD41"/>
    <mergeCell ref="L42:BD42"/>
    <mergeCell ref="L44:BD44"/>
    <mergeCell ref="L45:BD45"/>
    <mergeCell ref="L46:BD46"/>
    <mergeCell ref="J35:BD35"/>
    <mergeCell ref="J39:BD39"/>
    <mergeCell ref="J43:BD43"/>
    <mergeCell ref="B47:H59"/>
    <mergeCell ref="I47:BD47"/>
    <mergeCell ref="L49:BD49"/>
    <mergeCell ref="L50:BD50"/>
    <mergeCell ref="L51:BD51"/>
    <mergeCell ref="L53:BD53"/>
    <mergeCell ref="L54:BD54"/>
    <mergeCell ref="L55:BD55"/>
    <mergeCell ref="L57:BD57"/>
    <mergeCell ref="L58:BD58"/>
    <mergeCell ref="L59:BD59"/>
    <mergeCell ref="J48:BD48"/>
    <mergeCell ref="J52:BD52"/>
    <mergeCell ref="J56:BD56"/>
  </mergeCells>
  <phoneticPr fontId="1" type="noConversion"/>
  <pageMargins left="0.25" right="0.25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11</vt:i4>
      </vt:variant>
    </vt:vector>
  </HeadingPairs>
  <TitlesOfParts>
    <vt:vector size="22" baseType="lpstr">
      <vt:lpstr>1.NPS 현황 요약</vt:lpstr>
      <vt:lpstr>2.종합 NPS 현황</vt:lpstr>
      <vt:lpstr>3.스타뱅킹 NPS 현황</vt:lpstr>
      <vt:lpstr>4.영업점 NPS 현황</vt:lpstr>
      <vt:lpstr>5.고객센터 NPS 현황</vt:lpstr>
      <vt:lpstr>6.상품 NPS 현황</vt:lpstr>
      <vt:lpstr>7.NSS</vt:lpstr>
      <vt:lpstr>8.CCI</vt:lpstr>
      <vt:lpstr>9.종합 고객경험 관리활동 현황</vt:lpstr>
      <vt:lpstr>10.채널별 고객경험 관리활동 현황</vt:lpstr>
      <vt:lpstr>11.불만 VOC 요약 및 비교</vt:lpstr>
      <vt:lpstr>'1.NPS 현황 요약'!Print_Area</vt:lpstr>
      <vt:lpstr>'10.채널별 고객경험 관리활동 현황'!Print_Area</vt:lpstr>
      <vt:lpstr>'11.불만 VOC 요약 및 비교'!Print_Area</vt:lpstr>
      <vt:lpstr>'2.종합 NPS 현황'!Print_Area</vt:lpstr>
      <vt:lpstr>'3.스타뱅킹 NPS 현황'!Print_Area</vt:lpstr>
      <vt:lpstr>'4.영업점 NPS 현황'!Print_Area</vt:lpstr>
      <vt:lpstr>'5.고객센터 NPS 현황'!Print_Area</vt:lpstr>
      <vt:lpstr>'6.상품 NPS 현황'!Print_Area</vt:lpstr>
      <vt:lpstr>'7.NSS'!Print_Area</vt:lpstr>
      <vt:lpstr>'8.CCI'!Print_Area</vt:lpstr>
      <vt:lpstr>'9.종합 고객경험 관리활동 현황'!Print_Area</vt:lpstr>
    </vt:vector>
  </TitlesOfParts>
  <Company>kb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서승원 팀원(대리)</dc:creator>
  <cp:lastModifiedBy>서승원 팀원(대리)</cp:lastModifiedBy>
  <cp:lastPrinted>2025-12-16T06:22:24Z</cp:lastPrinted>
  <dcterms:created xsi:type="dcterms:W3CDTF">2025-12-16T04:10:31Z</dcterms:created>
  <dcterms:modified xsi:type="dcterms:W3CDTF">2026-02-25T07:22:41Z</dcterms:modified>
</cp:coreProperties>
</file>