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70" yWindow="-60" windowWidth="27990" windowHeight="16320" tabRatio="600" firstSheet="0" activeTab="0" autoFilterDateGrouping="1"/>
  </bookViews>
  <sheets>
    <sheet xmlns:r="http://schemas.openxmlformats.org/officeDocument/2006/relationships" name="1.NPS 현황 요약" sheetId="1" state="visible" r:id="rId1"/>
    <sheet xmlns:r="http://schemas.openxmlformats.org/officeDocument/2006/relationships" name="2.종합 NPS 현황" sheetId="2" state="visible" r:id="rId2"/>
    <sheet xmlns:r="http://schemas.openxmlformats.org/officeDocument/2006/relationships" name="3.스타뱅킹 NPS 현황" sheetId="3" state="visible" r:id="rId3"/>
    <sheet xmlns:r="http://schemas.openxmlformats.org/officeDocument/2006/relationships" name="4.영업점 NPS 현황" sheetId="4" state="visible" r:id="rId4"/>
    <sheet xmlns:r="http://schemas.openxmlformats.org/officeDocument/2006/relationships" name="5.고객센터 NPS 현황" sheetId="5" state="visible" r:id="rId5"/>
    <sheet xmlns:r="http://schemas.openxmlformats.org/officeDocument/2006/relationships" name="6.상품 NPS 현황" sheetId="6" state="visible" r:id="rId6"/>
    <sheet xmlns:r="http://schemas.openxmlformats.org/officeDocument/2006/relationships" name="7.NSS" sheetId="7" state="visible" r:id="rId7"/>
    <sheet xmlns:r="http://schemas.openxmlformats.org/officeDocument/2006/relationships" name="8.CCI" sheetId="8" state="visible" r:id="rId8"/>
    <sheet xmlns:r="http://schemas.openxmlformats.org/officeDocument/2006/relationships" name="9.종합 고객경험 관리활동 현황" sheetId="9" state="visible" r:id="rId9"/>
    <sheet xmlns:r="http://schemas.openxmlformats.org/officeDocument/2006/relationships" name="10.채널별 고객경험 관리활동 현황" sheetId="10" state="visible" r:id="rId10"/>
    <sheet xmlns:r="http://schemas.openxmlformats.org/officeDocument/2006/relationships" name="11.불만 VOC 요약 및 비교" sheetId="11" state="visible" r:id="rId11"/>
  </sheets>
  <definedNames>
    <definedName name="_xlnm.Print_Area" localSheetId="0">'1.NPS 현황 요약'!$A$1:$BE$50</definedName>
    <definedName name="_xlnm.Print_Area" localSheetId="1">'2.종합 NPS 현황'!$A$1:$BE$45</definedName>
    <definedName name="_xlnm.Print_Area" localSheetId="2">'3.스타뱅킹 NPS 현황'!$A$1:$BE$61</definedName>
    <definedName name="_xlnm.Print_Area" localSheetId="3">'4.영업점 NPS 현황'!$A$1:$BE$55</definedName>
    <definedName name="_xlnm.Print_Area" localSheetId="4">'5.고객센터 NPS 현황'!$A$1:$BE$57</definedName>
    <definedName name="_xlnm.Print_Area" localSheetId="5">'6.상품 NPS 현황'!$A$1:$BE$57</definedName>
    <definedName name="_xlnm.Print_Area" localSheetId="6">'7.NSS'!$A$1:$BE$44</definedName>
    <definedName name="_xlnm.Print_Area" localSheetId="7">'8.CCI'!$A$1:$BE$42</definedName>
    <definedName name="_xlnm.Print_Area" localSheetId="8">'9.종합 고객경험 관리활동 현황'!$A$1:$BE$25</definedName>
    <definedName name="_xlnm.Print_Area" localSheetId="9">'10.채널별 고객경험 관리활동 현황'!$A$1:$BG$43</definedName>
    <definedName name="_xlnm.Print_Area" localSheetId="10">'11.불만 VOC 요약 및 비교'!$A$1:$BE$60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#,##0.0;[Red]\-#,##0.0"/>
    <numFmt numFmtId="165" formatCode="0.0_ "/>
    <numFmt numFmtId="166" formatCode="#,##0.0_ ;[Red]\-#,##0.0\ "/>
    <numFmt numFmtId="167" formatCode="0.0"/>
    <numFmt numFmtId="168" formatCode="_-* #,##0.0_-;\-* #,##0.0_-;_-* &quot;-&quot;?_-;_-@_-"/>
    <numFmt numFmtId="169" formatCode="#,##0.0;[Red]-#,##0.0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KB금융 본문체 Light"/>
      <charset val="129"/>
      <family val="2"/>
      <sz val="8"/>
    </font>
    <font>
      <name val="KB금융 본문체 Light"/>
      <charset val="129"/>
      <family val="3"/>
      <b val="1"/>
      <color rgb="FF1F497D"/>
      <sz val="11"/>
    </font>
    <font>
      <name val="KB금융 제목체 Bold"/>
      <charset val="129"/>
      <family val="3"/>
      <color theme="1"/>
      <sz val="16"/>
    </font>
    <font>
      <name val="KB금융 제목체 Bold"/>
      <charset val="129"/>
      <family val="3"/>
      <color theme="0"/>
      <sz val="10"/>
    </font>
    <font>
      <name val="KB금융 제목체 Bold"/>
      <charset val="129"/>
      <family val="3"/>
      <color theme="1"/>
      <sz val="10"/>
    </font>
    <font>
      <name val="KB금융 본문체 Light"/>
      <charset val="129"/>
      <family val="3"/>
      <b val="1"/>
      <color theme="1"/>
      <sz val="10"/>
    </font>
    <font>
      <name val="KB금융 본문체 Light"/>
      <charset val="129"/>
      <family val="3"/>
      <color theme="1"/>
      <sz val="10"/>
    </font>
    <font>
      <name val="KB금융 본문체 Light"/>
      <charset val="129"/>
      <family val="3"/>
      <color theme="1"/>
      <sz val="9"/>
    </font>
    <font>
      <name val="KB금융 본문체 Light"/>
      <charset val="129"/>
      <family val="3"/>
      <color theme="1"/>
      <sz val="8"/>
    </font>
    <font>
      <name val="KB금융 본문체 Light"/>
      <charset val="129"/>
      <family val="3"/>
      <b val="1"/>
      <color theme="1"/>
      <sz val="9"/>
    </font>
    <font>
      <name val="KB금융 제목체 Medium"/>
      <charset val="129"/>
      <family val="3"/>
      <color theme="1"/>
      <sz val="10"/>
    </font>
    <font>
      <name val="KB금융 본문체 Light"/>
      <charset val="129"/>
      <family val="3"/>
      <color theme="1"/>
      <sz val="11"/>
    </font>
    <font>
      <name val="KB금융 본문체 Light"/>
      <charset val="129"/>
      <family val="3"/>
      <color theme="1"/>
      <sz val="16"/>
    </font>
    <font>
      <name val="KB금융 본문체 Light"/>
      <charset val="129"/>
      <family val="3"/>
      <color theme="0"/>
      <sz val="10"/>
    </font>
    <font>
      <name val="KB금융 제목체 Bold"/>
      <charset val="129"/>
      <family val="3"/>
      <b val="1"/>
      <color rgb="FF1F497D"/>
      <sz val="11"/>
    </font>
    <font>
      <name val="KB금융 본문체 Light"/>
      <charset val="129"/>
      <family val="3"/>
      <color theme="0"/>
      <sz val="12"/>
    </font>
    <font>
      <name val="KB금융 본문체 Light"/>
      <charset val="129"/>
      <family val="3"/>
      <color theme="1"/>
      <sz val="12"/>
    </font>
    <font>
      <name val="KB금융 제목체 Bold"/>
      <charset val="129"/>
      <family val="3"/>
      <color theme="0"/>
      <sz val="12"/>
    </font>
    <font>
      <name val="맑은 고딕"/>
      <charset val="129"/>
      <family val="2"/>
      <color theme="1"/>
      <sz val="10"/>
      <scheme val="minor"/>
    </font>
    <font>
      <name val="KB금융 제목체 Bold"/>
      <charset val="129"/>
      <family val="3"/>
      <color theme="1"/>
      <sz val="12"/>
    </font>
    <font>
      <name val="KB금융 제목체 Medium"/>
      <charset val="129"/>
      <family val="3"/>
      <color theme="1"/>
      <sz val="11"/>
    </font>
    <font>
      <name val="KB금융 제목체 Medium"/>
      <charset val="129"/>
      <family val="3"/>
      <color theme="1"/>
      <sz val="7"/>
    </font>
    <font>
      <name val="KB금융 제목체 Medium"/>
      <charset val="129"/>
      <family val="3"/>
      <color theme="1"/>
      <sz val="6.5"/>
    </font>
    <font>
      <name val="KB금융 본문체 Light"/>
      <charset val="129"/>
      <family val="3"/>
      <color theme="0"/>
      <sz val="11"/>
    </font>
    <font>
      <name val="KB금융 본문체 Light"/>
      <charset val="129"/>
      <family val="3"/>
      <color theme="0"/>
      <sz val="9"/>
    </font>
    <font>
      <name val="KB금융 본문체 Light"/>
      <charset val="129"/>
      <family val="3"/>
      <color theme="0"/>
      <sz val="8"/>
    </font>
    <font>
      <name val="KB금융 본문체 Medium"/>
      <charset val="129"/>
      <family val="3"/>
      <color theme="1"/>
      <sz val="8"/>
    </font>
  </fonts>
  <fills count="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</fills>
  <borders count="7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hair">
        <color indexed="64"/>
      </right>
      <top style="thin">
        <color auto="1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auto="1"/>
      </bottom>
      <diagonal/>
    </border>
    <border>
      <left style="hair">
        <color indexed="64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auto="1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auto="1"/>
      </bottom>
      <diagonal/>
    </border>
    <border>
      <left style="hair">
        <color indexed="64"/>
      </left>
      <right/>
      <top style="hair">
        <color indexed="64"/>
      </top>
      <bottom style="thin">
        <color auto="1"/>
      </bottom>
      <diagonal/>
    </border>
    <border>
      <left/>
      <right/>
      <top style="hair">
        <color indexed="64"/>
      </top>
      <bottom style="thin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auto="1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/>
      <top style="thin">
        <color theme="0" tint="-0.3499862666707358"/>
      </top>
      <bottom/>
      <diagonal/>
    </border>
    <border>
      <left/>
      <right/>
      <top style="thin">
        <color theme="0" tint="-0.3499862666707358"/>
      </top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/>
      <diagonal/>
    </border>
    <border>
      <left/>
      <right/>
      <top style="thin">
        <color theme="0" tint="-0.249946592608417"/>
      </top>
      <bottom/>
      <diagonal/>
    </border>
    <border>
      <left/>
      <right/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3499862666707358"/>
      </left>
      <right/>
      <top style="hair">
        <color theme="0" tint="-0.3499862666707358"/>
      </top>
      <bottom/>
      <diagonal/>
    </border>
    <border>
      <left/>
      <right/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3499862666707358"/>
      </left>
      <right/>
      <top/>
      <bottom/>
      <diagonal/>
    </border>
    <border>
      <left style="hair">
        <color theme="0" tint="-0.3499862666707358"/>
      </left>
      <right/>
      <top style="hair">
        <color theme="0" tint="-0.249946592608417"/>
      </top>
      <bottom/>
      <diagonal/>
    </border>
    <border>
      <left/>
      <right style="hair">
        <color theme="0"/>
      </right>
      <top style="hair">
        <color theme="0" tint="-0.249946592608417"/>
      </top>
      <bottom/>
      <diagonal/>
    </border>
    <border>
      <left style="hair">
        <color theme="0"/>
      </left>
      <right/>
      <top style="hair">
        <color theme="0" tint="-0.249946592608417"/>
      </top>
      <bottom/>
      <diagonal/>
    </border>
    <border>
      <left/>
      <right/>
      <top style="hair">
        <color theme="0" tint="-0.249946592608417"/>
      </top>
      <bottom/>
      <diagonal/>
    </border>
    <border>
      <left/>
      <right/>
      <top style="hair">
        <color theme="0" tint="-0.3499862666707358"/>
      </top>
      <bottom/>
      <diagonal/>
    </border>
    <border>
      <left/>
      <right/>
      <top style="hair">
        <color theme="0" tint="-0.3499862666707358"/>
      </top>
      <bottom style="hair">
        <color theme="0" tint="-0.3499862666707358"/>
      </bottom>
      <diagonal/>
    </border>
    <border>
      <left/>
      <right style="hair">
        <color theme="0" tint="-0.3499862666707358"/>
      </right>
      <top/>
      <bottom/>
      <diagonal/>
    </border>
    <border>
      <left/>
      <right/>
      <top/>
      <bottom style="medium">
        <color theme="0" tint="-0.3499862666707358"/>
      </bottom>
      <diagonal/>
    </border>
    <border>
      <left style="hair">
        <color theme="0" tint="-0.3499862666707358"/>
      </left>
      <right/>
      <top/>
      <bottom style="medium">
        <color theme="0" tint="-0.3499862666707358"/>
      </bottom>
      <diagonal/>
    </border>
    <border>
      <left/>
      <right style="hair">
        <color theme="0" tint="-0.3499862666707358"/>
      </right>
      <top/>
      <bottom style="medium">
        <color theme="0" tint="-0.3499862666707358"/>
      </bottom>
      <diagonal/>
    </border>
    <border>
      <left/>
      <right/>
      <top style="hair">
        <color theme="0" tint="-0.3499862666707358"/>
      </top>
      <bottom style="medium">
        <color theme="0" tint="-0.3499862666707358"/>
      </bottom>
      <diagonal/>
    </border>
    <border>
      <left style="thin">
        <color theme="0" tint="-0.3499862666707358"/>
      </left>
      <right style="thin">
        <color theme="0" tint="-0.249977111117893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249977111117893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hair">
        <color indexed="64"/>
      </left>
      <right style="hair">
        <color indexed="64"/>
      </right>
      <top/>
      <bottom style="thin">
        <color auto="1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auto="1"/>
      </bottom>
      <diagonal/>
    </border>
    <border>
      <left/>
      <right style="thin">
        <color theme="0" tint="-0.249977111117893"/>
      </right>
      <top style="thin">
        <color theme="0" tint="-0.3499862666707358"/>
      </top>
      <bottom/>
      <diagonal/>
    </border>
    <border>
      <left/>
      <right style="thin">
        <color theme="0" tint="-0.249977111117893"/>
      </right>
      <top style="thin">
        <color theme="0" tint="-0.3499862666707358"/>
      </top>
      <bottom style="thin">
        <color theme="0" tint="-0.3499862666707358"/>
      </bottom>
      <diagonal/>
    </border>
  </borders>
  <cellStyleXfs count="1">
    <xf numFmtId="0" fontId="0" fillId="0" borderId="0" applyAlignment="1">
      <alignment vertical="center"/>
    </xf>
  </cellStyleXfs>
  <cellXfs count="371">
    <xf numFmtId="0" fontId="0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6" fillId="2" borderId="1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indent="2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1" xfId="0">
      <alignment horizontal="left" vertical="center" indent="2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8" fillId="0" borderId="0" applyAlignment="1" pivotButton="0" quotePrefix="1" xfId="0">
      <alignment horizontal="left" vertical="center" indent="2"/>
    </xf>
    <xf numFmtId="0" fontId="9" fillId="4" borderId="0" applyAlignment="1" pivotButton="0" quotePrefix="0" xfId="0">
      <alignment horizontal="left" vertical="center" indent="2"/>
    </xf>
    <xf numFmtId="0" fontId="9" fillId="4" borderId="2" applyAlignment="1" pivotButton="0" quotePrefix="0" xfId="0">
      <alignment horizontal="left" vertical="center" indent="2"/>
    </xf>
    <xf numFmtId="0" fontId="9" fillId="4" borderId="6" applyAlignment="1" pivotButton="0" quotePrefix="0" xfId="0">
      <alignment horizontal="left" vertical="center" indent="2"/>
    </xf>
    <xf numFmtId="0" fontId="9" fillId="4" borderId="10" applyAlignment="1" pivotButton="0" quotePrefix="0" xfId="0">
      <alignment horizontal="left" vertical="center" indent="2"/>
    </xf>
    <xf numFmtId="0" fontId="8" fillId="0" borderId="0" applyAlignment="1" pivotButton="0" quotePrefix="0" xfId="0">
      <alignment horizontal="left" vertical="center"/>
    </xf>
    <xf numFmtId="0" fontId="12" fillId="2" borderId="1" applyAlignment="1" pivotButton="0" quotePrefix="0" xfId="0">
      <alignment vertical="center"/>
    </xf>
    <xf numFmtId="0" fontId="11" fillId="2" borderId="3" applyAlignment="1" pivotButton="0" quotePrefix="0" xfId="0">
      <alignment vertical="center"/>
    </xf>
    <xf numFmtId="0" fontId="11" fillId="2" borderId="7" applyAlignment="1" pivotButton="0" quotePrefix="0" xfId="0">
      <alignment vertical="center"/>
    </xf>
    <xf numFmtId="0" fontId="4" fillId="2" borderId="5" applyAlignment="1" pivotButton="0" quotePrefix="1" xfId="0">
      <alignment horizontal="centerContinuous" vertical="center"/>
    </xf>
    <xf numFmtId="0" fontId="3" fillId="0" borderId="4" applyAlignment="1" pivotButton="0" quotePrefix="0" xfId="0">
      <alignment horizontal="centerContinuous" vertical="center"/>
    </xf>
    <xf numFmtId="0" fontId="8" fillId="0" borderId="0" applyAlignment="1" pivotButton="0" quotePrefix="1" xfId="0">
      <alignment vertical="center"/>
    </xf>
    <xf numFmtId="0" fontId="13" fillId="0" borderId="0" applyAlignment="1" pivotButton="0" quotePrefix="1" xfId="0">
      <alignment horizontal="left" vertical="center" indent="2"/>
    </xf>
    <xf numFmtId="0" fontId="9" fillId="4" borderId="0" applyAlignment="1" pivotButton="0" quotePrefix="0" xfId="0">
      <alignment vertical="center"/>
    </xf>
    <xf numFmtId="0" fontId="9" fillId="4" borderId="2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8" fillId="0" borderId="0" applyAlignment="1" pivotButton="0" quotePrefix="1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9" fillId="4" borderId="2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centerContinuous" vertical="center"/>
    </xf>
    <xf numFmtId="0" fontId="11" fillId="5" borderId="9" applyAlignment="1" pivotButton="0" quotePrefix="0" xfId="0">
      <alignment horizontal="centerContinuous" vertical="center" shrinkToFit="1"/>
    </xf>
    <xf numFmtId="0" fontId="11" fillId="5" borderId="1" applyAlignment="1" pivotButton="0" quotePrefix="0" xfId="0">
      <alignment horizontal="centerContinuous" vertical="center" shrinkToFit="1"/>
    </xf>
    <xf numFmtId="0" fontId="11" fillId="5" borderId="8" applyAlignment="1" pivotButton="0" quotePrefix="0" xfId="0">
      <alignment horizontal="centerContinuous" vertical="center" shrinkToFit="1"/>
    </xf>
    <xf numFmtId="0" fontId="11" fillId="5" borderId="11" applyAlignment="1" pivotButton="0" quotePrefix="0" xfId="0">
      <alignment horizontal="centerContinuous" vertical="center" shrinkToFit="1"/>
    </xf>
    <xf numFmtId="0" fontId="11" fillId="5" borderId="15" applyAlignment="1" pivotButton="0" quotePrefix="0" xfId="0">
      <alignment horizontal="centerContinuous" vertical="center" shrinkToFit="1"/>
    </xf>
    <xf numFmtId="0" fontId="11" fillId="2" borderId="1" applyAlignment="1" pivotButton="0" quotePrefix="0" xfId="0">
      <alignment horizontal="centerContinuous" vertical="center" shrinkToFit="1"/>
    </xf>
    <xf numFmtId="0" fontId="7" fillId="5" borderId="3" applyAlignment="1" pivotButton="0" quotePrefix="0" xfId="0">
      <alignment horizontal="centerContinuous" vertical="center" shrinkToFit="1"/>
    </xf>
    <xf numFmtId="0" fontId="11" fillId="5" borderId="2" applyAlignment="1" pivotButton="0" quotePrefix="0" xfId="0">
      <alignment horizontal="centerContinuous" vertical="top" shrinkToFit="1"/>
    </xf>
    <xf numFmtId="0" fontId="11" fillId="5" borderId="3" applyAlignment="1" pivotButton="0" quotePrefix="0" xfId="0">
      <alignment horizontal="centerContinuous" vertical="center" shrinkToFit="1"/>
    </xf>
    <xf numFmtId="0" fontId="11" fillId="5" borderId="3" applyAlignment="1" pivotButton="0" quotePrefix="0" xfId="0">
      <alignment horizontal="centerContinuous" vertical="center"/>
    </xf>
    <xf numFmtId="0" fontId="9" fillId="0" borderId="0" applyAlignment="1" pivotButton="0" quotePrefix="0" xfId="0">
      <alignment horizontal="centerContinuous" vertical="center"/>
    </xf>
    <xf numFmtId="0" fontId="14" fillId="2" borderId="5" applyAlignment="1" pivotButton="0" quotePrefix="1" xfId="0">
      <alignment horizontal="centerContinuous" vertical="center"/>
    </xf>
    <xf numFmtId="0" fontId="15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2" borderId="1" applyAlignment="1" pivotButton="0" quotePrefix="0" xfId="0">
      <alignment horizontal="left" vertical="center" indent="1"/>
    </xf>
    <xf numFmtId="0" fontId="8" fillId="2" borderId="1" applyAlignment="1" pivotButton="0" quotePrefix="0" xfId="0">
      <alignment vertical="center"/>
    </xf>
    <xf numFmtId="0" fontId="8" fillId="2" borderId="1" applyAlignment="1" pivotButton="0" quotePrefix="0" xfId="0">
      <alignment horizontal="right" vertical="center"/>
    </xf>
    <xf numFmtId="0" fontId="16" fillId="0" borderId="4" applyAlignment="1" pivotButton="0" quotePrefix="0" xfId="0">
      <alignment horizontal="centerContinuous" vertical="center"/>
    </xf>
    <xf numFmtId="0" fontId="11" fillId="2" borderId="11" applyAlignment="1" pivotButton="0" quotePrefix="0" xfId="0">
      <alignment horizontal="centerContinuous" vertical="center" shrinkToFit="1"/>
    </xf>
    <xf numFmtId="0" fontId="11" fillId="2" borderId="12" applyAlignment="1" pivotButton="0" quotePrefix="0" xfId="0">
      <alignment vertical="center"/>
    </xf>
    <xf numFmtId="0" fontId="9" fillId="4" borderId="13" applyAlignment="1" pivotButton="0" quotePrefix="0" xfId="0">
      <alignment horizontal="left" vertical="center" indent="2"/>
    </xf>
    <xf numFmtId="0" fontId="9" fillId="4" borderId="14" applyAlignment="1" pivotButton="0" quotePrefix="0" xfId="0">
      <alignment horizontal="left" vertical="center" indent="2"/>
    </xf>
    <xf numFmtId="0" fontId="11" fillId="5" borderId="12" applyAlignment="1" pivotButton="0" quotePrefix="0" xfId="0">
      <alignment horizontal="centerContinuous" vertical="center"/>
    </xf>
    <xf numFmtId="0" fontId="11" fillId="5" borderId="16" applyAlignment="1" pivotButton="0" quotePrefix="0" xfId="0">
      <alignment horizontal="centerContinuous" vertical="center" shrinkToFit="1"/>
    </xf>
    <xf numFmtId="0" fontId="11" fillId="5" borderId="18" applyAlignment="1" pivotButton="0" quotePrefix="0" xfId="0">
      <alignment horizontal="centerContinuous" vertical="top" shrinkToFit="1"/>
    </xf>
    <xf numFmtId="0" fontId="11" fillId="5" borderId="12" applyAlignment="1" pivotButton="0" quotePrefix="0" xfId="0">
      <alignment horizontal="centerContinuous" vertical="center" shrinkToFit="1"/>
    </xf>
    <xf numFmtId="0" fontId="11" fillId="5" borderId="14" applyAlignment="1" pivotButton="0" quotePrefix="0" xfId="0">
      <alignment horizontal="centerContinuous" vertical="top" shrinkToFit="1"/>
    </xf>
    <xf numFmtId="0" fontId="11" fillId="5" borderId="19" applyAlignment="1" pivotButton="0" quotePrefix="0" xfId="0">
      <alignment horizontal="centerContinuous" vertical="center" shrinkToFit="1"/>
    </xf>
    <xf numFmtId="0" fontId="11" fillId="5" borderId="20" applyAlignment="1" pivotButton="0" quotePrefix="0" xfId="0">
      <alignment horizontal="centerContinuous" vertical="center" shrinkToFit="1"/>
    </xf>
    <xf numFmtId="0" fontId="11" fillId="5" borderId="21" applyAlignment="1" pivotButton="0" quotePrefix="0" xfId="0">
      <alignment horizontal="centerContinuous" vertical="center" shrinkToFit="1"/>
    </xf>
    <xf numFmtId="0" fontId="7" fillId="5" borderId="12" applyAlignment="1" pivotButton="0" quotePrefix="0" xfId="0">
      <alignment horizontal="centerContinuous" vertical="center" shrinkToFit="1"/>
    </xf>
    <xf numFmtId="0" fontId="11" fillId="5" borderId="2" applyAlignment="1" pivotButton="0" quotePrefix="0" xfId="0">
      <alignment horizontal="center" vertical="top"/>
    </xf>
    <xf numFmtId="0" fontId="11" fillId="5" borderId="14" applyAlignment="1" pivotButton="0" quotePrefix="0" xfId="0">
      <alignment horizontal="center" vertical="top"/>
    </xf>
    <xf numFmtId="0" fontId="17" fillId="3" borderId="1" applyAlignment="1" pivotButton="0" quotePrefix="0" xfId="0">
      <alignment vertical="center"/>
    </xf>
    <xf numFmtId="0" fontId="18" fillId="2" borderId="1" applyAlignment="1" pivotButton="0" quotePrefix="0" xfId="0">
      <alignment horizontal="left" vertical="center" indent="1"/>
    </xf>
    <xf numFmtId="0" fontId="13" fillId="0" borderId="0" applyAlignment="1" pivotButton="0" quotePrefix="1" xfId="0">
      <alignment vertical="center"/>
    </xf>
    <xf numFmtId="0" fontId="13" fillId="2" borderId="1" applyAlignment="1" pivotButton="0" quotePrefix="0" xfId="0">
      <alignment vertical="center"/>
    </xf>
    <xf numFmtId="0" fontId="11" fillId="5" borderId="22" applyAlignment="1" pivotButton="0" quotePrefix="0" xfId="0">
      <alignment horizontal="centerContinuous" vertical="center" shrinkToFit="1"/>
    </xf>
    <xf numFmtId="0" fontId="11" fillId="5" borderId="23" applyAlignment="1" pivotButton="0" quotePrefix="0" xfId="0">
      <alignment horizontal="centerContinuous" vertical="center" shrinkToFit="1"/>
    </xf>
    <xf numFmtId="0" fontId="9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2"/>
    </xf>
    <xf numFmtId="0" fontId="9" fillId="4" borderId="2" applyAlignment="1" pivotButton="0" quotePrefix="0" xfId="0">
      <alignment vertical="center"/>
    </xf>
    <xf numFmtId="164" fontId="13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19" fillId="3" borderId="1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21" fillId="2" borderId="1" applyAlignment="1" pivotButton="0" quotePrefix="0" xfId="0">
      <alignment horizontal="left" vertical="center" indent="1"/>
    </xf>
    <xf numFmtId="0" fontId="6" fillId="0" borderId="0" applyAlignment="1" pivotButton="0" quotePrefix="0" xfId="0">
      <alignment vertical="center"/>
    </xf>
    <xf numFmtId="0" fontId="22" fillId="2" borderId="1" applyAlignment="1" pivotButton="0" quotePrefix="0" xfId="0">
      <alignment vertical="center"/>
    </xf>
    <xf numFmtId="0" fontId="23" fillId="2" borderId="1" applyAlignment="1" pivotButton="0" quotePrefix="0" xfId="0">
      <alignment vertical="center"/>
    </xf>
    <xf numFmtId="0" fontId="24" fillId="2" borderId="1" applyAlignment="1" pivotButton="0" quotePrefix="0" xfId="0">
      <alignment horizontal="right" vertical="center"/>
    </xf>
    <xf numFmtId="165" fontId="0" fillId="0" borderId="0" applyAlignment="1" pivotButton="0" quotePrefix="0" xfId="0">
      <alignment vertical="center"/>
    </xf>
    <xf numFmtId="0" fontId="23" fillId="2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 vertical="center"/>
    </xf>
    <xf numFmtId="0" fontId="9" fillId="0" borderId="37" applyAlignment="1" pivotButton="0" quotePrefix="0" xfId="0">
      <alignment horizontal="left" vertical="center"/>
    </xf>
    <xf numFmtId="0" fontId="9" fillId="0" borderId="38" applyAlignment="1" pivotButton="0" quotePrefix="0" xfId="0">
      <alignment vertical="center"/>
    </xf>
    <xf numFmtId="0" fontId="9" fillId="0" borderId="35" applyAlignment="1" pivotButton="0" quotePrefix="0" xfId="0">
      <alignment vertical="center"/>
    </xf>
    <xf numFmtId="0" fontId="9" fillId="0" borderId="37" applyAlignment="1" pivotButton="0" quotePrefix="0" xfId="0">
      <alignment vertical="center"/>
    </xf>
    <xf numFmtId="0" fontId="9" fillId="0" borderId="38" applyAlignment="1" pivotButton="0" quotePrefix="0" xfId="0">
      <alignment vertical="center"/>
    </xf>
    <xf numFmtId="0" fontId="9" fillId="0" borderId="35" applyAlignment="1" pivotButton="0" quotePrefix="0" xfId="0">
      <alignment vertical="center"/>
    </xf>
    <xf numFmtId="0" fontId="9" fillId="2" borderId="37" applyAlignment="1" pivotButton="0" quotePrefix="0" xfId="0">
      <alignment horizontal="left" vertical="center"/>
    </xf>
    <xf numFmtId="0" fontId="9" fillId="2" borderId="38" applyAlignment="1" pivotButton="0" quotePrefix="0" xfId="0">
      <alignment vertical="center"/>
    </xf>
    <xf numFmtId="0" fontId="9" fillId="2" borderId="35" applyAlignment="1" pivotButton="0" quotePrefix="0" xfId="0">
      <alignment vertical="center"/>
    </xf>
    <xf numFmtId="0" fontId="9" fillId="2" borderId="37" applyAlignment="1" pivotButton="0" quotePrefix="0" xfId="0">
      <alignment vertical="center"/>
    </xf>
    <xf numFmtId="0" fontId="9" fillId="2" borderId="38" applyAlignment="1" pivotButton="0" quotePrefix="0" xfId="0">
      <alignment vertical="center"/>
    </xf>
    <xf numFmtId="0" fontId="9" fillId="2" borderId="35" applyAlignment="1" pivotButton="0" quotePrefix="0" xfId="0">
      <alignment vertical="center"/>
    </xf>
    <xf numFmtId="0" fontId="9" fillId="0" borderId="41" applyAlignment="1" pivotButton="0" quotePrefix="0" xfId="0">
      <alignment vertical="center"/>
    </xf>
    <xf numFmtId="0" fontId="9" fillId="0" borderId="42" applyAlignment="1" pivotButton="0" quotePrefix="0" xfId="0">
      <alignment vertical="center"/>
    </xf>
    <xf numFmtId="0" fontId="9" fillId="0" borderId="42" applyAlignment="1" pivotButton="0" quotePrefix="0" xfId="0">
      <alignment vertical="center"/>
    </xf>
    <xf numFmtId="0" fontId="9" fillId="0" borderId="47" applyAlignment="1" pivotButton="0" quotePrefix="0" xfId="0">
      <alignment vertical="center"/>
    </xf>
    <xf numFmtId="0" fontId="9" fillId="0" borderId="39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0" borderId="49" applyAlignment="1" pivotButton="0" quotePrefix="0" xfId="0">
      <alignment vertical="center"/>
    </xf>
    <xf numFmtId="0" fontId="9" fillId="0" borderId="45" applyAlignment="1" pivotButton="0" quotePrefix="0" xfId="0">
      <alignment vertical="center"/>
    </xf>
    <xf numFmtId="0" fontId="9" fillId="0" borderId="46" applyAlignment="1" pivotButton="0" quotePrefix="0" xfId="0">
      <alignment vertical="center"/>
    </xf>
    <xf numFmtId="0" fontId="9" fillId="0" borderId="46" applyAlignment="1" pivotButton="0" quotePrefix="0" xfId="0">
      <alignment vertical="center"/>
    </xf>
    <xf numFmtId="0" fontId="9" fillId="0" borderId="48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165" fontId="13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0" fontId="9" fillId="0" borderId="45" applyAlignment="1" pivotButton="0" quotePrefix="0" xfId="0">
      <alignment vertical="center"/>
    </xf>
    <xf numFmtId="0" fontId="9" fillId="0" borderId="46" applyAlignment="1" pivotButton="0" quotePrefix="0" xfId="0">
      <alignment vertical="center"/>
    </xf>
    <xf numFmtId="0" fontId="9" fillId="2" borderId="41" applyAlignment="1" pivotButton="0" quotePrefix="0" xfId="0">
      <alignment vertical="center"/>
    </xf>
    <xf numFmtId="0" fontId="9" fillId="2" borderId="42" applyAlignment="1" pivotButton="0" quotePrefix="0" xfId="0">
      <alignment vertical="center"/>
    </xf>
    <xf numFmtId="0" fontId="9" fillId="0" borderId="39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2" borderId="37" applyAlignment="1" pivotButton="0" quotePrefix="0" xfId="0">
      <alignment vertical="center"/>
    </xf>
    <xf numFmtId="166" fontId="13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26" fillId="3" borderId="50" applyAlignment="1" pivotButton="0" quotePrefix="0" xfId="0">
      <alignment horizontal="centerContinuous" vertical="center"/>
    </xf>
    <xf numFmtId="0" fontId="26" fillId="3" borderId="51" applyAlignment="1" pivotButton="0" quotePrefix="0" xfId="0">
      <alignment horizontal="centerContinuous" vertical="center"/>
    </xf>
    <xf numFmtId="0" fontId="27" fillId="3" borderId="52" applyAlignment="1" pivotButton="0" quotePrefix="0" xfId="0">
      <alignment horizontal="left" vertical="center" indent="1"/>
    </xf>
    <xf numFmtId="0" fontId="27" fillId="3" borderId="53" applyAlignment="1" pivotButton="0" quotePrefix="0" xfId="0">
      <alignment horizontal="centerContinuous" vertical="center"/>
    </xf>
    <xf numFmtId="0" fontId="26" fillId="3" borderId="53" applyAlignment="1" pivotButton="0" quotePrefix="0" xfId="0">
      <alignment horizontal="centerContinuous" vertical="center"/>
    </xf>
    <xf numFmtId="0" fontId="27" fillId="3" borderId="54" applyAlignment="1" pivotButton="0" quotePrefix="0" xfId="0">
      <alignment horizontal="centerContinuous" vertical="center"/>
    </xf>
    <xf numFmtId="0" fontId="27" fillId="3" borderId="55" applyAlignment="1" pivotButton="0" quotePrefix="0" xfId="0">
      <alignment horizontal="left" vertical="center" indent="1"/>
    </xf>
    <xf numFmtId="0" fontId="27" fillId="3" borderId="56" applyAlignment="1" pivotButton="0" quotePrefix="0" xfId="0">
      <alignment horizontal="centerContinuous" vertical="center"/>
    </xf>
    <xf numFmtId="0" fontId="27" fillId="3" borderId="57" applyAlignment="1" pivotButton="0" quotePrefix="0" xfId="0">
      <alignment horizontal="centerContinuous" vertical="center"/>
    </xf>
    <xf numFmtId="0" fontId="26" fillId="3" borderId="58" applyAlignment="1" pivotButton="0" quotePrefix="0" xfId="0">
      <alignment horizontal="centerContinuous" vertical="center"/>
    </xf>
    <xf numFmtId="0" fontId="26" fillId="3" borderId="0" applyAlignment="1" pivotButton="0" quotePrefix="0" xfId="0">
      <alignment horizontal="centerContinuous" vertical="center"/>
    </xf>
    <xf numFmtId="0" fontId="27" fillId="3" borderId="0" applyAlignment="1" pivotButton="0" quotePrefix="0" xfId="0">
      <alignment horizontal="centerContinuous" vertical="center"/>
    </xf>
    <xf numFmtId="0" fontId="26" fillId="3" borderId="59" applyAlignment="1" pivotButton="0" quotePrefix="0" xfId="0">
      <alignment horizontal="centerContinuous" vertical="center"/>
    </xf>
    <xf numFmtId="0" fontId="28" fillId="0" borderId="54" applyAlignment="1" pivotButton="0" quotePrefix="0" xfId="0">
      <alignment horizontal="left" vertical="center" indent="1"/>
    </xf>
    <xf numFmtId="0" fontId="28" fillId="0" borderId="54" applyAlignment="1" pivotButton="0" quotePrefix="0" xfId="0">
      <alignment vertical="center"/>
    </xf>
    <xf numFmtId="0" fontId="28" fillId="2" borderId="54" applyAlignment="1" pivotButton="0" quotePrefix="0" xfId="0">
      <alignment horizontal="left" vertical="center" indent="1"/>
    </xf>
    <xf numFmtId="0" fontId="28" fillId="2" borderId="61" applyAlignment="1" pivotButton="0" quotePrefix="0" xfId="0">
      <alignment vertical="center"/>
    </xf>
    <xf numFmtId="0" fontId="28" fillId="0" borderId="63" applyAlignment="1" pivotButton="0" quotePrefix="0" xfId="0">
      <alignment vertical="center"/>
    </xf>
    <xf numFmtId="0" fontId="28" fillId="2" borderId="63" applyAlignment="1" pivotButton="0" quotePrefix="0" xfId="0">
      <alignment horizontal="left" vertical="center" indent="1"/>
    </xf>
    <xf numFmtId="0" fontId="28" fillId="2" borderId="64" applyAlignment="1" pivotButton="0" quotePrefix="0" xfId="0">
      <alignment vertical="center"/>
    </xf>
    <xf numFmtId="165" fontId="9" fillId="0" borderId="1" applyAlignment="1" pivotButton="0" quotePrefix="0" xfId="0">
      <alignment horizontal="center" vertical="center"/>
    </xf>
    <xf numFmtId="165" fontId="9" fillId="0" borderId="11" applyAlignment="1" pivotButton="0" quotePrefix="0" xfId="0">
      <alignment horizontal="center" vertical="center"/>
    </xf>
    <xf numFmtId="165" fontId="9" fillId="0" borderId="15" applyAlignment="1" pivotButton="0" quotePrefix="0" xfId="0">
      <alignment horizontal="center" vertical="center"/>
    </xf>
    <xf numFmtId="0" fontId="11" fillId="2" borderId="16" applyAlignment="1" pivotButton="0" quotePrefix="0" xfId="0">
      <alignment horizontal="right" vertical="center"/>
    </xf>
    <xf numFmtId="0" fontId="11" fillId="2" borderId="3" applyAlignment="1" pivotButton="0" quotePrefix="0" xfId="0">
      <alignment horizontal="right" vertical="center"/>
    </xf>
    <xf numFmtId="0" fontId="11" fillId="2" borderId="12" applyAlignment="1" pivotButton="0" quotePrefix="0" xfId="0">
      <alignment horizontal="right" vertical="center"/>
    </xf>
    <xf numFmtId="0" fontId="9" fillId="0" borderId="17" applyAlignment="1" pivotButton="0" quotePrefix="0" xfId="0">
      <alignment horizontal="right" vertical="center"/>
    </xf>
    <xf numFmtId="0" fontId="9" fillId="0" borderId="0" applyAlignment="1" pivotButton="0" quotePrefix="0" xfId="0">
      <alignment horizontal="right" vertical="center"/>
    </xf>
    <xf numFmtId="0" fontId="9" fillId="0" borderId="13" applyAlignment="1" pivotButton="0" quotePrefix="0" xfId="0">
      <alignment horizontal="right" vertical="center"/>
    </xf>
    <xf numFmtId="0" fontId="9" fillId="0" borderId="18" applyAlignment="1" pivotButton="0" quotePrefix="0" xfId="0">
      <alignment horizontal="right" vertical="center"/>
    </xf>
    <xf numFmtId="0" fontId="9" fillId="0" borderId="2" applyAlignment="1" pivotButton="0" quotePrefix="0" xfId="0">
      <alignment horizontal="right" vertical="center"/>
    </xf>
    <xf numFmtId="0" fontId="9" fillId="0" borderId="14" applyAlignment="1" pivotButton="0" quotePrefix="0" xfId="0">
      <alignment horizontal="right" vertical="center"/>
    </xf>
    <xf numFmtId="0" fontId="9" fillId="0" borderId="27" applyAlignment="1" pivotButton="0" quotePrefix="0" xfId="0">
      <alignment horizontal="right" vertical="center"/>
    </xf>
    <xf numFmtId="0" fontId="9" fillId="0" borderId="28" applyAlignment="1" pivotButton="0" quotePrefix="0" xfId="0">
      <alignment horizontal="right" vertical="center"/>
    </xf>
    <xf numFmtId="0" fontId="11" fillId="2" borderId="24" applyAlignment="1" pivotButton="0" quotePrefix="0" xfId="0">
      <alignment horizontal="right" vertical="center"/>
    </xf>
    <xf numFmtId="0" fontId="11" fillId="2" borderId="25" applyAlignment="1" pivotButton="0" quotePrefix="0" xfId="0">
      <alignment horizontal="right" vertical="center"/>
    </xf>
    <xf numFmtId="0" fontId="9" fillId="0" borderId="31" applyAlignment="1" pivotButton="0" quotePrefix="0" xfId="0">
      <alignment horizontal="right" vertical="center"/>
    </xf>
    <xf numFmtId="0" fontId="9" fillId="0" borderId="30" applyAlignment="1" pivotButton="0" quotePrefix="0" xfId="0">
      <alignment horizontal="right" vertical="center"/>
    </xf>
    <xf numFmtId="0" fontId="0" fillId="0" borderId="3" pivotButton="0" quotePrefix="0" xfId="0"/>
    <xf numFmtId="0" fontId="9" fillId="0" borderId="17" applyAlignment="1" pivotButton="0" quotePrefix="0" xfId="0">
      <alignment horizontal="right" vertical="center"/>
    </xf>
    <xf numFmtId="0" fontId="13" fillId="0" borderId="0" applyAlignment="1" pivotButton="0" quotePrefix="0" xfId="0">
      <alignment vertical="center"/>
    </xf>
    <xf numFmtId="0" fontId="9" fillId="0" borderId="18" applyAlignment="1" pivotButton="0" quotePrefix="0" xfId="0">
      <alignment horizontal="right" vertical="center"/>
    </xf>
    <xf numFmtId="0" fontId="0" fillId="0" borderId="2" pivotButton="0" quotePrefix="0" xfId="0"/>
    <xf numFmtId="0" fontId="7" fillId="0" borderId="0" applyAlignment="1" pivotButton="0" quotePrefix="0" xfId="0">
      <alignment horizontal="center" vertical="center"/>
    </xf>
    <xf numFmtId="0" fontId="9" fillId="2" borderId="24" applyAlignment="1" pivotButton="0" quotePrefix="0" xfId="0">
      <alignment horizontal="right" vertical="center"/>
    </xf>
    <xf numFmtId="0" fontId="9" fillId="2" borderId="25" applyAlignment="1" pivotButton="0" quotePrefix="0" xfId="0">
      <alignment horizontal="right" vertical="center"/>
    </xf>
    <xf numFmtId="0" fontId="9" fillId="2" borderId="26" applyAlignment="1" pivotButton="0" quotePrefix="0" xfId="0">
      <alignment horizontal="right" vertical="center"/>
    </xf>
    <xf numFmtId="0" fontId="9" fillId="2" borderId="16" applyAlignment="1" pivotButton="0" quotePrefix="0" xfId="0">
      <alignment horizontal="right" vertical="center"/>
    </xf>
    <xf numFmtId="0" fontId="9" fillId="2" borderId="3" applyAlignment="1" pivotButton="0" quotePrefix="0" xfId="0">
      <alignment horizontal="right" vertical="center"/>
    </xf>
    <xf numFmtId="0" fontId="9" fillId="2" borderId="12" applyAlignment="1" pivotButton="0" quotePrefix="0" xfId="0">
      <alignment horizontal="right" vertical="center"/>
    </xf>
    <xf numFmtId="0" fontId="9" fillId="0" borderId="27" applyAlignment="1" pivotButton="0" quotePrefix="0" xfId="0">
      <alignment horizontal="right" vertical="center"/>
    </xf>
    <xf numFmtId="0" fontId="9" fillId="0" borderId="28" applyAlignment="1" pivotButton="0" quotePrefix="0" xfId="0">
      <alignment horizontal="right" vertical="center"/>
    </xf>
    <xf numFmtId="0" fontId="9" fillId="0" borderId="29" applyAlignment="1" pivotButton="0" quotePrefix="0" xfId="0">
      <alignment horizontal="right" vertical="center"/>
    </xf>
    <xf numFmtId="0" fontId="9" fillId="0" borderId="0" applyAlignment="1" pivotButton="0" quotePrefix="0" xfId="0">
      <alignment horizontal="right" vertical="center"/>
    </xf>
    <xf numFmtId="0" fontId="9" fillId="0" borderId="13" applyAlignment="1" pivotButton="0" quotePrefix="0" xfId="0">
      <alignment horizontal="right" vertical="center"/>
    </xf>
    <xf numFmtId="0" fontId="9" fillId="0" borderId="30" applyAlignment="1" pivotButton="0" quotePrefix="0" xfId="0">
      <alignment horizontal="right" vertical="center"/>
    </xf>
    <xf numFmtId="0" fontId="9" fillId="0" borderId="31" applyAlignment="1" pivotButton="0" quotePrefix="0" xfId="0">
      <alignment horizontal="right" vertical="center"/>
    </xf>
    <xf numFmtId="0" fontId="9" fillId="0" borderId="32" applyAlignment="1" pivotButton="0" quotePrefix="0" xfId="0">
      <alignment horizontal="right" vertical="center"/>
    </xf>
    <xf numFmtId="0" fontId="9" fillId="0" borderId="2" applyAlignment="1" pivotButton="0" quotePrefix="0" xfId="0">
      <alignment horizontal="right" vertical="center"/>
    </xf>
    <xf numFmtId="0" fontId="9" fillId="0" borderId="14" applyAlignment="1" pivotButton="0" quotePrefix="0" xfId="0">
      <alignment horizontal="right" vertical="center"/>
    </xf>
    <xf numFmtId="0" fontId="9" fillId="0" borderId="29" applyAlignment="1" pivotButton="0" quotePrefix="0" xfId="0">
      <alignment horizontal="right" vertical="center"/>
    </xf>
    <xf numFmtId="0" fontId="9" fillId="0" borderId="32" applyAlignment="1" pivotButton="0" quotePrefix="0" xfId="0">
      <alignment horizontal="right" vertical="center"/>
    </xf>
    <xf numFmtId="0" fontId="10" fillId="2" borderId="34" applyAlignment="1" pivotButton="0" quotePrefix="0" xfId="0">
      <alignment horizontal="right" vertical="center"/>
    </xf>
    <xf numFmtId="0" fontId="10" fillId="2" borderId="33" applyAlignment="1" pivotButton="0" quotePrefix="0" xfId="0">
      <alignment horizontal="right" vertical="center"/>
    </xf>
    <xf numFmtId="0" fontId="10" fillId="2" borderId="16" applyAlignment="1" pivotButton="0" quotePrefix="0" xfId="0">
      <alignment horizontal="right" vertical="center"/>
    </xf>
    <xf numFmtId="0" fontId="10" fillId="2" borderId="24" applyAlignment="1" pivotButton="0" quotePrefix="0" xfId="0">
      <alignment horizontal="right" vertical="center"/>
    </xf>
    <xf numFmtId="0" fontId="10" fillId="2" borderId="26" applyAlignment="1" pivotButton="0" quotePrefix="0" xfId="0">
      <alignment horizontal="right" vertical="center"/>
    </xf>
    <xf numFmtId="0" fontId="10" fillId="2" borderId="3" applyAlignment="1" pivotButton="0" quotePrefix="0" xfId="0">
      <alignment horizontal="right" vertical="center"/>
    </xf>
    <xf numFmtId="0" fontId="9" fillId="0" borderId="6" applyAlignment="1" pivotButton="0" quotePrefix="0" xfId="0">
      <alignment horizontal="right" vertical="center"/>
    </xf>
    <xf numFmtId="167" fontId="10" fillId="2" borderId="34" applyAlignment="1" pivotButton="0" quotePrefix="0" xfId="0">
      <alignment horizontal="right" vertical="center"/>
    </xf>
    <xf numFmtId="0" fontId="0" fillId="0" borderId="12" pivotButton="0" quotePrefix="0" xfId="0"/>
    <xf numFmtId="167" fontId="10" fillId="2" borderId="33" applyAlignment="1" pivotButton="0" quotePrefix="0" xfId="0">
      <alignment horizontal="right" vertical="center"/>
    </xf>
    <xf numFmtId="0" fontId="9" fillId="0" borderId="10" applyAlignment="1" pivotButton="0" quotePrefix="0" xfId="0">
      <alignment horizontal="right" vertical="center"/>
    </xf>
    <xf numFmtId="167" fontId="10" fillId="2" borderId="26" applyAlignment="1" pivotButton="0" quotePrefix="0" xfId="0">
      <alignment horizontal="right" vertical="center"/>
    </xf>
    <xf numFmtId="167" fontId="10" fillId="2" borderId="3" applyAlignment="1" pivotButton="0" quotePrefix="0" xfId="0">
      <alignment horizontal="right" vertical="center"/>
    </xf>
    <xf numFmtId="167" fontId="10" fillId="2" borderId="7" applyAlignment="1" pivotButton="0" quotePrefix="0" xfId="0">
      <alignment horizontal="right" vertical="center"/>
    </xf>
    <xf numFmtId="168" fontId="10" fillId="2" borderId="26" applyAlignment="1" pivotButton="0" quotePrefix="1" xfId="0">
      <alignment horizontal="center" vertical="center"/>
    </xf>
    <xf numFmtId="168" fontId="10" fillId="2" borderId="3" applyAlignment="1" pivotButton="0" quotePrefix="0" xfId="0">
      <alignment horizontal="center" vertical="center"/>
    </xf>
    <xf numFmtId="0" fontId="9" fillId="0" borderId="26" applyAlignment="1" pivotButton="0" quotePrefix="0" xfId="0">
      <alignment horizontal="right" vertical="center"/>
    </xf>
    <xf numFmtId="0" fontId="9" fillId="0" borderId="3" applyAlignment="1" pivotButton="0" quotePrefix="0" xfId="0">
      <alignment horizontal="right" vertical="center"/>
    </xf>
    <xf numFmtId="0" fontId="9" fillId="0" borderId="7" applyAlignment="1" pivotButton="0" quotePrefix="0" xfId="0">
      <alignment horizontal="right" vertical="center"/>
    </xf>
    <xf numFmtId="0" fontId="11" fillId="5" borderId="36" applyAlignment="1" pivotButton="0" quotePrefix="0" xfId="0">
      <alignment horizontal="center" vertical="center"/>
    </xf>
    <xf numFmtId="0" fontId="11" fillId="5" borderId="37" applyAlignment="1" pivotButton="0" quotePrefix="0" xfId="0">
      <alignment horizontal="center" vertical="center"/>
    </xf>
    <xf numFmtId="0" fontId="11" fillId="5" borderId="38" applyAlignment="1" pivotButton="0" quotePrefix="0" xfId="0">
      <alignment horizontal="center" vertical="center"/>
    </xf>
    <xf numFmtId="0" fontId="9" fillId="2" borderId="36" applyAlignment="1" pivotButton="0" quotePrefix="0" xfId="0">
      <alignment horizontal="right" vertical="center"/>
    </xf>
    <xf numFmtId="0" fontId="9" fillId="6" borderId="36" applyAlignment="1" pivotButton="0" quotePrefix="0" xfId="0">
      <alignment horizontal="right" vertical="center"/>
    </xf>
    <xf numFmtId="0" fontId="13" fillId="2" borderId="36" applyAlignment="1" pivotButton="0" quotePrefix="0" xfId="0">
      <alignment horizontal="center" vertical="center"/>
    </xf>
    <xf numFmtId="0" fontId="13" fillId="2" borderId="39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9" fillId="6" borderId="40" applyAlignment="1" pivotButton="0" quotePrefix="0" xfId="0">
      <alignment horizontal="right" vertical="center"/>
    </xf>
    <xf numFmtId="0" fontId="9" fillId="0" borderId="36" applyAlignment="1" pivotButton="0" quotePrefix="0" xfId="0">
      <alignment horizontal="right" vertical="center"/>
    </xf>
    <xf numFmtId="0" fontId="9" fillId="6" borderId="44" applyAlignment="1" pivotButton="0" quotePrefix="0" xfId="0">
      <alignment horizontal="right" vertical="center"/>
    </xf>
    <xf numFmtId="0" fontId="9" fillId="0" borderId="43" applyAlignment="1" pivotButton="0" quotePrefix="0" xfId="0">
      <alignment horizontal="right" vertical="center"/>
    </xf>
    <xf numFmtId="0" fontId="9" fillId="6" borderId="43" applyAlignment="1" pivotButton="0" quotePrefix="0" xfId="0">
      <alignment horizontal="right" vertical="center"/>
    </xf>
    <xf numFmtId="0" fontId="9" fillId="0" borderId="41" applyAlignment="1" pivotButton="0" quotePrefix="0" xfId="0">
      <alignment horizontal="right" vertical="center"/>
    </xf>
    <xf numFmtId="0" fontId="9" fillId="0" borderId="42" applyAlignment="1" pivotButton="0" quotePrefix="0" xfId="0">
      <alignment horizontal="right" vertical="center"/>
    </xf>
    <xf numFmtId="0" fontId="9" fillId="0" borderId="47" applyAlignment="1" pivotButton="0" quotePrefix="0" xfId="0">
      <alignment horizontal="right" vertical="center"/>
    </xf>
    <xf numFmtId="0" fontId="9" fillId="0" borderId="39" applyAlignment="1" pivotButton="0" quotePrefix="0" xfId="0">
      <alignment horizontal="right" vertical="center"/>
    </xf>
    <xf numFmtId="0" fontId="9" fillId="0" borderId="0" applyAlignment="1" pivotButton="0" quotePrefix="0" xfId="0">
      <alignment horizontal="right" vertical="center"/>
    </xf>
    <xf numFmtId="0" fontId="9" fillId="0" borderId="49" applyAlignment="1" pivotButton="0" quotePrefix="0" xfId="0">
      <alignment horizontal="right" vertical="center"/>
    </xf>
    <xf numFmtId="0" fontId="9" fillId="0" borderId="45" applyAlignment="1" pivotButton="0" quotePrefix="0" xfId="0">
      <alignment horizontal="right" vertical="center"/>
    </xf>
    <xf numFmtId="0" fontId="9" fillId="0" borderId="46" applyAlignment="1" pivotButton="0" quotePrefix="0" xfId="0">
      <alignment horizontal="right" vertical="center"/>
    </xf>
    <xf numFmtId="0" fontId="9" fillId="0" borderId="48" applyAlignment="1" pivotButton="0" quotePrefix="0" xfId="0">
      <alignment horizontal="right" vertical="center"/>
    </xf>
    <xf numFmtId="0" fontId="9" fillId="2" borderId="40" applyAlignment="1" pivotButton="0" quotePrefix="0" xfId="0">
      <alignment horizontal="right" vertical="center"/>
    </xf>
    <xf numFmtId="0" fontId="9" fillId="0" borderId="44" applyAlignment="1" pivotButton="0" quotePrefix="0" xfId="0">
      <alignment horizontal="right" vertical="center"/>
    </xf>
    <xf numFmtId="0" fontId="11" fillId="5" borderId="41" applyAlignment="1" pivotButton="0" quotePrefix="0" xfId="0">
      <alignment horizontal="center" vertical="center"/>
    </xf>
    <xf numFmtId="0" fontId="11" fillId="5" borderId="42" applyAlignment="1" pivotButton="0" quotePrefix="0" xfId="0">
      <alignment horizontal="center" vertical="center"/>
    </xf>
    <xf numFmtId="0" fontId="11" fillId="5" borderId="47" applyAlignment="1" pivotButton="0" quotePrefix="0" xfId="0">
      <alignment horizontal="center" vertical="center"/>
    </xf>
    <xf numFmtId="0" fontId="11" fillId="5" borderId="45" applyAlignment="1" pivotButton="0" quotePrefix="0" xfId="0">
      <alignment horizontal="center" vertical="center"/>
    </xf>
    <xf numFmtId="0" fontId="11" fillId="5" borderId="46" applyAlignment="1" pivotButton="0" quotePrefix="0" xfId="0">
      <alignment horizontal="center" vertical="center"/>
    </xf>
    <xf numFmtId="0" fontId="11" fillId="5" borderId="48" applyAlignment="1" pivotButton="0" quotePrefix="0" xfId="0">
      <alignment horizontal="center" vertical="center"/>
    </xf>
    <xf numFmtId="0" fontId="9" fillId="0" borderId="42" applyAlignment="1" pivotButton="0" quotePrefix="0" xfId="0">
      <alignment horizontal="center" vertical="center"/>
    </xf>
    <xf numFmtId="0" fontId="9" fillId="0" borderId="47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9" fillId="0" borderId="46" applyAlignment="1" pivotButton="0" quotePrefix="0" xfId="0">
      <alignment horizontal="center" vertical="center"/>
    </xf>
    <xf numFmtId="0" fontId="9" fillId="0" borderId="48" applyAlignment="1" pivotButton="0" quotePrefix="0" xfId="0">
      <alignment horizontal="center" vertical="center"/>
    </xf>
    <xf numFmtId="0" fontId="9" fillId="2" borderId="38" applyAlignment="1" pivotButton="0" quotePrefix="0" xfId="0">
      <alignment horizontal="center" vertical="center"/>
    </xf>
    <xf numFmtId="0" fontId="9" fillId="2" borderId="35" applyAlignment="1" pivotButton="0" quotePrefix="0" xfId="0">
      <alignment horizontal="center" vertical="center"/>
    </xf>
    <xf numFmtId="0" fontId="11" fillId="5" borderId="40" applyAlignment="1" pivotButton="0" quotePrefix="0" xfId="0">
      <alignment horizontal="center" vertical="center"/>
    </xf>
    <xf numFmtId="0" fontId="11" fillId="5" borderId="44" applyAlignment="1" pivotButton="0" quotePrefix="0" xfId="0">
      <alignment horizontal="center" vertical="center"/>
    </xf>
    <xf numFmtId="0" fontId="9" fillId="0" borderId="37" applyAlignment="1" pivotButton="0" quotePrefix="0" xfId="0">
      <alignment horizontal="right" vertical="center"/>
    </xf>
    <xf numFmtId="0" fontId="9" fillId="0" borderId="38" applyAlignment="1" pivotButton="0" quotePrefix="0" xfId="0">
      <alignment horizontal="right" vertical="center"/>
    </xf>
    <xf numFmtId="0" fontId="9" fillId="0" borderId="35" applyAlignment="1" pivotButton="0" quotePrefix="0" xfId="0">
      <alignment horizontal="right" vertical="center"/>
    </xf>
    <xf numFmtId="0" fontId="9" fillId="0" borderId="45" applyAlignment="1" pivotButton="0" quotePrefix="0" xfId="0">
      <alignment horizontal="right" vertical="center"/>
    </xf>
    <xf numFmtId="0" fontId="9" fillId="0" borderId="46" applyAlignment="1" pivotButton="0" quotePrefix="0" xfId="0">
      <alignment horizontal="right" vertical="center"/>
    </xf>
    <xf numFmtId="0" fontId="9" fillId="0" borderId="48" applyAlignment="1" pivotButton="0" quotePrefix="0" xfId="0">
      <alignment horizontal="right" vertical="center"/>
    </xf>
    <xf numFmtId="0" fontId="9" fillId="6" borderId="45" applyAlignment="1" pivotButton="0" quotePrefix="0" xfId="0">
      <alignment horizontal="right" vertical="center"/>
    </xf>
    <xf numFmtId="0" fontId="9" fillId="6" borderId="46" applyAlignment="1" pivotButton="0" quotePrefix="0" xfId="0">
      <alignment horizontal="right" vertical="center"/>
    </xf>
    <xf numFmtId="0" fontId="9" fillId="6" borderId="48" applyAlignment="1" pivotButton="0" quotePrefix="0" xfId="0">
      <alignment horizontal="right" vertical="center"/>
    </xf>
    <xf numFmtId="0" fontId="9" fillId="0" borderId="41" applyAlignment="1" pivotButton="0" quotePrefix="0" xfId="0">
      <alignment horizontal="left" vertical="center"/>
    </xf>
    <xf numFmtId="0" fontId="9" fillId="0" borderId="42" applyAlignment="1" pivotButton="0" quotePrefix="0" xfId="0">
      <alignment horizontal="left" vertical="center"/>
    </xf>
    <xf numFmtId="0" fontId="9" fillId="0" borderId="47" applyAlignment="1" pivotButton="0" quotePrefix="0" xfId="0">
      <alignment horizontal="left" vertical="center"/>
    </xf>
    <xf numFmtId="0" fontId="9" fillId="0" borderId="39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9" fillId="0" borderId="49" applyAlignment="1" pivotButton="0" quotePrefix="0" xfId="0">
      <alignment horizontal="left" vertical="center"/>
    </xf>
    <xf numFmtId="0" fontId="9" fillId="0" borderId="45" applyAlignment="1" pivotButton="0" quotePrefix="0" xfId="0">
      <alignment horizontal="left" vertical="center"/>
    </xf>
    <xf numFmtId="0" fontId="9" fillId="0" borderId="46" applyAlignment="1" pivotButton="0" quotePrefix="0" xfId="0">
      <alignment horizontal="left" vertical="center"/>
    </xf>
    <xf numFmtId="0" fontId="9" fillId="0" borderId="48" applyAlignment="1" pivotButton="0" quotePrefix="0" xfId="0">
      <alignment horizontal="left" vertical="center"/>
    </xf>
    <xf numFmtId="0" fontId="9" fillId="6" borderId="41" applyAlignment="1" pivotButton="0" quotePrefix="0" xfId="0">
      <alignment horizontal="right" vertical="center"/>
    </xf>
    <xf numFmtId="0" fontId="9" fillId="6" borderId="42" applyAlignment="1" pivotButton="0" quotePrefix="0" xfId="0">
      <alignment horizontal="right" vertical="center"/>
    </xf>
    <xf numFmtId="0" fontId="9" fillId="6" borderId="47" applyAlignment="1" pivotButton="0" quotePrefix="0" xfId="0">
      <alignment horizontal="right" vertical="center"/>
    </xf>
    <xf numFmtId="0" fontId="9" fillId="0" borderId="41" applyAlignment="1" pivotButton="0" quotePrefix="0" xfId="0">
      <alignment horizontal="right" vertical="center"/>
    </xf>
    <xf numFmtId="0" fontId="9" fillId="0" borderId="42" applyAlignment="1" pivotButton="0" quotePrefix="0" xfId="0">
      <alignment horizontal="right" vertical="center"/>
    </xf>
    <xf numFmtId="0" fontId="9" fillId="0" borderId="47" applyAlignment="1" pivotButton="0" quotePrefix="0" xfId="0">
      <alignment horizontal="right" vertical="center"/>
    </xf>
    <xf numFmtId="0" fontId="9" fillId="6" borderId="37" applyAlignment="1" pivotButton="0" quotePrefix="0" xfId="0">
      <alignment horizontal="right" vertical="center"/>
    </xf>
    <xf numFmtId="0" fontId="9" fillId="6" borderId="38" applyAlignment="1" pivotButton="0" quotePrefix="0" xfId="0">
      <alignment horizontal="right" vertical="center"/>
    </xf>
    <xf numFmtId="0" fontId="9" fillId="6" borderId="35" applyAlignment="1" pivotButton="0" quotePrefix="0" xfId="0">
      <alignment horizontal="right" vertical="center"/>
    </xf>
    <xf numFmtId="0" fontId="9" fillId="6" borderId="66" applyAlignment="1" pivotButton="0" quotePrefix="0" xfId="0">
      <alignment horizontal="right" vertical="center"/>
    </xf>
    <xf numFmtId="0" fontId="9" fillId="6" borderId="67" applyAlignment="1" pivotButton="0" quotePrefix="0" xfId="0">
      <alignment horizontal="right" vertical="center"/>
    </xf>
    <xf numFmtId="0" fontId="9" fillId="6" borderId="68" applyAlignment="1" pivotButton="0" quotePrefix="0" xfId="0">
      <alignment horizontal="right" vertical="center"/>
    </xf>
    <xf numFmtId="0" fontId="9" fillId="2" borderId="37" applyAlignment="1" pivotButton="0" quotePrefix="0" xfId="0">
      <alignment horizontal="right" vertical="center"/>
    </xf>
    <xf numFmtId="0" fontId="9" fillId="2" borderId="38" applyAlignment="1" pivotButton="0" quotePrefix="0" xfId="0">
      <alignment horizontal="right" vertical="center"/>
    </xf>
    <xf numFmtId="0" fontId="9" fillId="2" borderId="35" applyAlignment="1" pivotButton="0" quotePrefix="0" xfId="0">
      <alignment horizontal="right" vertical="center"/>
    </xf>
    <xf numFmtId="0" fontId="9" fillId="0" borderId="39" applyAlignment="1" pivotButton="0" quotePrefix="0" xfId="0">
      <alignment horizontal="right" vertical="center"/>
    </xf>
    <xf numFmtId="0" fontId="9" fillId="0" borderId="49" applyAlignment="1" pivotButton="0" quotePrefix="0" xfId="0">
      <alignment horizontal="right" vertical="center"/>
    </xf>
    <xf numFmtId="0" fontId="9" fillId="6" borderId="39" applyAlignment="1" pivotButton="0" quotePrefix="0" xfId="0">
      <alignment horizontal="right" vertical="center"/>
    </xf>
    <xf numFmtId="0" fontId="9" fillId="6" borderId="0" applyAlignment="1" pivotButton="0" quotePrefix="0" xfId="0">
      <alignment horizontal="right" vertical="center"/>
    </xf>
    <xf numFmtId="0" fontId="9" fillId="6" borderId="49" applyAlignment="1" pivotButton="0" quotePrefix="0" xfId="0">
      <alignment horizontal="right" vertical="center"/>
    </xf>
    <xf numFmtId="0" fontId="11" fillId="5" borderId="35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10" fillId="0" borderId="62" applyAlignment="1" pivotButton="0" quotePrefix="0" xfId="0">
      <alignment horizontal="center" vertical="center" wrapText="1"/>
    </xf>
    <xf numFmtId="0" fontId="28" fillId="0" borderId="54" applyAlignment="1" pivotButton="0" quotePrefix="1" xfId="0">
      <alignment horizontal="left" vertical="center" wrapText="1" indent="1"/>
    </xf>
    <xf numFmtId="0" fontId="28" fillId="0" borderId="0" applyAlignment="1" pivotButton="0" quotePrefix="1" xfId="0">
      <alignment horizontal="left" vertical="center" wrapText="1" indent="1"/>
    </xf>
    <xf numFmtId="0" fontId="10" fillId="0" borderId="60" applyAlignment="1" pivotButton="0" quotePrefix="0" xfId="0">
      <alignment horizontal="left" vertical="center" wrapText="1" indent="1"/>
    </xf>
    <xf numFmtId="0" fontId="10" fillId="0" borderId="65" applyAlignment="1" pivotButton="0" quotePrefix="0" xfId="0">
      <alignment horizontal="left" vertical="center" wrapText="1" indent="1"/>
    </xf>
    <xf numFmtId="0" fontId="28" fillId="2" borderId="52" applyAlignment="1" pivotButton="0" quotePrefix="0" xfId="0">
      <alignment horizontal="left" vertical="center" wrapText="1" indent="1"/>
    </xf>
    <xf numFmtId="0" fontId="28" fillId="2" borderId="59" applyAlignment="1" pivotButton="0" quotePrefix="0" xfId="0">
      <alignment horizontal="left" vertical="center" wrapText="1" indent="1"/>
    </xf>
    <xf numFmtId="0" fontId="28" fillId="2" borderId="54" applyAlignment="1" pivotButton="0" quotePrefix="0" xfId="0">
      <alignment horizontal="left" vertical="center" wrapText="1" indent="1"/>
    </xf>
    <xf numFmtId="0" fontId="28" fillId="2" borderId="0" applyAlignment="1" pivotButton="0" quotePrefix="0" xfId="0">
      <alignment horizontal="left" vertical="center" wrapText="1" indent="1"/>
    </xf>
    <xf numFmtId="0" fontId="27" fillId="3" borderId="0" applyAlignment="1" pivotButton="0" quotePrefix="0" xfId="0">
      <alignment horizontal="center" vertical="center"/>
    </xf>
    <xf numFmtId="0" fontId="0" fillId="0" borderId="0" pivotButton="0" quotePrefix="0" xfId="0"/>
    <xf numFmtId="3" fontId="9" fillId="0" borderId="73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73" pivotButton="0" quotePrefix="0" xfId="0"/>
    <xf numFmtId="3" fontId="9" fillId="0" borderId="74" applyAlignment="1" pivotButton="0" quotePrefix="0" xfId="0">
      <alignment horizontal="center" vertical="center"/>
    </xf>
    <xf numFmtId="169" fontId="9" fillId="0" borderId="74" applyAlignment="1" pivotButton="0" quotePrefix="0" xfId="0">
      <alignment horizontal="center" vertical="center"/>
    </xf>
    <xf numFmtId="169" fontId="9" fillId="0" borderId="15" applyAlignment="1" pivotButton="0" quotePrefix="0" xfId="0">
      <alignment horizontal="center" vertical="center"/>
    </xf>
    <xf numFmtId="169" fontId="11" fillId="2" borderId="34" applyAlignment="1" pivotButton="0" quotePrefix="0" xfId="0">
      <alignment horizontal="right" vertical="center"/>
    </xf>
    <xf numFmtId="0" fontId="0" fillId="0" borderId="71" pivotButton="0" quotePrefix="0" xfId="0"/>
    <xf numFmtId="0" fontId="11" fillId="2" borderId="34" applyAlignment="1" pivotButton="0" quotePrefix="0" xfId="0">
      <alignment horizontal="right" vertical="center"/>
    </xf>
    <xf numFmtId="0" fontId="0" fillId="0" borderId="72" pivotButton="0" quotePrefix="0" xfId="0"/>
    <xf numFmtId="169" fontId="11" fillId="2" borderId="25" applyAlignment="1" pivotButton="0" quotePrefix="0" xfId="0">
      <alignment horizontal="right" vertical="center"/>
    </xf>
    <xf numFmtId="169" fontId="11" fillId="2" borderId="16" applyAlignment="1" pivotButton="0" quotePrefix="0" xfId="0">
      <alignment horizontal="right" vertical="center"/>
    </xf>
    <xf numFmtId="169" fontId="9" fillId="0" borderId="70" applyAlignment="1" pivotButton="0" quotePrefix="0" xfId="0">
      <alignment horizontal="right" vertical="center"/>
    </xf>
    <xf numFmtId="0" fontId="0" fillId="0" borderId="13" pivotButton="0" quotePrefix="0" xfId="0"/>
    <xf numFmtId="0" fontId="9" fillId="0" borderId="70" applyAlignment="1" pivotButton="0" quotePrefix="0" xfId="0">
      <alignment horizontal="right" vertical="center"/>
    </xf>
    <xf numFmtId="0" fontId="0" fillId="0" borderId="6" pivotButton="0" quotePrefix="0" xfId="0"/>
    <xf numFmtId="169" fontId="9" fillId="0" borderId="28" applyAlignment="1" pivotButton="0" quotePrefix="0" xfId="0">
      <alignment horizontal="right" vertical="center"/>
    </xf>
    <xf numFmtId="169" fontId="9" fillId="0" borderId="17" applyAlignment="1" pivotButton="0" quotePrefix="0" xfId="0">
      <alignment horizontal="right" vertical="center"/>
    </xf>
    <xf numFmtId="169" fontId="9" fillId="0" borderId="69" applyAlignment="1" pivotButton="0" quotePrefix="0" xfId="0">
      <alignment horizontal="right" vertical="center"/>
    </xf>
    <xf numFmtId="0" fontId="0" fillId="0" borderId="14" pivotButton="0" quotePrefix="0" xfId="0"/>
    <xf numFmtId="0" fontId="9" fillId="0" borderId="69" applyAlignment="1" pivotButton="0" quotePrefix="0" xfId="0">
      <alignment horizontal="right" vertical="center"/>
    </xf>
    <xf numFmtId="0" fontId="0" fillId="0" borderId="10" pivotButton="0" quotePrefix="0" xfId="0"/>
    <xf numFmtId="169" fontId="9" fillId="0" borderId="31" applyAlignment="1" pivotButton="0" quotePrefix="0" xfId="0">
      <alignment horizontal="right" vertical="center"/>
    </xf>
    <xf numFmtId="169" fontId="9" fillId="0" borderId="18" applyAlignment="1" pivotButton="0" quotePrefix="0" xfId="0">
      <alignment horizontal="right" vertical="center"/>
    </xf>
    <xf numFmtId="3" fontId="11" fillId="2" borderId="16" applyAlignment="1" pivotButton="0" quotePrefix="0" xfId="0">
      <alignment horizontal="right" vertical="center"/>
    </xf>
    <xf numFmtId="3" fontId="9" fillId="0" borderId="17" applyAlignment="1" pivotButton="0" quotePrefix="0" xfId="0">
      <alignment horizontal="right" vertical="center"/>
    </xf>
    <xf numFmtId="3" fontId="9" fillId="0" borderId="18" applyAlignment="1" pivotButton="0" quotePrefix="0" xfId="0">
      <alignment horizontal="right" vertical="center"/>
    </xf>
    <xf numFmtId="169" fontId="13" fillId="0" borderId="0" applyAlignment="1" pivotButton="0" quotePrefix="0" xfId="0">
      <alignment vertical="center"/>
    </xf>
    <xf numFmtId="164" fontId="13" fillId="0" borderId="0" applyAlignment="1" pivotButton="0" quotePrefix="0" xfId="0">
      <alignment vertical="center"/>
    </xf>
    <xf numFmtId="169" fontId="7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69" fontId="9" fillId="2" borderId="34" applyAlignment="1" pivotButton="0" quotePrefix="0" xfId="0">
      <alignment horizontal="right" vertical="center"/>
    </xf>
    <xf numFmtId="0" fontId="9" fillId="2" borderId="34" applyAlignment="1" pivotButton="0" quotePrefix="0" xfId="0">
      <alignment horizontal="right" vertical="center"/>
    </xf>
    <xf numFmtId="169" fontId="9" fillId="2" borderId="25" applyAlignment="1" pivotButton="0" quotePrefix="0" xfId="0">
      <alignment horizontal="right" vertical="center"/>
    </xf>
    <xf numFmtId="169" fontId="9" fillId="2" borderId="26" applyAlignment="1" pivotButton="0" quotePrefix="0" xfId="0">
      <alignment horizontal="right" vertical="center"/>
    </xf>
    <xf numFmtId="169" fontId="9" fillId="0" borderId="29" applyAlignment="1" pivotButton="0" quotePrefix="0" xfId="0">
      <alignment horizontal="right" vertical="center"/>
    </xf>
    <xf numFmtId="169" fontId="9" fillId="0" borderId="32" applyAlignment="1" pivotButton="0" quotePrefix="0" xfId="0">
      <alignment horizontal="right" vertical="center"/>
    </xf>
    <xf numFmtId="169" fontId="10" fillId="2" borderId="33" applyAlignment="1" pivotButton="0" quotePrefix="0" xfId="0">
      <alignment horizontal="right" vertical="center"/>
    </xf>
    <xf numFmtId="169" fontId="10" fillId="2" borderId="34" applyAlignment="1" pivotButton="0" quotePrefix="0" xfId="0">
      <alignment horizontal="right" vertical="center"/>
    </xf>
    <xf numFmtId="169" fontId="10" fillId="2" borderId="26" applyAlignment="1" pivotButton="0" quotePrefix="0" xfId="0">
      <alignment horizontal="right" vertical="center"/>
    </xf>
    <xf numFmtId="169" fontId="9" fillId="0" borderId="75" applyAlignment="1" pivotButton="0" quotePrefix="0" xfId="0">
      <alignment horizontal="right" vertical="center"/>
    </xf>
    <xf numFmtId="169" fontId="9" fillId="0" borderId="76" applyAlignment="1" pivotButton="0" quotePrefix="0" xfId="0">
      <alignment horizontal="right" vertical="center"/>
    </xf>
    <xf numFmtId="167" fontId="10" fillId="2" borderId="33" applyAlignment="1" pivotButton="0" quotePrefix="0" xfId="0">
      <alignment horizontal="right" vertical="center"/>
    </xf>
    <xf numFmtId="167" fontId="10" fillId="2" borderId="34" applyAlignment="1" pivotButton="0" quotePrefix="0" xfId="0">
      <alignment horizontal="right" vertical="center"/>
    </xf>
    <xf numFmtId="167" fontId="10" fillId="2" borderId="25" applyAlignment="1" pivotButton="0" quotePrefix="0" xfId="0">
      <alignment horizontal="right" vertical="center"/>
    </xf>
    <xf numFmtId="168" fontId="10" fillId="2" borderId="26" applyAlignment="1" pivotButton="0" quotePrefix="1" xfId="0">
      <alignment horizontal="center" vertical="center"/>
    </xf>
    <xf numFmtId="0" fontId="9" fillId="0" borderId="76" applyAlignment="1" pivotButton="0" quotePrefix="0" xfId="0">
      <alignment horizontal="right" vertical="center"/>
    </xf>
    <xf numFmtId="169" fontId="9" fillId="0" borderId="25" applyAlignment="1" pivotButton="0" quotePrefix="0" xfId="0">
      <alignment horizontal="right" vertical="center"/>
    </xf>
    <xf numFmtId="169" fontId="9" fillId="0" borderId="26" applyAlignment="1" pivotButton="0" quotePrefix="0" xfId="0">
      <alignment horizontal="right" vertical="center"/>
    </xf>
    <xf numFmtId="0" fontId="0" fillId="0" borderId="42" pivotButton="0" quotePrefix="0" xfId="0"/>
    <xf numFmtId="0" fontId="0" fillId="0" borderId="47" pivotButton="0" quotePrefix="0" xfId="0"/>
    <xf numFmtId="0" fontId="0" fillId="0" borderId="38" pivotButton="0" quotePrefix="0" xfId="0"/>
    <xf numFmtId="0" fontId="0" fillId="0" borderId="35" pivotButton="0" quotePrefix="0" xfId="0"/>
    <xf numFmtId="0" fontId="0" fillId="0" borderId="46" pivotButton="0" quotePrefix="0" xfId="0"/>
    <xf numFmtId="0" fontId="0" fillId="0" borderId="48" pivotButton="0" quotePrefix="0" xfId="0"/>
    <xf numFmtId="0" fontId="0" fillId="0" borderId="45" pivotButton="0" quotePrefix="0" xfId="0"/>
    <xf numFmtId="3" fontId="9" fillId="2" borderId="36" applyAlignment="1" pivotButton="0" quotePrefix="0" xfId="0">
      <alignment horizontal="right" vertical="center"/>
    </xf>
    <xf numFmtId="3" fontId="13" fillId="0" borderId="0" applyAlignment="1" pivotButton="0" quotePrefix="0" xfId="0">
      <alignment vertical="center"/>
    </xf>
    <xf numFmtId="0" fontId="9" fillId="0" borderId="35" applyAlignment="1" pivotButton="0" quotePrefix="0" xfId="0">
      <alignment horizontal="center" vertical="center"/>
    </xf>
    <xf numFmtId="3" fontId="9" fillId="2" borderId="40" applyAlignment="1" pivotButton="0" quotePrefix="0" xfId="0">
      <alignment horizontal="right" vertical="center"/>
    </xf>
    <xf numFmtId="169" fontId="9" fillId="0" borderId="36" applyAlignment="1" pivotButton="0" quotePrefix="0" xfId="0">
      <alignment horizontal="right" vertical="center"/>
    </xf>
    <xf numFmtId="169" fontId="9" fillId="0" borderId="41" applyAlignment="1" pivotButton="0" quotePrefix="0" xfId="0">
      <alignment horizontal="right" vertical="center"/>
    </xf>
    <xf numFmtId="0" fontId="0" fillId="0" borderId="49" pivotButton="0" quotePrefix="0" xfId="0"/>
    <xf numFmtId="3" fontId="9" fillId="0" borderId="43" applyAlignment="1" pivotButton="0" quotePrefix="0" xfId="0">
      <alignment horizontal="right" vertical="center"/>
    </xf>
    <xf numFmtId="0" fontId="0" fillId="0" borderId="39" pivotButton="0" quotePrefix="0" xfId="0"/>
    <xf numFmtId="3" fontId="9" fillId="0" borderId="44" applyAlignment="1" pivotButton="0" quotePrefix="0" xfId="0">
      <alignment horizontal="right" vertical="center"/>
    </xf>
    <xf numFmtId="169" fontId="9" fillId="0" borderId="37" applyAlignment="1" pivotButton="0" quotePrefix="0" xfId="0">
      <alignment horizontal="right" vertical="center"/>
    </xf>
    <xf numFmtId="165" fontId="13" fillId="0" borderId="0" applyAlignment="1" pivotButton="0" quotePrefix="0" xfId="0">
      <alignment vertical="center"/>
    </xf>
    <xf numFmtId="169" fontId="9" fillId="2" borderId="36" applyAlignment="1" pivotButton="0" quotePrefix="0" xfId="0">
      <alignment horizontal="right" vertical="center"/>
    </xf>
    <xf numFmtId="169" fontId="9" fillId="2" borderId="37" applyAlignment="1" pivotButton="0" quotePrefix="0" xfId="0">
      <alignment horizontal="right" vertical="center"/>
    </xf>
    <xf numFmtId="0" fontId="9" fillId="0" borderId="36" applyAlignment="1" pivotButton="0" quotePrefix="0" xfId="0">
      <alignment horizontal="left" vertical="center"/>
    </xf>
    <xf numFmtId="0" fontId="9" fillId="0" borderId="40" applyAlignment="1" pivotButton="0" quotePrefix="0" xfId="0">
      <alignment horizontal="right" vertical="center"/>
    </xf>
    <xf numFmtId="0" fontId="0" fillId="0" borderId="78" pivotButton="0" quotePrefix="0" xfId="0"/>
    <xf numFmtId="166" fontId="13" fillId="0" borderId="0" applyAlignment="1" pivotButton="0" quotePrefix="0" xfId="0">
      <alignment vertical="center"/>
    </xf>
    <xf numFmtId="0" fontId="0" fillId="0" borderId="59" pivotButton="0" quotePrefix="0" xfId="0"/>
    <xf numFmtId="0" fontId="0" fillId="0" borderId="60" pivotButton="0" quotePrefix="0" xfId="0"/>
    <xf numFmtId="0" fontId="0" fillId="0" borderId="62" pivotButton="0" quotePrefix="0" xfId="0"/>
    <xf numFmtId="0" fontId="0" fillId="0" borderId="65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bg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dLbl>
              <idx val="2"/>
              <numFmt formatCode="#,##0.0_);[Red]\(#,##0.0\)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800" b="0" i="0" strike="noStrike" kern="1200" baseline="0">
                      <a:solidFill>
                        <a:schemeClr val="bg1"/>
                      </a:solidFill>
                      <a:latin typeface="KB금융 본문체 Light" panose="020B0303000000000000" pitchFamily="50" charset="-127"/>
                      <a:ea typeface="KB금융 본문체 Light" panose="020B0303000000000000" pitchFamily="50" charset="-127"/>
                      <a:cs typeface="+mn-cs"/>
                    </a:defRPr>
                  </a:pPr>
                  <a:r>
                    <a:t/>
                  </a:r>
                  <a:endParaRPr lang="ko-KR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'2.종합 NPS 현황'!$BH$9:$BJ$9</f>
              <strCache>
                <ptCount val="3"/>
                <pt idx="0">
                  <v>추천</v>
                </pt>
                <pt idx="1">
                  <v>중립</v>
                </pt>
                <pt idx="2">
                  <v>비추천</v>
                </pt>
              </strCache>
            </strRef>
          </cat>
          <val>
            <numRef>
              <f>'2.종합 NPS 현황'!$BH$22:$BJ$22</f>
              <numCache>
                <formatCode>#,##0.0;[Red]\-#,##0.0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  <showLeaderLines val="1"/>
        </dLbls>
        <firstSliceAng val="0"/>
        <holeSize val="66"/>
      </doughnutChart>
    </plotArea>
    <legend>
      <legendPos val="b"/>
      <layout>
        <manualLayout>
          <xMode val="edge"/>
          <yMode val="edge"/>
          <wMode val="factor"/>
          <hMode val="factor"/>
          <x val="0.2195341207349081"/>
          <y val="0.7887851781841878"/>
          <w val="0.5609317585301837"/>
          <h val="0.0955522004737816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rtl="0"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r>
            <a:t/>
          </a:r>
          <a:endParaRPr lang="ko-KR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2741433021806854"/>
          <y val="0.08509691096305269"/>
          <w val="0.9319626168224299"/>
          <h val="0.7156082172420755"/>
        </manualLayout>
      </layout>
      <barChart>
        <barDir val="col"/>
        <grouping val="clustered"/>
        <varyColors val="0"/>
        <ser>
          <idx val="0"/>
          <order val="0"/>
          <tx>
            <strRef>
              <f>'2.종합 NPS 현황'!$BK$9</f>
              <strCache>
                <ptCount val="1"/>
                <pt idx="0">
                  <v>NPS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5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6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7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8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9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0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1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'2.종합 NPS 현황'!$BG$10:$BG$21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'2.종합 NPS 현황'!$BK$10:$BK$21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0"/>
        <axId val="1008662040"/>
        <axId val="1008660072"/>
      </barChart>
      <lineChart>
        <grouping val="standard"/>
        <varyColors val="0"/>
        <ser>
          <idx val="1"/>
          <order val="1"/>
          <tx>
            <strRef>
              <f>'2.종합 NPS 현황'!$BL$9</f>
              <strCache>
                <ptCount val="1"/>
                <pt idx="0">
                  <v>누적NPS</v>
                </pt>
              </strCache>
            </strRef>
          </tx>
          <spPr>
            <a:ln xmlns:a="http://schemas.openxmlformats.org/drawingml/2006/main" w="19050" cap="rnd">
              <a:solidFill>
                <a:srgbClr val="FF0000"/>
              </a:solidFill>
              <a:prstDash val="sysDot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'2.종합 NPS 현황'!$BG$10:$BG$21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'2.종합 NPS 현황'!$BL$10:$BL$21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08662040"/>
        <axId val="1008660072"/>
      </lineChart>
      <catAx>
        <axId val="10086620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08660072"/>
        <crosses val="autoZero"/>
        <auto val="1"/>
        <lblAlgn val="ctr"/>
        <lblOffset val="100"/>
        <noMultiLvlLbl val="0"/>
      </catAx>
      <valAx>
        <axId val="1008660072"/>
        <scaling>
          <orientation val="minMax"/>
        </scaling>
        <delete val="0"/>
        <axPos val="l"/>
        <numFmt formatCode="#,##0.0;[Red]\-#,##0.0" sourceLinked="1"/>
        <majorTickMark val="none"/>
        <minorTickMark val="none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08662040"/>
        <crosses val="autoZero"/>
        <crossBetween val="between"/>
      </valAx>
    </plotArea>
    <legend>
      <legendPos val="tr"/>
      <layout>
        <manualLayout>
          <xMode val="edge"/>
          <yMode val="edge"/>
          <wMode val="factor"/>
          <hMode val="factor"/>
          <x val="0.5680996884735201"/>
          <y val="0.03846153846153846"/>
          <w val="0.4169470404984424"/>
          <h val="0.117148193014334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r>
            <a:t/>
          </a:r>
          <a:endParaRPr lang="ko-KR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/>
      <barChart>
        <barDir val="col"/>
        <grouping val="percentStacked"/>
        <varyColors val="0"/>
        <ser>
          <idx val="0"/>
          <order val="0"/>
          <tx>
            <strRef>
              <f>'2.종합 NPS 현황'!$BH$9</f>
              <strCache>
                <ptCount val="1"/>
                <pt idx="0">
                  <v>추천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'2.종합 NPS 현황'!$BG$10:$BG$21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'2.종합 NPS 현황'!$BH$10:$BH$21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strRef>
              <f>'2.종합 NPS 현황'!$BI$9</f>
              <strCache>
                <ptCount val="1"/>
                <pt idx="0">
                  <v>중립</v>
                </pt>
              </strCache>
            </strRef>
          </tx>
          <spPr>
            <a:solidFill xmlns:a="http://schemas.openxmlformats.org/drawingml/2006/main">
              <a:schemeClr val="bg2"/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'2.종합 NPS 현황'!$BG$10:$BG$21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'2.종합 NPS 현황'!$BI$10:$BI$21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2"/>
          <order val="2"/>
          <tx>
            <strRef>
              <f>'2.종합 NPS 현황'!$BJ$9</f>
              <strCache>
                <ptCount val="1"/>
                <pt idx="0">
                  <v>비추천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bg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'2.종합 NPS 현황'!$BG$10:$BG$21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'2.종합 NPS 현황'!$BJ$10:$BJ$21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gapWidth val="80"/>
        <overlap val="100"/>
        <serLines>
          <spPr>
            <a:ln xmlns:a="http://schemas.openxmlformats.org/drawingml/2006/main" w="9525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</a:ln>
          </spPr>
        </serLines>
        <axId val="1014889400"/>
        <axId val="1014889728"/>
      </barChart>
      <catAx>
        <axId val="101488940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14889728"/>
        <crosses val="autoZero"/>
        <auto val="1"/>
        <lblAlgn val="ctr"/>
        <lblOffset val="100"/>
        <noMultiLvlLbl val="0"/>
      </catAx>
      <valAx>
        <axId val="1014889728"/>
        <scaling>
          <orientation val="minMax"/>
        </scaling>
        <delete val="0"/>
        <axPos val="l"/>
        <numFmt formatCode="0%" sourceLinked="1"/>
        <majorTickMark val="none"/>
        <minorTickMark val="none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14889400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7544803149606299"/>
          <y val="0.02777777777777778"/>
          <w val="0.1714271927708201"/>
          <h val="0.082756713103169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r>
            <a:t/>
          </a:r>
          <a:endParaRPr lang="ko-KR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bg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dLbl>
              <idx val="2"/>
              <numFmt formatCode="#,##0.0_);[Red]\(#,##0.0\)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800" b="0" i="0" strike="noStrike" kern="1200" baseline="0">
                      <a:solidFill>
                        <a:schemeClr val="bg1"/>
                      </a:solidFill>
                      <a:latin typeface="KB금융 본문체 Light" panose="020B0303000000000000" pitchFamily="50" charset="-127"/>
                      <a:ea typeface="KB금융 본문체 Light" panose="020B0303000000000000" pitchFamily="50" charset="-127"/>
                      <a:cs typeface="+mn-cs"/>
                    </a:defRPr>
                  </a:pPr>
                  <a:r>
                    <a:t/>
                  </a:r>
                  <a:endParaRPr lang="ko-KR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'3.스타뱅킹 NPS 현황'!$BH$7:$BJ$7</f>
              <strCache>
                <ptCount val="3"/>
                <pt idx="0">
                  <v>추천</v>
                </pt>
                <pt idx="1">
                  <v>중립</v>
                </pt>
                <pt idx="2">
                  <v>비추천</v>
                </pt>
              </strCache>
            </strRef>
          </cat>
          <val>
            <numRef>
              <f>'3.스타뱅킹 NPS 현황'!$BH$20:$BJ$20</f>
              <numCache>
                <formatCode>#,##0.0;[Red]\-#,##0.0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  <showLeaderLines val="1"/>
        </dLbls>
        <firstSliceAng val="0"/>
        <holeSize val="66"/>
      </doughnutChart>
    </plotArea>
    <legend>
      <legendPos val="b"/>
      <layout>
        <manualLayout>
          <xMode val="edge"/>
          <yMode val="edge"/>
          <wMode val="factor"/>
          <hMode val="factor"/>
          <x val="0.2195341207349081"/>
          <y val="0.7887851781841878"/>
          <w val="0.5609317585301837"/>
          <h val="0.0955522004737816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rtl="0"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r>
            <a:t/>
          </a:r>
          <a:endParaRPr lang="ko-KR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2741433021806854"/>
          <y val="0.08509691096305269"/>
          <w val="0.9319626168224299"/>
          <h val="0.7156082172420755"/>
        </manualLayout>
      </layout>
      <barChart>
        <barDir val="col"/>
        <grouping val="clustered"/>
        <varyColors val="0"/>
        <ser>
          <idx val="0"/>
          <order val="0"/>
          <tx>
            <strRef>
              <f>'3.스타뱅킹 NPS 현황'!$BK$7</f>
              <strCache>
                <ptCount val="1"/>
                <pt idx="0">
                  <v>NPS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5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6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7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8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9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0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1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'3.스타뱅킹 NPS 현황'!$BG$8:$BG$19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'3.스타뱅킹 NPS 현황'!$BK$8:$BK$19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0"/>
        <axId val="1008662040"/>
        <axId val="1008660072"/>
      </barChart>
      <lineChart>
        <grouping val="standard"/>
        <varyColors val="0"/>
        <ser>
          <idx val="1"/>
          <order val="1"/>
          <tx>
            <strRef>
              <f>'3.스타뱅킹 NPS 현황'!$BL$7</f>
              <strCache>
                <ptCount val="1"/>
                <pt idx="0">
                  <v>누적NPS</v>
                </pt>
              </strCache>
            </strRef>
          </tx>
          <spPr>
            <a:ln xmlns:a="http://schemas.openxmlformats.org/drawingml/2006/main" w="19050" cap="rnd">
              <a:solidFill>
                <a:srgbClr val="FF0000"/>
              </a:solidFill>
              <a:prstDash val="sysDot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'3.스타뱅킹 NPS 현황'!$BG$8:$BG$19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'3.스타뱅킹 NPS 현황'!$BL$8:$BL$19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08662040"/>
        <axId val="1008660072"/>
      </lineChart>
      <catAx>
        <axId val="10086620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08660072"/>
        <crosses val="autoZero"/>
        <auto val="1"/>
        <lblAlgn val="ctr"/>
        <lblOffset val="100"/>
        <noMultiLvlLbl val="0"/>
      </catAx>
      <valAx>
        <axId val="1008660072"/>
        <scaling>
          <orientation val="minMax"/>
        </scaling>
        <delete val="0"/>
        <axPos val="l"/>
        <numFmt formatCode="#,##0.0;[Red]\-#,##0.0" sourceLinked="1"/>
        <majorTickMark val="none"/>
        <minorTickMark val="none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08662040"/>
        <crosses val="autoZero"/>
        <crossBetween val="between"/>
      </valAx>
    </plotArea>
    <legend>
      <legendPos val="tr"/>
      <layout>
        <manualLayout>
          <xMode val="edge"/>
          <yMode val="edge"/>
          <wMode val="factor"/>
          <hMode val="factor"/>
          <x val="0.5680996884735201"/>
          <y val="0.03846153846153846"/>
          <w val="0.4169470404984424"/>
          <h val="0.117148193014334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r>
            <a:t/>
          </a:r>
          <a:endParaRPr lang="ko-KR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/>
      <barChart>
        <barDir val="col"/>
        <grouping val="percentStacked"/>
        <varyColors val="0"/>
        <ser>
          <idx val="0"/>
          <order val="0"/>
          <tx>
            <strRef>
              <f>'3.스타뱅킹 NPS 현황'!$BH$7</f>
              <strCache>
                <ptCount val="1"/>
                <pt idx="0">
                  <v>추천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'3.스타뱅킹 NPS 현황'!$BG$8:$BG$19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'3.스타뱅킹 NPS 현황'!$BH$8:$BH$19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strRef>
              <f>'3.스타뱅킹 NPS 현황'!$BI$7</f>
              <strCache>
                <ptCount val="1"/>
                <pt idx="0">
                  <v>중립</v>
                </pt>
              </strCache>
            </strRef>
          </tx>
          <spPr>
            <a:solidFill xmlns:a="http://schemas.openxmlformats.org/drawingml/2006/main">
              <a:schemeClr val="bg2"/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'3.스타뱅킹 NPS 현황'!$BG$8:$BG$19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'3.스타뱅킹 NPS 현황'!$BI$8:$BI$19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2"/>
          <order val="2"/>
          <tx>
            <strRef>
              <f>'3.스타뱅킹 NPS 현황'!$BJ$7</f>
              <strCache>
                <ptCount val="1"/>
                <pt idx="0">
                  <v>비추천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bg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'3.스타뱅킹 NPS 현황'!$BG$8:$BG$19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'3.스타뱅킹 NPS 현황'!$BJ$8:$BJ$19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gapWidth val="80"/>
        <overlap val="100"/>
        <serLines>
          <spPr>
            <a:ln xmlns:a="http://schemas.openxmlformats.org/drawingml/2006/main" w="9525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</a:ln>
          </spPr>
        </serLines>
        <axId val="1014889400"/>
        <axId val="1014889728"/>
      </barChart>
      <catAx>
        <axId val="101488940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14889728"/>
        <crosses val="autoZero"/>
        <auto val="1"/>
        <lblAlgn val="ctr"/>
        <lblOffset val="100"/>
        <noMultiLvlLbl val="0"/>
      </catAx>
      <valAx>
        <axId val="1014889728"/>
        <scaling>
          <orientation val="minMax"/>
        </scaling>
        <delete val="0"/>
        <axPos val="l"/>
        <numFmt formatCode="0%" sourceLinked="1"/>
        <majorTickMark val="none"/>
        <minorTickMark val="none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14889400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7544803149606299"/>
          <y val="0.02777777777777778"/>
          <w val="0.1714271927708201"/>
          <h val="0.082756713103169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r>
            <a:t/>
          </a:r>
          <a:endParaRPr lang="ko-KR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bg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dLbl>
              <idx val="2"/>
              <numFmt formatCode="#,##0.0_);[Red]\(#,##0.0\)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800" b="0" i="0" strike="noStrike" kern="1200" baseline="0">
                      <a:solidFill>
                        <a:schemeClr val="bg1"/>
                      </a:solidFill>
                      <a:latin typeface="KB금융 본문체 Light" panose="020B0303000000000000" pitchFamily="50" charset="-127"/>
                      <a:ea typeface="KB금융 본문체 Light" panose="020B0303000000000000" pitchFamily="50" charset="-127"/>
                      <a:cs typeface="+mn-cs"/>
                    </a:defRPr>
                  </a:pPr>
                  <a:r>
                    <a:t/>
                  </a:r>
                  <a:endParaRPr lang="ko-KR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'4.영업점 NPS 현황'!$BH$7:$BJ$7</f>
              <strCache>
                <ptCount val="3"/>
                <pt idx="0">
                  <v>추천</v>
                </pt>
                <pt idx="1">
                  <v>중립</v>
                </pt>
                <pt idx="2">
                  <v>비추천</v>
                </pt>
              </strCache>
            </strRef>
          </cat>
          <val>
            <numRef>
              <f>'4.영업점 NPS 현황'!$BH$20:$BJ$20</f>
              <numCache>
                <formatCode>#,##0.0;[Red]\-#,##0.0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  <showLeaderLines val="1"/>
        </dLbls>
        <firstSliceAng val="0"/>
        <holeSize val="66"/>
      </doughnutChart>
    </plotArea>
    <legend>
      <legendPos val="b"/>
      <layout>
        <manualLayout>
          <xMode val="edge"/>
          <yMode val="edge"/>
          <wMode val="factor"/>
          <hMode val="factor"/>
          <x val="0.2195341207349081"/>
          <y val="0.7887851781841878"/>
          <w val="0.5609317585301837"/>
          <h val="0.0955522004737816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rtl="0"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r>
            <a:t/>
          </a:r>
          <a:endParaRPr lang="ko-KR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2741433021806854"/>
          <y val="0.08509691096305269"/>
          <w val="0.9319626168224299"/>
          <h val="0.7156082172420755"/>
        </manualLayout>
      </layout>
      <barChart>
        <barDir val="col"/>
        <grouping val="clustered"/>
        <varyColors val="0"/>
        <ser>
          <idx val="0"/>
          <order val="0"/>
          <tx>
            <strRef>
              <f>'4.영업점 NPS 현황'!$BK$7</f>
              <strCache>
                <ptCount val="1"/>
                <pt idx="0">
                  <v>NPS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5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6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7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8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9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0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1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'4.영업점 NPS 현황'!$BG$8:$BG$19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'4.영업점 NPS 현황'!$BK$8:$BK$19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0"/>
        <axId val="1008662040"/>
        <axId val="1008660072"/>
      </barChart>
      <lineChart>
        <grouping val="standard"/>
        <varyColors val="0"/>
        <ser>
          <idx val="1"/>
          <order val="1"/>
          <tx>
            <strRef>
              <f>'4.영업점 NPS 현황'!$BL$7</f>
              <strCache>
                <ptCount val="1"/>
                <pt idx="0">
                  <v>누적NPS</v>
                </pt>
              </strCache>
            </strRef>
          </tx>
          <spPr>
            <a:ln xmlns:a="http://schemas.openxmlformats.org/drawingml/2006/main" w="19050" cap="rnd">
              <a:solidFill>
                <a:srgbClr val="FF0000"/>
              </a:solidFill>
              <a:prstDash val="sysDot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'4.영업점 NPS 현황'!$BG$8:$BG$19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'4.영업점 NPS 현황'!$BL$8:$BL$19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08662040"/>
        <axId val="1008660072"/>
      </lineChart>
      <catAx>
        <axId val="10086620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08660072"/>
        <crosses val="autoZero"/>
        <auto val="1"/>
        <lblAlgn val="ctr"/>
        <lblOffset val="100"/>
        <noMultiLvlLbl val="0"/>
      </catAx>
      <valAx>
        <axId val="1008660072"/>
        <scaling>
          <orientation val="minMax"/>
        </scaling>
        <delete val="0"/>
        <axPos val="l"/>
        <numFmt formatCode="General" sourceLinked="1"/>
        <majorTickMark val="none"/>
        <minorTickMark val="none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08662040"/>
        <crosses val="autoZero"/>
        <crossBetween val="between"/>
      </valAx>
    </plotArea>
    <legend>
      <legendPos val="tr"/>
      <layout>
        <manualLayout>
          <xMode val="edge"/>
          <yMode val="edge"/>
          <wMode val="factor"/>
          <hMode val="factor"/>
          <x val="0.5680996884735201"/>
          <y val="0.03846153846153846"/>
          <w val="0.4169470404984424"/>
          <h val="0.117148193014334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r>
            <a:t/>
          </a:r>
          <a:endParaRPr lang="ko-KR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/>
      <barChart>
        <barDir val="col"/>
        <grouping val="percentStacked"/>
        <varyColors val="0"/>
        <ser>
          <idx val="0"/>
          <order val="0"/>
          <tx>
            <strRef>
              <f>'4.영업점 NPS 현황'!$BH$7</f>
              <strCache>
                <ptCount val="1"/>
                <pt idx="0">
                  <v>추천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'4.영업점 NPS 현황'!$BG$8:$BG$19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'4.영업점 NPS 현황'!$BH$8:$BH$19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strRef>
              <f>'4.영업점 NPS 현황'!$BI$7</f>
              <strCache>
                <ptCount val="1"/>
                <pt idx="0">
                  <v>중립</v>
                </pt>
              </strCache>
            </strRef>
          </tx>
          <spPr>
            <a:solidFill xmlns:a="http://schemas.openxmlformats.org/drawingml/2006/main">
              <a:schemeClr val="bg2"/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'4.영업점 NPS 현황'!$BG$8:$BG$19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'4.영업점 NPS 현황'!$BI$8:$BI$19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2"/>
          <order val="2"/>
          <tx>
            <strRef>
              <f>'4.영업점 NPS 현황'!$BJ$7</f>
              <strCache>
                <ptCount val="1"/>
                <pt idx="0">
                  <v>비추천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bg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'4.영업점 NPS 현황'!$BG$8:$BG$19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'4.영업점 NPS 현황'!$BJ$8:$BJ$19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gapWidth val="80"/>
        <overlap val="100"/>
        <serLines>
          <spPr>
            <a:ln xmlns:a="http://schemas.openxmlformats.org/drawingml/2006/main" w="9525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</a:ln>
          </spPr>
        </serLines>
        <axId val="1014889400"/>
        <axId val="1014889728"/>
      </barChart>
      <catAx>
        <axId val="101488940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14889728"/>
        <crosses val="autoZero"/>
        <auto val="1"/>
        <lblAlgn val="ctr"/>
        <lblOffset val="100"/>
        <noMultiLvlLbl val="0"/>
      </catAx>
      <valAx>
        <axId val="1014889728"/>
        <scaling>
          <orientation val="minMax"/>
        </scaling>
        <delete val="0"/>
        <axPos val="l"/>
        <numFmt formatCode="0%" sourceLinked="1"/>
        <majorTickMark val="none"/>
        <minorTickMark val="none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14889400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7544803149606299"/>
          <y val="0.02777777777777778"/>
          <w val="0.1714271927708201"/>
          <h val="0.082756713103169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r>
            <a:t/>
          </a:r>
          <a:endParaRPr lang="ko-KR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bg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dLbl>
              <idx val="2"/>
              <numFmt formatCode="#,##0.0_);[Red]\(#,##0.0\)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800" b="0" i="0" strike="noStrike" kern="1200" baseline="0">
                      <a:solidFill>
                        <a:schemeClr val="bg1"/>
                      </a:solidFill>
                      <a:latin typeface="KB금융 본문체 Light" panose="020B0303000000000000" pitchFamily="50" charset="-127"/>
                      <a:ea typeface="KB금융 본문체 Light" panose="020B0303000000000000" pitchFamily="50" charset="-127"/>
                      <a:cs typeface="+mn-cs"/>
                    </a:defRPr>
                  </a:pPr>
                  <a:r>
                    <a:t/>
                  </a:r>
                  <a:endParaRPr lang="ko-KR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'5.고객센터 NPS 현황'!$BH$7:$BJ$7</f>
              <strCache>
                <ptCount val="3"/>
                <pt idx="0">
                  <v>추천</v>
                </pt>
                <pt idx="1">
                  <v>중립</v>
                </pt>
                <pt idx="2">
                  <v>비추천</v>
                </pt>
              </strCache>
            </strRef>
          </cat>
          <val>
            <numRef>
              <f>'5.고객센터 NPS 현황'!$BH$20:$BJ$20</f>
              <numCache>
                <formatCode>#,##0.0;[Red]\-#,##0.0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  <showLeaderLines val="1"/>
        </dLbls>
        <firstSliceAng val="0"/>
        <holeSize val="66"/>
      </doughnutChart>
    </plotArea>
    <legend>
      <legendPos val="b"/>
      <layout>
        <manualLayout>
          <xMode val="edge"/>
          <yMode val="edge"/>
          <wMode val="factor"/>
          <hMode val="factor"/>
          <x val="0.2195341207349081"/>
          <y val="0.7887851781841878"/>
          <w val="0.5609317585301837"/>
          <h val="0.0955522004737816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rtl="0"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r>
            <a:t/>
          </a:r>
          <a:endParaRPr lang="ko-KR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2741433021806854"/>
          <y val="0.08509691096305269"/>
          <w val="0.9319626168224299"/>
          <h val="0.7156082172420755"/>
        </manualLayout>
      </layout>
      <barChart>
        <barDir val="col"/>
        <grouping val="clustered"/>
        <varyColors val="0"/>
        <ser>
          <idx val="0"/>
          <order val="0"/>
          <tx>
            <strRef>
              <f>'5.고객센터 NPS 현황'!$BK$7</f>
              <strCache>
                <ptCount val="1"/>
                <pt idx="0">
                  <v>NPS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5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6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7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8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9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0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1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'5.고객센터 NPS 현황'!$BG$8:$BG$19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'5.고객센터 NPS 현황'!$BK$8:$BK$19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0"/>
        <axId val="1008662040"/>
        <axId val="1008660072"/>
      </barChart>
      <lineChart>
        <grouping val="standard"/>
        <varyColors val="0"/>
        <ser>
          <idx val="1"/>
          <order val="1"/>
          <tx>
            <strRef>
              <f>'5.고객센터 NPS 현황'!$BL$7</f>
              <strCache>
                <ptCount val="1"/>
                <pt idx="0">
                  <v>누적NPS</v>
                </pt>
              </strCache>
            </strRef>
          </tx>
          <spPr>
            <a:ln xmlns:a="http://schemas.openxmlformats.org/drawingml/2006/main" w="19050" cap="rnd">
              <a:solidFill>
                <a:srgbClr val="FF0000"/>
              </a:solidFill>
              <a:prstDash val="sysDot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'5.고객센터 NPS 현황'!$BG$8:$BG$19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'5.고객센터 NPS 현황'!$BL$8:$BL$19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08662040"/>
        <axId val="1008660072"/>
      </lineChart>
      <catAx>
        <axId val="10086620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08660072"/>
        <crosses val="autoZero"/>
        <auto val="1"/>
        <lblAlgn val="ctr"/>
        <lblOffset val="100"/>
        <noMultiLvlLbl val="0"/>
      </catAx>
      <valAx>
        <axId val="1008660072"/>
        <scaling>
          <orientation val="minMax"/>
        </scaling>
        <delete val="0"/>
        <axPos val="l"/>
        <numFmt formatCode="General" sourceLinked="1"/>
        <majorTickMark val="none"/>
        <minorTickMark val="none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08662040"/>
        <crosses val="autoZero"/>
        <crossBetween val="between"/>
      </valAx>
    </plotArea>
    <legend>
      <legendPos val="tr"/>
      <layout>
        <manualLayout>
          <xMode val="edge"/>
          <yMode val="edge"/>
          <wMode val="factor"/>
          <hMode val="factor"/>
          <x val="0.5680996884735201"/>
          <y val="0.03846153846153846"/>
          <w val="0.4169470404984424"/>
          <h val="0.117148193014334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r>
            <a:t/>
          </a:r>
          <a:endParaRPr lang="ko-KR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/>
      <barChart>
        <barDir val="col"/>
        <grouping val="percentStacked"/>
        <varyColors val="0"/>
        <ser>
          <idx val="0"/>
          <order val="0"/>
          <tx>
            <strRef>
              <f>'5.고객센터 NPS 현황'!$BH$7</f>
              <strCache>
                <ptCount val="1"/>
                <pt idx="0">
                  <v>추천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'5.고객센터 NPS 현황'!$BG$8:$BG$19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'5.고객센터 NPS 현황'!$BH$8:$BH$19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strRef>
              <f>'5.고객센터 NPS 현황'!$BI$7</f>
              <strCache>
                <ptCount val="1"/>
                <pt idx="0">
                  <v>중립</v>
                </pt>
              </strCache>
            </strRef>
          </tx>
          <spPr>
            <a:solidFill xmlns:a="http://schemas.openxmlformats.org/drawingml/2006/main">
              <a:schemeClr val="bg2"/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'5.고객센터 NPS 현황'!$BG$8:$BG$19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'5.고객센터 NPS 현황'!$BI$8:$BI$19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2"/>
          <order val="2"/>
          <tx>
            <strRef>
              <f>'5.고객센터 NPS 현황'!$BJ$7</f>
              <strCache>
                <ptCount val="1"/>
                <pt idx="0">
                  <v>비추천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bg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'5.고객센터 NPS 현황'!$BG$8:$BG$19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'5.고객센터 NPS 현황'!$BJ$8:$BJ$19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gapWidth val="80"/>
        <overlap val="100"/>
        <serLines>
          <spPr>
            <a:ln xmlns:a="http://schemas.openxmlformats.org/drawingml/2006/main" w="9525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</a:ln>
          </spPr>
        </serLines>
        <axId val="1014889400"/>
        <axId val="1014889728"/>
      </barChart>
      <catAx>
        <axId val="101488940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14889728"/>
        <crosses val="autoZero"/>
        <auto val="1"/>
        <lblAlgn val="ctr"/>
        <lblOffset val="100"/>
        <noMultiLvlLbl val="0"/>
      </catAx>
      <valAx>
        <axId val="1014889728"/>
        <scaling>
          <orientation val="minMax"/>
        </scaling>
        <delete val="0"/>
        <axPos val="l"/>
        <numFmt formatCode="0%" sourceLinked="1"/>
        <majorTickMark val="none"/>
        <minorTickMark val="none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14889400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7544803149606299"/>
          <y val="0.02777777777777778"/>
          <w val="0.1714271927708201"/>
          <h val="0.082756713103169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r>
            <a:t/>
          </a:r>
          <a:endParaRPr lang="ko-KR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bg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dLbl>
              <idx val="2"/>
              <numFmt formatCode="#,##0.0_);[Red]\(#,##0.0\)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800" b="0" i="0" strike="noStrike" kern="1200" baseline="0">
                      <a:solidFill>
                        <a:schemeClr val="bg1"/>
                      </a:solidFill>
                      <a:latin typeface="KB금융 본문체 Light" panose="020B0303000000000000" pitchFamily="50" charset="-127"/>
                      <a:ea typeface="KB금융 본문체 Light" panose="020B0303000000000000" pitchFamily="50" charset="-127"/>
                      <a:cs typeface="+mn-cs"/>
                    </a:defRPr>
                  </a:pPr>
                  <a:r>
                    <a:t/>
                  </a:r>
                  <a:endParaRPr lang="ko-KR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'6.상품 NPS 현황'!$BH$7:$BJ$7</f>
              <strCache>
                <ptCount val="3"/>
                <pt idx="0">
                  <v>추천</v>
                </pt>
                <pt idx="1">
                  <v>중립</v>
                </pt>
                <pt idx="2">
                  <v>비추천</v>
                </pt>
              </strCache>
            </strRef>
          </cat>
          <val>
            <numRef>
              <f>'6.상품 NPS 현황'!$BH$20:$BJ$20</f>
              <numCache>
                <formatCode>#,##0.0;[Red]\-#,##0.0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  <showLeaderLines val="1"/>
        </dLbls>
        <firstSliceAng val="0"/>
        <holeSize val="66"/>
      </doughnutChart>
    </plotArea>
    <legend>
      <legendPos val="b"/>
      <layout>
        <manualLayout>
          <xMode val="edge"/>
          <yMode val="edge"/>
          <wMode val="factor"/>
          <hMode val="factor"/>
          <x val="0.2195341207349081"/>
          <y val="0.7887851781841878"/>
          <w val="0.5609317585301837"/>
          <h val="0.0955522004737816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rtl="0"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r>
            <a:t/>
          </a:r>
          <a:endParaRPr lang="ko-KR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2741433021806854"/>
          <y val="0.08509691096305269"/>
          <w val="0.9319626168224299"/>
          <h val="0.7156082172420755"/>
        </manualLayout>
      </layout>
      <barChart>
        <barDir val="col"/>
        <grouping val="clustered"/>
        <varyColors val="0"/>
        <ser>
          <idx val="0"/>
          <order val="0"/>
          <tx>
            <strRef>
              <f>'6.상품 NPS 현황'!$BK$7</f>
              <strCache>
                <ptCount val="1"/>
                <pt idx="0">
                  <v>NPS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5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6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7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8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9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0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1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'6.상품 NPS 현황'!$BG$8:$BG$19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'6.상품 NPS 현황'!$BK$8:$BK$19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0"/>
        <axId val="1008662040"/>
        <axId val="1008660072"/>
      </barChart>
      <lineChart>
        <grouping val="standard"/>
        <varyColors val="0"/>
        <ser>
          <idx val="1"/>
          <order val="1"/>
          <tx>
            <strRef>
              <f>'6.상품 NPS 현황'!$BL$7</f>
              <strCache>
                <ptCount val="1"/>
                <pt idx="0">
                  <v>누적NPS</v>
                </pt>
              </strCache>
            </strRef>
          </tx>
          <spPr>
            <a:ln xmlns:a="http://schemas.openxmlformats.org/drawingml/2006/main" w="19050" cap="rnd">
              <a:solidFill>
                <a:srgbClr val="FF0000"/>
              </a:solidFill>
              <a:prstDash val="sysDot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'6.상품 NPS 현황'!$BG$8:$BG$19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'6.상품 NPS 현황'!$BL$8:$BL$19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08662040"/>
        <axId val="1008660072"/>
      </lineChart>
      <catAx>
        <axId val="10086620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08660072"/>
        <crosses val="autoZero"/>
        <auto val="1"/>
        <lblAlgn val="ctr"/>
        <lblOffset val="100"/>
        <noMultiLvlLbl val="0"/>
      </catAx>
      <valAx>
        <axId val="1008660072"/>
        <scaling>
          <orientation val="minMax"/>
        </scaling>
        <delete val="0"/>
        <axPos val="l"/>
        <numFmt formatCode="General" sourceLinked="1"/>
        <majorTickMark val="none"/>
        <minorTickMark val="none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08662040"/>
        <crosses val="autoZero"/>
        <crossBetween val="between"/>
      </valAx>
    </plotArea>
    <legend>
      <legendPos val="tr"/>
      <layout>
        <manualLayout>
          <xMode val="edge"/>
          <yMode val="edge"/>
          <wMode val="factor"/>
          <hMode val="factor"/>
          <x val="0.5680996884735201"/>
          <y val="0.03846153846153846"/>
          <w val="0.4169470404984424"/>
          <h val="0.117148193014334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r>
            <a:t/>
          </a:r>
          <a:endParaRPr lang="ko-KR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/>
      <barChart>
        <barDir val="col"/>
        <grouping val="percentStacked"/>
        <varyColors val="0"/>
        <ser>
          <idx val="0"/>
          <order val="0"/>
          <tx>
            <strRef>
              <f>'6.상품 NPS 현황'!$BH$7</f>
              <strCache>
                <ptCount val="1"/>
                <pt idx="0">
                  <v>추천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'6.상품 NPS 현황'!$BG$8:$BG$19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'6.상품 NPS 현황'!$BH$8:$BH$19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strRef>
              <f>'6.상품 NPS 현황'!$BI$7</f>
              <strCache>
                <ptCount val="1"/>
                <pt idx="0">
                  <v>중립</v>
                </pt>
              </strCache>
            </strRef>
          </tx>
          <spPr>
            <a:solidFill xmlns:a="http://schemas.openxmlformats.org/drawingml/2006/main">
              <a:schemeClr val="bg2"/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'6.상품 NPS 현황'!$BG$8:$BG$19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'6.상품 NPS 현황'!$BI$8:$BI$19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2"/>
          <order val="2"/>
          <tx>
            <strRef>
              <f>'6.상품 NPS 현황'!$BJ$7</f>
              <strCache>
                <ptCount val="1"/>
                <pt idx="0">
                  <v>비추천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bg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'6.상품 NPS 현황'!$BG$8:$BG$19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'6.상품 NPS 현황'!$BJ$8:$BJ$19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gapWidth val="80"/>
        <overlap val="100"/>
        <serLines>
          <spPr>
            <a:ln xmlns:a="http://schemas.openxmlformats.org/drawingml/2006/main" w="9525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</a:ln>
          </spPr>
        </serLines>
        <axId val="1014889400"/>
        <axId val="1014889728"/>
      </barChart>
      <catAx>
        <axId val="101488940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14889728"/>
        <crosses val="autoZero"/>
        <auto val="1"/>
        <lblAlgn val="ctr"/>
        <lblOffset val="100"/>
        <noMultiLvlLbl val="0"/>
      </catAx>
      <valAx>
        <axId val="1014889728"/>
        <scaling>
          <orientation val="minMax"/>
        </scaling>
        <delete val="0"/>
        <axPos val="l"/>
        <numFmt formatCode="0%" sourceLinked="1"/>
        <majorTickMark val="none"/>
        <minorTickMark val="none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14889400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7544803149606299"/>
          <y val="0.02777777777777778"/>
          <w val="0.1714271927708201"/>
          <h val="0.082756713103169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r>
            <a:t/>
          </a:r>
          <a:endParaRPr lang="ko-KR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bg1">
                  <a:lumMod val="65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bg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dLbl>
              <idx val="1"/>
              <numFmt formatCode="#,##0.0_);[Red]\(#,##0.0\)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800" b="0" i="0" strike="noStrike" kern="1200" baseline="0">
                      <a:solidFill>
                        <a:schemeClr val="bg1"/>
                      </a:solidFill>
                      <a:latin typeface="KB금융 본문체 Light" panose="020B0303000000000000" pitchFamily="50" charset="-127"/>
                      <a:ea typeface="KB금융 본문체 Light" panose="020B0303000000000000" pitchFamily="50" charset="-127"/>
                      <a:cs typeface="+mn-cs"/>
                    </a:defRPr>
                  </a:pPr>
                  <a:r>
                    <a:t/>
                  </a:r>
                  <a:endParaRPr lang="ko-KR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'7.NSS'!$BH$9:$BJ$9</f>
              <strCache>
                <ptCount val="3"/>
                <pt idx="0">
                  <v>긍정</v>
                </pt>
                <pt idx="1">
                  <v>부정</v>
                </pt>
                <pt idx="2">
                  <v>중립</v>
                </pt>
              </strCache>
            </strRef>
          </cat>
          <val>
            <numRef>
              <f>'7.NSS'!$BH$22:$BJ$22</f>
              <numCache>
                <formatCode>#,##0.0;[Red]\-#,##0.0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  <showLeaderLines val="1"/>
        </dLbls>
        <firstSliceAng val="0"/>
        <holeSize val="66"/>
      </doughnutChart>
    </plotArea>
    <legend>
      <legendPos val="b"/>
      <layout>
        <manualLayout>
          <xMode val="edge"/>
          <yMode val="edge"/>
          <wMode val="factor"/>
          <hMode val="factor"/>
          <x val="0.2195341207349081"/>
          <y val="0.7887851781841878"/>
          <w val="0.5609317585301837"/>
          <h val="0.0955522004737816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rtl="0"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r>
            <a:t/>
          </a:r>
          <a:endParaRPr lang="ko-KR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2741433021806854"/>
          <y val="0.08509691096305269"/>
          <w val="0.9319626168224299"/>
          <h val="0.7156082172420755"/>
        </manualLayout>
      </layout>
      <barChart>
        <barDir val="col"/>
        <grouping val="clustered"/>
        <varyColors val="0"/>
        <ser>
          <idx val="0"/>
          <order val="0"/>
          <tx>
            <strRef>
              <f>'7.NSS'!$BK$9</f>
              <strCache>
                <ptCount val="1"/>
                <pt idx="0">
                  <v>NSS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5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6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7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8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9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0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1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'7.NSS'!$BG$10:$BG$21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'7.NSS'!$BK$10:$BK$21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0"/>
        <axId val="1008662040"/>
        <axId val="1008660072"/>
      </barChart>
      <lineChart>
        <grouping val="standard"/>
        <varyColors val="0"/>
        <ser>
          <idx val="1"/>
          <order val="1"/>
          <tx>
            <strRef>
              <f>'7.NSS'!$BL$9</f>
              <strCache>
                <ptCount val="1"/>
                <pt idx="0">
                  <v>누적NSS</v>
                </pt>
              </strCache>
            </strRef>
          </tx>
          <spPr>
            <a:ln xmlns:a="http://schemas.openxmlformats.org/drawingml/2006/main" w="19050" cap="rnd">
              <a:solidFill>
                <a:srgbClr val="FF0000"/>
              </a:solidFill>
              <a:prstDash val="sysDot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'7.NSS'!$BG$10:$BG$21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'7.NSS'!$BL$10:$BL$21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08662040"/>
        <axId val="1008660072"/>
      </lineChart>
      <catAx>
        <axId val="10086620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08660072"/>
        <crosses val="autoZero"/>
        <auto val="1"/>
        <lblAlgn val="ctr"/>
        <lblOffset val="100"/>
        <noMultiLvlLbl val="0"/>
      </catAx>
      <valAx>
        <axId val="1008660072"/>
        <scaling>
          <orientation val="minMax"/>
        </scaling>
        <delete val="0"/>
        <axPos val="l"/>
        <numFmt formatCode="#,##0.0;[Red]\-#,##0.0" sourceLinked="1"/>
        <majorTickMark val="none"/>
        <minorTickMark val="none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08662040"/>
        <crosses val="autoZero"/>
        <crossBetween val="between"/>
      </valAx>
    </plotArea>
    <legend>
      <legendPos val="tr"/>
      <layout>
        <manualLayout>
          <xMode val="edge"/>
          <yMode val="edge"/>
          <wMode val="factor"/>
          <hMode val="factor"/>
          <x val="0.5680996884735201"/>
          <y val="0.03846153846153846"/>
          <w val="0.4169470404984424"/>
          <h val="0.117148193014334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r>
            <a:t/>
          </a:r>
          <a:endParaRPr lang="ko-KR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/>
      <barChart>
        <barDir val="col"/>
        <grouping val="percentStacked"/>
        <varyColors val="0"/>
        <ser>
          <idx val="0"/>
          <order val="0"/>
          <tx>
            <strRef>
              <f>'7.NSS'!$BH$9</f>
              <strCache>
                <ptCount val="1"/>
                <pt idx="0">
                  <v>긍정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'7.NSS'!$BG$10:$BG$21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'7.NSS'!$BH$10:$BH$21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strRef>
              <f>'7.NSS'!$BI$9</f>
              <strCache>
                <ptCount val="1"/>
                <pt idx="0">
                  <v>부정</v>
                </pt>
              </strCache>
            </strRef>
          </tx>
          <spPr>
            <a:solidFill xmlns:a="http://schemas.openxmlformats.org/drawingml/2006/main">
              <a:schemeClr val="bg1">
                <a:lumMod val="65000"/>
              </a:schemeClr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bg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'7.NSS'!$BG$10:$BG$21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'7.NSS'!$BI$10:$BI$21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2"/>
          <order val="2"/>
          <tx>
            <strRef>
              <f>'7.NSS'!$BJ$9</f>
              <strCache>
                <ptCount val="1"/>
                <pt idx="0">
                  <v>중립</v>
                </pt>
              </strCache>
            </strRef>
          </tx>
          <spPr>
            <a:solidFill xmlns:a="http://schemas.openxmlformats.org/drawingml/2006/main">
              <a:schemeClr val="bg2"/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'7.NSS'!$BG$10:$BG$21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'7.NSS'!$BJ$10:$BJ$21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gapWidth val="80"/>
        <overlap val="100"/>
        <serLines>
          <spPr>
            <a:ln xmlns:a="http://schemas.openxmlformats.org/drawingml/2006/main" w="9525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</a:ln>
          </spPr>
        </serLines>
        <axId val="1014889400"/>
        <axId val="1014889728"/>
      </barChart>
      <catAx>
        <axId val="101488940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14889728"/>
        <crosses val="autoZero"/>
        <auto val="1"/>
        <lblAlgn val="ctr"/>
        <lblOffset val="100"/>
        <noMultiLvlLbl val="0"/>
      </catAx>
      <valAx>
        <axId val="1014889728"/>
        <scaling>
          <orientation val="minMax"/>
        </scaling>
        <delete val="0"/>
        <axPos val="l"/>
        <numFmt formatCode="0%" sourceLinked="1"/>
        <majorTickMark val="none"/>
        <minorTickMark val="none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14889400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7544803149606299"/>
          <y val="0.02777777777777778"/>
          <w val="0.1714271927708201"/>
          <h val="0.082756713103169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r>
            <a:t/>
          </a:r>
          <a:endParaRPr lang="ko-KR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19.xml><?xml version="1.0" encoding="utf-8"?>
<chartSpace xmlns="http://schemas.openxmlformats.org/drawingml/2006/chart">
  <chart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bg1">
                  <a:lumMod val="5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tx2">
                  <a:lumMod val="20000"/>
                  <a:lumOff val="8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bg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dLbl>
              <idx val="0"/>
              <numFmt formatCode="#,##0.0_);[Red]\(#,##0.0\)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800" b="0" i="0" strike="noStrike" kern="1200" baseline="0">
                      <a:solidFill>
                        <a:schemeClr val="bg1"/>
                      </a:solidFill>
                      <a:latin typeface="KB금융 본문체 Light" panose="020B0303000000000000" pitchFamily="50" charset="-127"/>
                      <a:ea typeface="KB금융 본문체 Light" panose="020B0303000000000000" pitchFamily="50" charset="-127"/>
                      <a:cs typeface="+mn-cs"/>
                    </a:defRPr>
                  </a:pPr>
                  <a:r>
                    <a:t/>
                  </a:r>
                  <a:endParaRPr lang="ko-KR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'8.CCI'!$BH$7:$BK$7</f>
              <strCache>
                <ptCount val="4"/>
                <pt idx="0">
                  <v>칭찬</v>
                </pt>
                <pt idx="1">
                  <v>불만</v>
                </pt>
                <pt idx="2">
                  <v>개선</v>
                </pt>
                <pt idx="3">
                  <v>기타</v>
                </pt>
              </strCache>
            </strRef>
          </cat>
          <val>
            <numRef>
              <f>'8.CCI'!$BH$20:$BK$20</f>
              <numCache>
                <formatCode>#,##0.0;[Red]\-#,##0.0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  <showLeaderLines val="1"/>
        </dLbls>
        <firstSliceAng val="0"/>
        <holeSize val="66"/>
      </doughnutChart>
    </plotArea>
    <legend>
      <legendPos val="b"/>
      <layout>
        <manualLayout>
          <xMode val="edge"/>
          <yMode val="edge"/>
          <wMode val="factor"/>
          <hMode val="factor"/>
          <x val="0.08617453427791222"/>
          <y val="0.7887851781841878"/>
          <w val="0.8343194427453622"/>
          <h val="0.0955522004737816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rtl="0"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r>
            <a:t/>
          </a:r>
          <a:endParaRPr lang="ko-KR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2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2741433021806854"/>
          <y val="0.08509691096305269"/>
          <w val="0.9319626168224299"/>
          <h val="0.7156082172420755"/>
        </manualLayout>
      </layout>
      <barChart>
        <barDir val="col"/>
        <grouping val="clustered"/>
        <varyColors val="0"/>
        <ser>
          <idx val="0"/>
          <order val="0"/>
          <tx>
            <strRef>
              <f>'8.CCI'!$BL$7</f>
              <strCache>
                <ptCount val="1"/>
                <pt idx="0">
                  <v>CCI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5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6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7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8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9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0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1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'8.CCI'!$BG$8:$BG$19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'8.CCI'!$BL$8:$BL$19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0"/>
        <axId val="1008662040"/>
        <axId val="1008660072"/>
      </barChart>
      <lineChart>
        <grouping val="standard"/>
        <varyColors val="0"/>
        <ser>
          <idx val="1"/>
          <order val="1"/>
          <tx>
            <strRef>
              <f>'8.CCI'!$BM$7</f>
              <strCache>
                <ptCount val="1"/>
                <pt idx="0">
                  <v>누적CCI</v>
                </pt>
              </strCache>
            </strRef>
          </tx>
          <spPr>
            <a:ln xmlns:a="http://schemas.openxmlformats.org/drawingml/2006/main" w="19050" cap="rnd">
              <a:solidFill>
                <a:srgbClr val="FF0000"/>
              </a:solidFill>
              <a:prstDash val="sysDot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'8.CCI'!$BG$8:$BG$19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'8.CCI'!$BM$8:$BM$19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08662040"/>
        <axId val="1008660072"/>
      </lineChart>
      <catAx>
        <axId val="10086620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08660072"/>
        <crosses val="autoZero"/>
        <auto val="1"/>
        <lblAlgn val="ctr"/>
        <lblOffset val="100"/>
        <noMultiLvlLbl val="0"/>
      </catAx>
      <valAx>
        <axId val="1008660072"/>
        <scaling>
          <orientation val="minMax"/>
        </scaling>
        <delete val="0"/>
        <axPos val="l"/>
        <numFmt formatCode="#,##0.0;[Red]\-#,##0.0" sourceLinked="1"/>
        <majorTickMark val="none"/>
        <minorTickMark val="none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08662040"/>
        <crosses val="autoZero"/>
        <crossBetween val="between"/>
      </valAx>
    </plotArea>
    <legend>
      <legendPos val="tr"/>
      <layout>
        <manualLayout>
          <xMode val="edge"/>
          <yMode val="edge"/>
          <wMode val="factor"/>
          <hMode val="factor"/>
          <x val="0.5680996884735201"/>
          <y val="0.03846153846153846"/>
          <w val="0.4169470404984424"/>
          <h val="0.117148193014334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r>
            <a:t/>
          </a:r>
          <a:endParaRPr lang="ko-KR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21.xml><?xml version="1.0" encoding="utf-8"?>
<chartSpace xmlns="http://schemas.openxmlformats.org/drawingml/2006/chart">
  <chart>
    <plotArea>
      <layout/>
      <barChart>
        <barDir val="col"/>
        <grouping val="percentStacked"/>
        <varyColors val="0"/>
        <ser>
          <idx val="0"/>
          <order val="0"/>
          <tx>
            <strRef>
              <f>'8.CCI'!$BH$7</f>
              <strCache>
                <ptCount val="1"/>
                <pt idx="0">
                  <v>칭찬</v>
                </pt>
              </strCache>
            </strRef>
          </tx>
          <spPr>
            <a:solidFill xmlns:a="http://schemas.openxmlformats.org/drawingml/2006/main">
              <a:schemeClr val="bg1">
                <a:lumMod val="50000"/>
              </a:schemeClr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bg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'8.CCI'!$BG$8:$BG$19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'8.CCI'!$BH$8:$BH$19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strRef>
              <f>'8.CCI'!$BI$7</f>
              <strCache>
                <ptCount val="1"/>
                <pt idx="0">
                  <v>불만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'8.CCI'!$BG$8:$BG$19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'8.CCI'!$BI$8:$BI$19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2"/>
          <order val="2"/>
          <tx>
            <strRef>
              <f>'8.CCI'!$BJ$7</f>
              <strCache>
                <ptCount val="1"/>
                <pt idx="0">
                  <v>개선</v>
                </pt>
              </strCache>
            </strRef>
          </tx>
          <spPr>
            <a:solidFill xmlns:a="http://schemas.openxmlformats.org/drawingml/2006/main">
              <a:schemeClr val="tx2">
                <a:lumMod val="20000"/>
                <a:lumOff val="80000"/>
              </a:schemeClr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'8.CCI'!$BG$8:$BG$19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'8.CCI'!$BJ$8:$BJ$19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3"/>
          <order val="3"/>
          <tx>
            <strRef>
              <f>'8.CCI'!$BK$7</f>
              <strCache>
                <ptCount val="1"/>
                <pt idx="0">
                  <v>기타</v>
                </pt>
              </strCache>
            </strRef>
          </tx>
          <spPr>
            <a:solidFill xmlns:a="http://schemas.openxmlformats.org/drawingml/2006/main">
              <a:schemeClr val="bg1">
                <a:lumMod val="85000"/>
              </a:schemeClr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'8.CCI'!$BG$8:$BG$19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'8.CCI'!$BK$8:$BK$19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gapWidth val="80"/>
        <overlap val="100"/>
        <serLines>
          <spPr>
            <a:ln xmlns:a="http://schemas.openxmlformats.org/drawingml/2006/main" w="9525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</a:ln>
          </spPr>
        </serLines>
        <axId val="1014889400"/>
        <axId val="1014889728"/>
      </barChart>
      <catAx>
        <axId val="101488940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14889728"/>
        <crosses val="autoZero"/>
        <auto val="1"/>
        <lblAlgn val="ctr"/>
        <lblOffset val="100"/>
        <noMultiLvlLbl val="0"/>
      </catAx>
      <valAx>
        <axId val="1014889728"/>
        <scaling>
          <orientation val="minMax"/>
        </scaling>
        <delete val="0"/>
        <axPos val="l"/>
        <numFmt formatCode="0%" sourceLinked="1"/>
        <majorTickMark val="none"/>
        <minorTickMark val="none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14889400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7544803149606299"/>
          <y val="0.02777777777777778"/>
          <w val="0.2076521980713414"/>
          <h val="0.082756713103169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r>
            <a:t/>
          </a:r>
          <a:endParaRPr lang="ko-KR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6.xml" Id="rId1"/><Relationship Type="http://schemas.openxmlformats.org/officeDocument/2006/relationships/chart" Target="/xl/charts/chart17.xml" Id="rId2"/><Relationship Type="http://schemas.openxmlformats.org/officeDocument/2006/relationships/chart" Target="/xl/charts/chart18.xml" Id="rId3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Relationship Type="http://schemas.openxmlformats.org/officeDocument/2006/relationships/chart" Target="/xl/charts/chart21.xml" Id="rId3"/></Relationships>
</file>

<file path=xl/drawings/drawing1.xml><?xml version="1.0" encoding="utf-8"?>
<wsDr xmlns="http://schemas.openxmlformats.org/drawingml/2006/spreadsheetDrawing">
  <twoCellAnchor>
    <from>
      <col>1</col>
      <colOff>5383</colOff>
      <row>7</row>
      <rowOff>171867</rowOff>
    </from>
    <to>
      <col>16</col>
      <colOff>41641</colOff>
      <row>19</row>
      <rowOff>98754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15</col>
      <colOff>33130</colOff>
      <row>8</row>
      <rowOff>134179</rowOff>
    </from>
    <to>
      <col>56</col>
      <colOff>52180</colOff>
      <row>19</row>
      <rowOff>19879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</col>
      <colOff>47625</colOff>
      <row>21</row>
      <rowOff>114300</rowOff>
    </from>
    <to>
      <col>56</col>
      <colOff>76200</colOff>
      <row>34</row>
      <rowOff>114300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1</col>
      <colOff>5383</colOff>
      <row>5</row>
      <rowOff>171867</rowOff>
    </from>
    <to>
      <col>16</col>
      <colOff>41641</colOff>
      <row>17</row>
      <rowOff>98754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15</col>
      <colOff>33130</colOff>
      <row>6</row>
      <rowOff>134179</rowOff>
    </from>
    <to>
      <col>56</col>
      <colOff>52180</colOff>
      <row>17</row>
      <rowOff>19879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</col>
      <colOff>47625</colOff>
      <row>19</row>
      <rowOff>114300</rowOff>
    </from>
    <to>
      <col>56</col>
      <colOff>76200</colOff>
      <row>32</row>
      <rowOff>114300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1</col>
      <colOff>5383</colOff>
      <row>5</row>
      <rowOff>171867</rowOff>
    </from>
    <to>
      <col>16</col>
      <colOff>41641</colOff>
      <row>17</row>
      <rowOff>98754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15</col>
      <colOff>33130</colOff>
      <row>6</row>
      <rowOff>134179</rowOff>
    </from>
    <to>
      <col>56</col>
      <colOff>52180</colOff>
      <row>17</row>
      <rowOff>19879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</col>
      <colOff>47625</colOff>
      <row>19</row>
      <rowOff>114300</rowOff>
    </from>
    <to>
      <col>56</col>
      <colOff>76200</colOff>
      <row>32</row>
      <rowOff>114300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1</col>
      <colOff>5383</colOff>
      <row>5</row>
      <rowOff>171867</rowOff>
    </from>
    <to>
      <col>16</col>
      <colOff>41641</colOff>
      <row>17</row>
      <rowOff>98754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15</col>
      <colOff>33130</colOff>
      <row>6</row>
      <rowOff>134179</rowOff>
    </from>
    <to>
      <col>56</col>
      <colOff>52180</colOff>
      <row>17</row>
      <rowOff>19879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</col>
      <colOff>47625</colOff>
      <row>19</row>
      <rowOff>114300</rowOff>
    </from>
    <to>
      <col>56</col>
      <colOff>76200</colOff>
      <row>32</row>
      <rowOff>114300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1</col>
      <colOff>5383</colOff>
      <row>5</row>
      <rowOff>171867</rowOff>
    </from>
    <to>
      <col>16</col>
      <colOff>41641</colOff>
      <row>17</row>
      <rowOff>98754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15</col>
      <colOff>33130</colOff>
      <row>6</row>
      <rowOff>134179</rowOff>
    </from>
    <to>
      <col>56</col>
      <colOff>52180</colOff>
      <row>17</row>
      <rowOff>19879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</col>
      <colOff>47625</colOff>
      <row>19</row>
      <rowOff>114300</rowOff>
    </from>
    <to>
      <col>56</col>
      <colOff>76200</colOff>
      <row>32</row>
      <rowOff>114300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>
    <from>
      <col>1</col>
      <colOff>5383</colOff>
      <row>7</row>
      <rowOff>171867</rowOff>
    </from>
    <to>
      <col>16</col>
      <colOff>41641</colOff>
      <row>19</row>
      <rowOff>98754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15</col>
      <colOff>33130</colOff>
      <row>8</row>
      <rowOff>134179</rowOff>
    </from>
    <to>
      <col>56</col>
      <colOff>52180</colOff>
      <row>19</row>
      <rowOff>19879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</col>
      <colOff>47625</colOff>
      <row>21</row>
      <rowOff>114300</rowOff>
    </from>
    <to>
      <col>56</col>
      <colOff>76200</colOff>
      <row>34</row>
      <rowOff>114300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7.xml><?xml version="1.0" encoding="utf-8"?>
<wsDr xmlns="http://schemas.openxmlformats.org/drawingml/2006/spreadsheetDrawing">
  <twoCellAnchor>
    <from>
      <col>1</col>
      <colOff>5383</colOff>
      <row>5</row>
      <rowOff>171867</rowOff>
    </from>
    <to>
      <col>16</col>
      <colOff>41641</colOff>
      <row>17</row>
      <rowOff>98754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15</col>
      <colOff>33130</colOff>
      <row>6</row>
      <rowOff>134179</rowOff>
    </from>
    <to>
      <col>56</col>
      <colOff>52180</colOff>
      <row>17</row>
      <rowOff>19879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</col>
      <colOff>47625</colOff>
      <row>19</row>
      <rowOff>114300</rowOff>
    </from>
    <to>
      <col>56</col>
      <colOff>76200</colOff>
      <row>32</row>
      <rowOff>114300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0"/>
  <sheetViews>
    <sheetView showGridLines="0" tabSelected="1" view="pageBreakPreview" zoomScaleNormal="100" zoomScaleSheetLayoutView="100" workbookViewId="0">
      <selection activeCell="BI17" sqref="BI17"/>
    </sheetView>
  </sheetViews>
  <sheetFormatPr baseColWidth="8" defaultColWidth="9.625" defaultRowHeight="15" customHeight="1"/>
  <cols>
    <col width="1.625" customWidth="1" style="161" min="1" max="57"/>
    <col width="9.625" customWidth="1" style="161" min="58" max="16384"/>
  </cols>
  <sheetData>
    <row r="1" ht="8.1" customHeight="1" s="292"/>
    <row r="2" ht="28.5" customHeight="1" s="292" thickBot="1">
      <c r="B2" s="18" t="inlineStr">
        <is>
          <t>`26년 2월 Bottom-Up NPS Monthly Report</t>
        </is>
      </c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0" t="n"/>
      <c r="S2" s="40" t="n"/>
      <c r="T2" s="40" t="n"/>
      <c r="U2" s="40" t="n"/>
      <c r="V2" s="40" t="n"/>
      <c r="W2" s="40" t="n"/>
      <c r="X2" s="40" t="n"/>
      <c r="Y2" s="40" t="n"/>
      <c r="Z2" s="40" t="n"/>
      <c r="AA2" s="40" t="n"/>
      <c r="AB2" s="40" t="n"/>
      <c r="AC2" s="40" t="n"/>
      <c r="AD2" s="40" t="n"/>
      <c r="AE2" s="40" t="n"/>
      <c r="AF2" s="40" t="n"/>
      <c r="AG2" s="40" t="n"/>
      <c r="AH2" s="40" t="n"/>
      <c r="AI2" s="40" t="n"/>
      <c r="AJ2" s="40" t="n"/>
      <c r="AK2" s="40" t="n"/>
      <c r="AL2" s="40" t="n"/>
      <c r="AM2" s="40" t="n"/>
      <c r="AN2" s="40" t="n"/>
      <c r="AO2" s="40" t="n"/>
      <c r="AP2" s="40" t="n"/>
      <c r="AQ2" s="40" t="n"/>
      <c r="AR2" s="40" t="n"/>
      <c r="AS2" s="40" t="n"/>
      <c r="AT2" s="40" t="n"/>
      <c r="AU2" s="40" t="n"/>
      <c r="AV2" s="40" t="n"/>
      <c r="AW2" s="40" t="n"/>
      <c r="AX2" s="40" t="n"/>
      <c r="AY2" s="40" t="n"/>
      <c r="AZ2" s="40" t="n"/>
      <c r="BA2" s="40" t="n"/>
      <c r="BB2" s="40" t="n"/>
      <c r="BC2" s="40" t="n"/>
      <c r="BD2" s="40" t="n"/>
    </row>
    <row r="3" ht="16.5" customHeight="1" s="292" thickTop="1">
      <c r="B3" s="47" t="inlineStr">
        <is>
          <t>2026.2.28 기준</t>
        </is>
      </c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19" t="n"/>
      <c r="AU3" s="19" t="n"/>
      <c r="AV3" s="19" t="n"/>
      <c r="AW3" s="19" t="n"/>
      <c r="AX3" s="19" t="n"/>
      <c r="AY3" s="19" t="n"/>
      <c r="AZ3" s="19" t="n"/>
      <c r="BA3" s="19" t="n"/>
      <c r="BB3" s="19" t="n"/>
      <c r="BC3" s="19" t="n"/>
      <c r="BD3" s="19" t="n"/>
    </row>
    <row r="4" ht="9.949999999999999" customHeight="1" s="292"/>
    <row r="5" ht="15" customHeight="1" s="292">
      <c r="B5" s="1" t="inlineStr">
        <is>
          <t>Ⅰ. NPS 현황 Summary</t>
        </is>
      </c>
      <c r="C5" s="42" t="n"/>
      <c r="D5" s="42" t="n"/>
      <c r="E5" s="42" t="n"/>
      <c r="F5" s="42" t="n"/>
      <c r="G5" s="42" t="n"/>
      <c r="H5" s="42" t="n"/>
      <c r="I5" s="42" t="n"/>
      <c r="J5" s="42" t="n"/>
      <c r="K5" s="41" t="n"/>
      <c r="L5" s="41" t="n"/>
      <c r="M5" s="41" t="n"/>
      <c r="N5" s="41" t="n"/>
      <c r="O5" s="41" t="n"/>
      <c r="P5" s="41" t="n"/>
      <c r="Q5" s="41" t="n"/>
      <c r="R5" s="41" t="n"/>
      <c r="S5" s="42" t="n"/>
      <c r="T5" s="42" t="n"/>
      <c r="U5" s="42" t="n"/>
      <c r="V5" s="42" t="n"/>
      <c r="W5" s="42" t="n"/>
      <c r="X5" s="42" t="n"/>
      <c r="Y5" s="42" t="n"/>
      <c r="Z5" s="42" t="n"/>
      <c r="AA5" s="41" t="n"/>
      <c r="AB5" s="41" t="n"/>
      <c r="AC5" s="41" t="n"/>
      <c r="AD5" s="41" t="n"/>
      <c r="AE5" s="41" t="n"/>
      <c r="AF5" s="41" t="n"/>
      <c r="AG5" s="41" t="n"/>
      <c r="AH5" s="41" t="n"/>
      <c r="AI5" s="42" t="n"/>
      <c r="AJ5" s="42" t="n"/>
      <c r="AK5" s="42" t="n"/>
      <c r="AL5" s="42" t="n"/>
      <c r="AM5" s="42" t="n"/>
      <c r="AN5" s="42" t="n"/>
      <c r="AO5" s="42" t="n"/>
      <c r="AP5" s="42" t="n"/>
      <c r="AQ5" s="41" t="n"/>
      <c r="AR5" s="41" t="n"/>
      <c r="AS5" s="41" t="n"/>
      <c r="AT5" s="41" t="n"/>
      <c r="AU5" s="41" t="n"/>
      <c r="AV5" s="41" t="n"/>
      <c r="AW5" s="41" t="n"/>
      <c r="AX5" s="41" t="n"/>
      <c r="AY5" s="42" t="n"/>
      <c r="AZ5" s="42" t="n"/>
      <c r="BA5" s="42" t="n"/>
      <c r="BB5" s="42" t="n"/>
      <c r="BC5" s="42" t="n"/>
      <c r="BD5" s="42" t="n"/>
    </row>
    <row r="6" ht="5.1" customHeight="1" s="292">
      <c r="B6" s="43" t="n"/>
      <c r="C6" s="43" t="n"/>
      <c r="D6" s="43" t="n"/>
      <c r="E6" s="43" t="n"/>
      <c r="F6" s="43" t="n"/>
      <c r="G6" s="43" t="n"/>
      <c r="H6" s="43" t="n"/>
      <c r="I6" s="43" t="n"/>
      <c r="J6" s="43" t="n"/>
      <c r="K6" s="43" t="n"/>
      <c r="L6" s="43" t="n"/>
      <c r="M6" s="43" t="n"/>
      <c r="N6" s="43" t="n"/>
    </row>
    <row r="7" ht="15" customHeight="1" s="292">
      <c r="B7" s="2" t="inlineStr">
        <is>
          <t>1. Bottom-Up NPS 조사 현황</t>
        </is>
      </c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  <c r="AD7" s="44" t="n"/>
      <c r="AE7" s="44" t="n"/>
      <c r="AF7" s="44" t="n"/>
      <c r="AG7" s="44" t="n"/>
      <c r="AH7" s="44" t="n"/>
      <c r="AI7" s="44" t="n"/>
      <c r="AJ7" s="44" t="n"/>
      <c r="AK7" s="44" t="n"/>
      <c r="AL7" s="44" t="n"/>
      <c r="AM7" s="44" t="n"/>
      <c r="AN7" s="44" t="n"/>
      <c r="AO7" s="44" t="n"/>
      <c r="AP7" s="44" t="n"/>
      <c r="AQ7" s="44" t="n"/>
      <c r="AR7" s="44" t="n"/>
      <c r="AS7" s="44" t="n"/>
      <c r="AT7" s="44" t="n"/>
      <c r="AU7" s="44" t="n"/>
      <c r="AV7" s="44" t="n"/>
      <c r="AW7" s="44" t="n"/>
      <c r="AX7" s="44" t="n"/>
      <c r="AY7" s="44" t="n"/>
      <c r="AZ7" s="44" t="n"/>
      <c r="BA7" s="44" t="n"/>
      <c r="BB7" s="44" t="n"/>
      <c r="BC7" s="44" t="n"/>
      <c r="BD7" s="44" t="n"/>
    </row>
    <row r="8" ht="15" customHeight="1" s="292">
      <c r="C8" s="43">
        <f>"- 2026.2.28 기준 총 발송건수 "&amp;TEXT(C10, "####,####")&amp;"건 중 응답자 "&amp;TEXT(AJ10, "####,####")&amp;"건으로 응답률 "&amp;AU10&amp;"%"</f>
        <v/>
      </c>
      <c r="D8" s="25" t="n"/>
      <c r="F8" s="6" t="n"/>
      <c r="G8" s="43" t="n"/>
      <c r="H8" s="43" t="n"/>
      <c r="I8" s="43" t="n"/>
      <c r="J8" s="43" t="n"/>
      <c r="K8" s="43" t="n"/>
      <c r="L8" s="43" t="n"/>
      <c r="M8" s="43" t="n"/>
      <c r="N8" s="43" t="n"/>
    </row>
    <row r="9" ht="15" customHeight="1" s="292">
      <c r="C9" s="34" t="inlineStr">
        <is>
          <t>발송</t>
        </is>
      </c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48" t="n"/>
      <c r="N9" s="34" t="inlineStr">
        <is>
          <t>응답접촉</t>
        </is>
      </c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48" t="n"/>
      <c r="Y9" s="34" t="inlineStr">
        <is>
          <t>접촉률</t>
        </is>
      </c>
      <c r="Z9" s="34" t="n"/>
      <c r="AA9" s="34" t="n"/>
      <c r="AB9" s="34" t="n"/>
      <c r="AC9" s="34" t="n"/>
      <c r="AD9" s="34" t="n"/>
      <c r="AE9" s="34" t="n"/>
      <c r="AF9" s="34" t="n"/>
      <c r="AG9" s="34" t="n"/>
      <c r="AH9" s="34" t="n"/>
      <c r="AI9" s="48" t="n"/>
      <c r="AJ9" s="34" t="inlineStr">
        <is>
          <t>응답완료</t>
        </is>
      </c>
      <c r="AK9" s="34" t="n"/>
      <c r="AL9" s="34" t="n"/>
      <c r="AM9" s="34" t="n"/>
      <c r="AN9" s="34" t="n"/>
      <c r="AO9" s="34" t="n"/>
      <c r="AP9" s="34" t="n"/>
      <c r="AQ9" s="34" t="n"/>
      <c r="AR9" s="34" t="n"/>
      <c r="AS9" s="34" t="n"/>
      <c r="AT9" s="48" t="n"/>
      <c r="AU9" s="34" t="inlineStr">
        <is>
          <t>응답률</t>
        </is>
      </c>
      <c r="AV9" s="34" t="n"/>
      <c r="AW9" s="34" t="n"/>
      <c r="AX9" s="34" t="n"/>
      <c r="AY9" s="34" t="n"/>
      <c r="AZ9" s="34" t="n"/>
      <c r="BA9" s="34" t="n"/>
      <c r="BB9" s="34" t="n"/>
      <c r="BC9" s="34" t="n"/>
      <c r="BD9" s="34" t="n"/>
    </row>
    <row r="10" ht="15" customHeight="1" s="292">
      <c r="C10" s="293" t="n">
        <v>1201643</v>
      </c>
      <c r="D10" s="294" t="n"/>
      <c r="E10" s="294" t="n"/>
      <c r="F10" s="294" t="n"/>
      <c r="G10" s="294" t="n"/>
      <c r="H10" s="294" t="n"/>
      <c r="I10" s="294" t="n"/>
      <c r="J10" s="294" t="n"/>
      <c r="K10" s="294" t="n"/>
      <c r="L10" s="294" t="n"/>
      <c r="M10" s="295" t="n"/>
      <c r="N10" s="296" t="n">
        <v>118840</v>
      </c>
      <c r="O10" s="294" t="n"/>
      <c r="P10" s="294" t="n"/>
      <c r="Q10" s="294" t="n"/>
      <c r="R10" s="294" t="n"/>
      <c r="S10" s="294" t="n"/>
      <c r="T10" s="294" t="n"/>
      <c r="U10" s="294" t="n"/>
      <c r="V10" s="294" t="n"/>
      <c r="W10" s="294" t="n"/>
      <c r="X10" s="295" t="n"/>
      <c r="Y10" s="297" t="n">
        <v>9.890000000000001</v>
      </c>
      <c r="Z10" s="294" t="n"/>
      <c r="AA10" s="294" t="n"/>
      <c r="AB10" s="294" t="n"/>
      <c r="AC10" s="294" t="n"/>
      <c r="AD10" s="294" t="n"/>
      <c r="AE10" s="294" t="n"/>
      <c r="AF10" s="294" t="n"/>
      <c r="AG10" s="294" t="n"/>
      <c r="AH10" s="294" t="n"/>
      <c r="AI10" s="295" t="n"/>
      <c r="AJ10" s="296" t="n">
        <v>58281</v>
      </c>
      <c r="AK10" s="294" t="n"/>
      <c r="AL10" s="294" t="n"/>
      <c r="AM10" s="294" t="n"/>
      <c r="AN10" s="294" t="n"/>
      <c r="AO10" s="294" t="n"/>
      <c r="AP10" s="294" t="n"/>
      <c r="AQ10" s="294" t="n"/>
      <c r="AR10" s="294" t="n"/>
      <c r="AS10" s="294" t="n"/>
      <c r="AT10" s="295" t="n"/>
      <c r="AU10" s="298" t="n">
        <v>4.85</v>
      </c>
      <c r="AV10" s="294" t="n"/>
      <c r="AW10" s="294" t="n"/>
      <c r="AX10" s="294" t="n"/>
      <c r="AY10" s="294" t="n"/>
      <c r="AZ10" s="294" t="n"/>
      <c r="BA10" s="294" t="n"/>
      <c r="BB10" s="294" t="n"/>
      <c r="BC10" s="294" t="n"/>
      <c r="BD10" s="294" t="n"/>
    </row>
    <row r="11" ht="15" customHeight="1" s="292">
      <c r="B11" s="43" t="n"/>
      <c r="C11" s="8" t="inlineStr">
        <is>
          <t>*접촉률 : 발송 URL 클릭건수 ÷ 총 발송 건수</t>
        </is>
      </c>
      <c r="D11" s="43" t="n"/>
      <c r="F11" s="43" t="n"/>
      <c r="G11" s="43" t="n"/>
      <c r="H11" s="43" t="n"/>
      <c r="I11" s="43" t="n"/>
      <c r="J11" s="43" t="n"/>
      <c r="K11" s="43" t="n"/>
      <c r="L11" s="43" t="n"/>
      <c r="M11" s="43" t="n"/>
      <c r="N11" s="43" t="n"/>
    </row>
    <row r="12" ht="9.949999999999999" customHeight="1" s="292">
      <c r="B12" s="43" t="n"/>
      <c r="D12" s="43" t="n"/>
      <c r="E12" s="8" t="n"/>
      <c r="F12" s="43" t="n"/>
      <c r="G12" s="43" t="n"/>
      <c r="H12" s="43" t="n"/>
      <c r="I12" s="43" t="n"/>
      <c r="J12" s="43" t="n"/>
      <c r="K12" s="43" t="n"/>
      <c r="L12" s="43" t="n"/>
      <c r="M12" s="43" t="n"/>
      <c r="N12" s="43" t="n"/>
    </row>
    <row r="13" ht="15" customHeight="1" s="292">
      <c r="B13" s="2" t="inlineStr">
        <is>
          <t>2. Bottom-Up NPS 월별 현황</t>
        </is>
      </c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  <c r="O13" s="44" t="n"/>
      <c r="P13" s="44" t="n"/>
      <c r="Q13" s="44" t="n"/>
      <c r="R13" s="44" t="n"/>
      <c r="S13" s="44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  <c r="AE13" s="44" t="n"/>
      <c r="AF13" s="44" t="n"/>
      <c r="AG13" s="44" t="n"/>
      <c r="AH13" s="44" t="n"/>
      <c r="AI13" s="44" t="n"/>
      <c r="AJ13" s="44" t="n"/>
      <c r="AK13" s="44" t="n"/>
      <c r="AL13" s="44" t="n"/>
      <c r="AM13" s="44" t="n"/>
      <c r="AN13" s="44" t="n"/>
      <c r="AO13" s="44" t="n"/>
      <c r="AP13" s="44" t="n"/>
      <c r="AQ13" s="44" t="n"/>
      <c r="AR13" s="44" t="n"/>
      <c r="AS13" s="44" t="n"/>
      <c r="AT13" s="44" t="n"/>
      <c r="AU13" s="44" t="n"/>
      <c r="AV13" s="44" t="n"/>
      <c r="AW13" s="44" t="n"/>
      <c r="AX13" s="44" t="n"/>
      <c r="AY13" s="44" t="n"/>
      <c r="AZ13" s="44" t="n"/>
      <c r="BA13" s="44" t="n"/>
      <c r="BB13" s="44" t="n"/>
      <c r="BC13" s="44" t="n"/>
      <c r="BD13" s="44" t="n"/>
    </row>
    <row r="14" ht="15" customHeight="1" s="292">
      <c r="B14" s="6" t="n"/>
      <c r="C14" s="25" t="inlineStr">
        <is>
          <t>- 2월말 현재 종합 NPS는 53.0점으로 여전히 우수하며, 누적 NPS는 65.1점으로 금융업 평균을 상회하고 스타뱅킹 52.2점·영업점 61.1점은 양호, 고객센터 15.3점은 개선 필요, 상품 56.8점은 견조한 수준임</t>
        </is>
      </c>
      <c r="D14" s="43" t="n"/>
      <c r="F14" s="43" t="n"/>
      <c r="G14" s="43" t="n"/>
      <c r="H14" s="43" t="n"/>
      <c r="I14" s="43" t="n"/>
      <c r="J14" s="43" t="n"/>
      <c r="K14" s="43" t="n"/>
      <c r="L14" s="43" t="n"/>
      <c r="M14" s="43" t="n"/>
      <c r="N14" s="43" t="n"/>
    </row>
    <row r="15" ht="15" customHeight="1" s="292">
      <c r="B15" s="6" t="n"/>
      <c r="C15" s="43" t="n"/>
      <c r="D15" s="117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</row>
    <row r="16" ht="15" customHeight="1" s="292">
      <c r="B16" s="43" t="n"/>
      <c r="C16" s="37" t="inlineStr">
        <is>
          <t>구분</t>
        </is>
      </c>
      <c r="D16" s="35" t="n"/>
      <c r="E16" s="35" t="n"/>
      <c r="F16" s="35" t="n"/>
      <c r="G16" s="35" t="n"/>
      <c r="H16" s="35" t="n"/>
      <c r="I16" s="35" t="n"/>
      <c r="J16" s="60" t="n"/>
      <c r="K16" s="33" t="inlineStr">
        <is>
          <t>1월</t>
        </is>
      </c>
      <c r="L16" s="30" t="n"/>
      <c r="M16" s="32" t="n"/>
      <c r="N16" s="33" t="inlineStr">
        <is>
          <t>2월</t>
        </is>
      </c>
      <c r="O16" s="30" t="n"/>
      <c r="P16" s="32" t="n"/>
      <c r="Q16" s="33" t="inlineStr">
        <is>
          <t>3월</t>
        </is>
      </c>
      <c r="R16" s="30" t="n"/>
      <c r="S16" s="32" t="n"/>
      <c r="T16" s="33" t="inlineStr">
        <is>
          <t>4월</t>
        </is>
      </c>
      <c r="U16" s="30" t="n"/>
      <c r="V16" s="32" t="n"/>
      <c r="W16" s="33" t="inlineStr">
        <is>
          <t>5월</t>
        </is>
      </c>
      <c r="X16" s="30" t="n"/>
      <c r="Y16" s="32" t="n"/>
      <c r="Z16" s="33" t="inlineStr">
        <is>
          <t>6월</t>
        </is>
      </c>
      <c r="AA16" s="30" t="n"/>
      <c r="AB16" s="32" t="n"/>
      <c r="AC16" s="33" t="inlineStr">
        <is>
          <t>7월</t>
        </is>
      </c>
      <c r="AD16" s="30" t="n"/>
      <c r="AE16" s="32" t="n"/>
      <c r="AF16" s="33" t="inlineStr">
        <is>
          <t>8월</t>
        </is>
      </c>
      <c r="AG16" s="30" t="n"/>
      <c r="AH16" s="32" t="n"/>
      <c r="AI16" s="33" t="inlineStr">
        <is>
          <t>9월</t>
        </is>
      </c>
      <c r="AJ16" s="30" t="n"/>
      <c r="AK16" s="32" t="n"/>
      <c r="AL16" s="33" t="inlineStr">
        <is>
          <t>10월</t>
        </is>
      </c>
      <c r="AM16" s="30" t="n"/>
      <c r="AN16" s="32" t="n"/>
      <c r="AO16" s="33" t="inlineStr">
        <is>
          <t>11월</t>
        </is>
      </c>
      <c r="AP16" s="30" t="n"/>
      <c r="AQ16" s="32" t="n"/>
      <c r="AR16" s="67" t="inlineStr">
        <is>
          <t>12월</t>
        </is>
      </c>
      <c r="AS16" s="68" t="n"/>
      <c r="AT16" s="68" t="n"/>
      <c r="AU16" s="68" t="inlineStr">
        <is>
          <t>누적</t>
        </is>
      </c>
      <c r="AV16" s="68" t="n"/>
      <c r="AW16" s="68" t="n"/>
      <c r="AX16" s="68" t="n"/>
      <c r="AY16" s="68" t="n"/>
      <c r="AZ16" s="68" t="inlineStr">
        <is>
          <t>1월 대비</t>
        </is>
      </c>
      <c r="BA16" s="68" t="n"/>
      <c r="BB16" s="68" t="n"/>
      <c r="BC16" s="68" t="n"/>
      <c r="BD16" s="29" t="n"/>
    </row>
    <row r="17" ht="15" customHeight="1" s="292">
      <c r="B17" s="43" t="n"/>
      <c r="C17" s="16" t="inlineStr">
        <is>
          <t>종합NPS</t>
        </is>
      </c>
      <c r="D17" s="16" t="n"/>
      <c r="E17" s="16" t="n"/>
      <c r="F17" s="16" t="n"/>
      <c r="G17" s="16" t="n"/>
      <c r="H17" s="16" t="n"/>
      <c r="I17" s="16" t="n"/>
      <c r="J17" s="49" t="n"/>
      <c r="K17" s="299" t="n">
        <v>64.7</v>
      </c>
      <c r="L17" s="159" t="n"/>
      <c r="M17" s="300" t="n"/>
      <c r="N17" s="299" t="n">
        <v>53</v>
      </c>
      <c r="O17" s="159" t="n"/>
      <c r="P17" s="300" t="n"/>
      <c r="Q17" s="301" t="inlineStr"/>
      <c r="R17" s="159" t="n"/>
      <c r="S17" s="300" t="n"/>
      <c r="T17" s="301" t="inlineStr"/>
      <c r="U17" s="159" t="n"/>
      <c r="V17" s="300" t="n"/>
      <c r="W17" s="301" t="inlineStr"/>
      <c r="X17" s="159" t="n"/>
      <c r="Y17" s="300" t="n"/>
      <c r="Z17" s="301" t="inlineStr"/>
      <c r="AA17" s="159" t="n"/>
      <c r="AB17" s="300" t="n"/>
      <c r="AC17" s="301" t="inlineStr"/>
      <c r="AD17" s="159" t="n"/>
      <c r="AE17" s="300" t="n"/>
      <c r="AF17" s="301" t="inlineStr"/>
      <c r="AG17" s="159" t="n"/>
      <c r="AH17" s="300" t="n"/>
      <c r="AI17" s="301" t="inlineStr"/>
      <c r="AJ17" s="159" t="n"/>
      <c r="AK17" s="300" t="n"/>
      <c r="AL17" s="301" t="inlineStr"/>
      <c r="AM17" s="159" t="n"/>
      <c r="AN17" s="300" t="n"/>
      <c r="AO17" s="301" t="inlineStr"/>
      <c r="AP17" s="159" t="n"/>
      <c r="AQ17" s="300" t="n"/>
      <c r="AR17" s="155" t="inlineStr"/>
      <c r="AS17" s="159" t="n"/>
      <c r="AT17" s="302" t="n"/>
      <c r="AU17" s="303" t="n">
        <v>65.09999999999999</v>
      </c>
      <c r="AV17" s="159" t="n"/>
      <c r="AW17" s="159" t="n"/>
      <c r="AX17" s="159" t="n"/>
      <c r="AY17" s="302" t="n"/>
      <c r="AZ17" s="304" t="n">
        <v>0.4</v>
      </c>
      <c r="BA17" s="159" t="n"/>
      <c r="BB17" s="159" t="n"/>
      <c r="BC17" s="159" t="n"/>
      <c r="BD17" s="159" t="n"/>
      <c r="BE17" s="39" t="n"/>
    </row>
    <row r="18" ht="15" customHeight="1" s="292">
      <c r="B18" s="43" t="n"/>
      <c r="C18" s="69" t="inlineStr">
        <is>
          <t>KB스타뱅킹</t>
        </is>
      </c>
      <c r="D18" s="71" t="n"/>
      <c r="E18" s="71" t="n"/>
      <c r="F18" s="71" t="n"/>
      <c r="G18" s="71" t="n"/>
      <c r="H18" s="71" t="n"/>
      <c r="I18" s="71" t="n"/>
      <c r="J18" s="50" t="n"/>
      <c r="K18" s="305" t="n">
        <v>65</v>
      </c>
      <c r="M18" s="306" t="n"/>
      <c r="N18" s="305" t="n">
        <v>52.2</v>
      </c>
      <c r="P18" s="306" t="n"/>
      <c r="Q18" s="307" t="inlineStr"/>
      <c r="S18" s="306" t="n"/>
      <c r="T18" s="307" t="inlineStr"/>
      <c r="V18" s="306" t="n"/>
      <c r="W18" s="307" t="inlineStr"/>
      <c r="Y18" s="306" t="n"/>
      <c r="Z18" s="307" t="inlineStr"/>
      <c r="AB18" s="306" t="n"/>
      <c r="AC18" s="307" t="inlineStr"/>
      <c r="AE18" s="306" t="n"/>
      <c r="AF18" s="307" t="inlineStr"/>
      <c r="AH18" s="306" t="n"/>
      <c r="AI18" s="307" t="inlineStr"/>
      <c r="AK18" s="306" t="n"/>
      <c r="AL18" s="307" t="inlineStr"/>
      <c r="AN18" s="306" t="n"/>
      <c r="AO18" s="307" t="inlineStr"/>
      <c r="AQ18" s="306" t="n"/>
      <c r="AR18" s="171" t="inlineStr"/>
      <c r="AT18" s="308" t="n"/>
      <c r="AU18" s="309" t="n">
        <v>65.5</v>
      </c>
      <c r="AY18" s="308" t="n"/>
      <c r="AZ18" s="310" t="n">
        <v>0.5</v>
      </c>
      <c r="BE18" s="39" t="n"/>
    </row>
    <row r="19" ht="15" customHeight="1" s="292">
      <c r="B19" s="43" t="n"/>
      <c r="C19" s="69" t="inlineStr">
        <is>
          <t>영업점</t>
        </is>
      </c>
      <c r="D19" s="71" t="n"/>
      <c r="E19" s="71" t="n"/>
      <c r="F19" s="71" t="n"/>
      <c r="G19" s="71" t="n"/>
      <c r="H19" s="71" t="n"/>
      <c r="I19" s="71" t="n"/>
      <c r="J19" s="50" t="n"/>
      <c r="K19" s="305" t="n">
        <v>66.8</v>
      </c>
      <c r="M19" s="306" t="n"/>
      <c r="N19" s="305" t="n">
        <v>61.1</v>
      </c>
      <c r="P19" s="306" t="n"/>
      <c r="Q19" s="307" t="inlineStr"/>
      <c r="S19" s="306" t="n"/>
      <c r="T19" s="307" t="inlineStr"/>
      <c r="V19" s="306" t="n"/>
      <c r="W19" s="307" t="inlineStr"/>
      <c r="Y19" s="306" t="n"/>
      <c r="Z19" s="307" t="inlineStr"/>
      <c r="AB19" s="306" t="n"/>
      <c r="AC19" s="307" t="inlineStr"/>
      <c r="AE19" s="306" t="n"/>
      <c r="AF19" s="307" t="inlineStr"/>
      <c r="AH19" s="306" t="n"/>
      <c r="AI19" s="307" t="inlineStr"/>
      <c r="AK19" s="306" t="n"/>
      <c r="AL19" s="307" t="inlineStr"/>
      <c r="AN19" s="306" t="n"/>
      <c r="AO19" s="307" t="inlineStr"/>
      <c r="AQ19" s="306" t="n"/>
      <c r="AR19" s="171" t="inlineStr"/>
      <c r="AT19" s="308" t="n"/>
      <c r="AU19" s="309" t="n">
        <v>66.90000000000001</v>
      </c>
      <c r="AY19" s="308" t="n"/>
      <c r="AZ19" s="310" t="n">
        <v>0.1</v>
      </c>
      <c r="BE19" s="39" t="n"/>
    </row>
    <row r="20" ht="15" customHeight="1" s="292">
      <c r="B20" s="43" t="n"/>
      <c r="C20" s="69" t="inlineStr">
        <is>
          <t>고객센터</t>
        </is>
      </c>
      <c r="D20" s="71" t="n"/>
      <c r="E20" s="71" t="n"/>
      <c r="F20" s="71" t="n"/>
      <c r="G20" s="71" t="n"/>
      <c r="H20" s="71" t="n"/>
      <c r="I20" s="71" t="n"/>
      <c r="J20" s="50" t="n"/>
      <c r="K20" s="305" t="n">
        <v>36.2</v>
      </c>
      <c r="M20" s="306" t="n"/>
      <c r="N20" s="305" t="n">
        <v>15.3</v>
      </c>
      <c r="P20" s="306" t="n"/>
      <c r="Q20" s="307" t="inlineStr"/>
      <c r="S20" s="306" t="n"/>
      <c r="T20" s="307" t="inlineStr"/>
      <c r="V20" s="306" t="n"/>
      <c r="W20" s="307" t="inlineStr"/>
      <c r="Y20" s="306" t="n"/>
      <c r="Z20" s="307" t="inlineStr"/>
      <c r="AB20" s="306" t="n"/>
      <c r="AC20" s="307" t="inlineStr"/>
      <c r="AE20" s="306" t="n"/>
      <c r="AF20" s="307" t="inlineStr"/>
      <c r="AH20" s="306" t="n"/>
      <c r="AI20" s="307" t="inlineStr"/>
      <c r="AK20" s="306" t="n"/>
      <c r="AL20" s="307" t="inlineStr"/>
      <c r="AN20" s="306" t="n"/>
      <c r="AO20" s="307" t="inlineStr"/>
      <c r="AQ20" s="306" t="n"/>
      <c r="AR20" s="171" t="inlineStr"/>
      <c r="AT20" s="308" t="n"/>
      <c r="AU20" s="309" t="n">
        <v>36.8</v>
      </c>
      <c r="AY20" s="308" t="n"/>
      <c r="AZ20" s="310" t="n">
        <v>0.6</v>
      </c>
      <c r="BE20" s="39" t="n"/>
    </row>
    <row r="21" ht="15" customHeight="1" s="292">
      <c r="B21" s="43" t="n"/>
      <c r="C21" s="27" t="inlineStr">
        <is>
          <t>상품</t>
        </is>
      </c>
      <c r="D21" s="11" t="n"/>
      <c r="E21" s="11" t="n"/>
      <c r="F21" s="11" t="n"/>
      <c r="G21" s="11" t="n"/>
      <c r="H21" s="11" t="n"/>
      <c r="I21" s="11" t="n"/>
      <c r="J21" s="51" t="n"/>
      <c r="K21" s="311" t="n">
        <v>69.2</v>
      </c>
      <c r="L21" s="163" t="n"/>
      <c r="M21" s="312" t="n"/>
      <c r="N21" s="311" t="n">
        <v>56.8</v>
      </c>
      <c r="O21" s="163" t="n"/>
      <c r="P21" s="312" t="n"/>
      <c r="Q21" s="313" t="inlineStr"/>
      <c r="R21" s="163" t="n"/>
      <c r="S21" s="312" t="n"/>
      <c r="T21" s="313" t="inlineStr"/>
      <c r="U21" s="163" t="n"/>
      <c r="V21" s="312" t="n"/>
      <c r="W21" s="313" t="inlineStr"/>
      <c r="X21" s="163" t="n"/>
      <c r="Y21" s="312" t="n"/>
      <c r="Z21" s="313" t="inlineStr"/>
      <c r="AA21" s="163" t="n"/>
      <c r="AB21" s="312" t="n"/>
      <c r="AC21" s="313" t="inlineStr"/>
      <c r="AD21" s="163" t="n"/>
      <c r="AE21" s="312" t="n"/>
      <c r="AF21" s="313" t="inlineStr"/>
      <c r="AG21" s="163" t="n"/>
      <c r="AH21" s="312" t="n"/>
      <c r="AI21" s="313" t="inlineStr"/>
      <c r="AJ21" s="163" t="n"/>
      <c r="AK21" s="312" t="n"/>
      <c r="AL21" s="313" t="inlineStr"/>
      <c r="AM21" s="163" t="n"/>
      <c r="AN21" s="312" t="n"/>
      <c r="AO21" s="313" t="inlineStr"/>
      <c r="AP21" s="163" t="n"/>
      <c r="AQ21" s="312" t="n"/>
      <c r="AR21" s="176" t="inlineStr"/>
      <c r="AS21" s="163" t="n"/>
      <c r="AT21" s="314" t="n"/>
      <c r="AU21" s="315" t="n">
        <v>69.7</v>
      </c>
      <c r="AV21" s="163" t="n"/>
      <c r="AW21" s="163" t="n"/>
      <c r="AX21" s="163" t="n"/>
      <c r="AY21" s="314" t="n"/>
      <c r="AZ21" s="316" t="n">
        <v>0.5</v>
      </c>
      <c r="BA21" s="163" t="n"/>
      <c r="BB21" s="163" t="n"/>
      <c r="BC21" s="163" t="n"/>
      <c r="BD21" s="163" t="n"/>
      <c r="BE21" s="39" t="n"/>
    </row>
    <row r="22" ht="9.949999999999999" customHeight="1" s="292">
      <c r="B22" s="43" t="n"/>
      <c r="M22" s="43" t="n"/>
      <c r="N22" s="43" t="n"/>
      <c r="O22" s="43" t="n"/>
      <c r="P22" s="43" t="n"/>
      <c r="BE22" s="39" t="n"/>
      <c r="BF22" s="39" t="n"/>
      <c r="BG22" s="39" t="n"/>
    </row>
    <row r="23" ht="15" customHeight="1" s="292">
      <c r="B23" s="2" t="inlineStr">
        <is>
          <t>3. 고객감정지수(NSS) 및 고객불만지수(CCI) 월별 현황</t>
        </is>
      </c>
      <c r="C23" s="45" t="n"/>
      <c r="D23" s="45" t="n"/>
      <c r="E23" s="45" t="n"/>
      <c r="F23" s="45" t="n"/>
      <c r="G23" s="45" t="n"/>
      <c r="H23" s="45" t="n"/>
      <c r="I23" s="45" t="n"/>
      <c r="J23" s="45" t="n"/>
      <c r="K23" s="45" t="n"/>
      <c r="L23" s="45" t="n"/>
      <c r="M23" s="46" t="n"/>
      <c r="N23" s="44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6" t="n"/>
      <c r="Z23" s="44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6" t="n"/>
      <c r="AL23" s="44" t="n"/>
      <c r="AM23" s="45" t="n"/>
      <c r="AN23" s="45" t="n"/>
      <c r="AO23" s="45" t="n"/>
      <c r="AP23" s="45" t="n"/>
      <c r="AQ23" s="45" t="n"/>
      <c r="AR23" s="45" t="n"/>
      <c r="AS23" s="45" t="n"/>
      <c r="AT23" s="45" t="n"/>
      <c r="AU23" s="45" t="n"/>
      <c r="AV23" s="45" t="n"/>
      <c r="AW23" s="46" t="n"/>
      <c r="AX23" s="44" t="n"/>
      <c r="AY23" s="45" t="n"/>
      <c r="AZ23" s="45" t="n"/>
      <c r="BA23" s="45" t="n"/>
      <c r="BB23" s="45" t="n"/>
      <c r="BC23" s="45" t="n"/>
      <c r="BD23" s="45" t="n"/>
      <c r="BE23" s="39" t="n"/>
      <c r="BF23" s="39" t="n"/>
      <c r="BG23" s="39" t="n"/>
    </row>
    <row r="24" ht="15" customHeight="1" s="292">
      <c r="B24" s="14" t="n"/>
      <c r="C24" s="117" t="inlineStr">
        <is>
          <t xml:space="preserve">  【고객감정지수(NSS)】 2월말 현재 종합 NSS는 27.6점으로, 1월 대비 +8.2점 상승하며 고객센터가 -3.7점에서 5.7점으로 개선되고 스타뱅킹이 29.2점에서 40.5점으로 상승한 반면 영업점은 18.9점에서 27.0점으로 소폭 개선했으나 누적 NSS는 -37.9점으로 부진함</t>
        </is>
      </c>
      <c r="D24" s="43" t="n"/>
      <c r="E24" s="43" t="n"/>
      <c r="F24" s="43" t="n"/>
      <c r="G24" s="43" t="n"/>
      <c r="H24" s="43" t="n"/>
    </row>
    <row r="25" ht="15" customHeight="1" s="292">
      <c r="B25" s="43" t="n"/>
      <c r="C25" s="37" t="inlineStr">
        <is>
          <t>구분</t>
        </is>
      </c>
      <c r="D25" s="35" t="n"/>
      <c r="E25" s="35" t="n"/>
      <c r="F25" s="35" t="n"/>
      <c r="G25" s="35" t="n"/>
      <c r="H25" s="35" t="n"/>
      <c r="I25" s="35" t="n"/>
      <c r="J25" s="60" t="n"/>
      <c r="K25" s="33" t="inlineStr">
        <is>
          <t>1월</t>
        </is>
      </c>
      <c r="L25" s="30" t="n"/>
      <c r="M25" s="32" t="n"/>
      <c r="N25" s="33" t="inlineStr">
        <is>
          <t>2월</t>
        </is>
      </c>
      <c r="O25" s="30" t="n"/>
      <c r="P25" s="32" t="n"/>
      <c r="Q25" s="33" t="inlineStr">
        <is>
          <t>3월</t>
        </is>
      </c>
      <c r="R25" s="30" t="n"/>
      <c r="S25" s="32" t="n"/>
      <c r="T25" s="33" t="inlineStr">
        <is>
          <t>4월</t>
        </is>
      </c>
      <c r="U25" s="30" t="n"/>
      <c r="V25" s="32" t="n"/>
      <c r="W25" s="33" t="inlineStr">
        <is>
          <t>5월</t>
        </is>
      </c>
      <c r="X25" s="30" t="n"/>
      <c r="Y25" s="32" t="n"/>
      <c r="Z25" s="33" t="inlineStr">
        <is>
          <t>6월</t>
        </is>
      </c>
      <c r="AA25" s="30" t="n"/>
      <c r="AB25" s="32" t="n"/>
      <c r="AC25" s="33" t="inlineStr">
        <is>
          <t>7월</t>
        </is>
      </c>
      <c r="AD25" s="30" t="n"/>
      <c r="AE25" s="32" t="n"/>
      <c r="AF25" s="33" t="inlineStr">
        <is>
          <t>8월</t>
        </is>
      </c>
      <c r="AG25" s="30" t="n"/>
      <c r="AH25" s="32" t="n"/>
      <c r="AI25" s="33" t="inlineStr">
        <is>
          <t>9월</t>
        </is>
      </c>
      <c r="AJ25" s="30" t="n"/>
      <c r="AK25" s="32" t="n"/>
      <c r="AL25" s="33" t="inlineStr">
        <is>
          <t>10월</t>
        </is>
      </c>
      <c r="AM25" s="30" t="n"/>
      <c r="AN25" s="32" t="n"/>
      <c r="AO25" s="33" t="inlineStr">
        <is>
          <t>11월</t>
        </is>
      </c>
      <c r="AP25" s="30" t="n"/>
      <c r="AQ25" s="32" t="n"/>
      <c r="AR25" s="67" t="inlineStr">
        <is>
          <t>12월</t>
        </is>
      </c>
      <c r="AS25" s="68" t="n"/>
      <c r="AT25" s="68" t="n"/>
      <c r="AU25" s="68" t="inlineStr">
        <is>
          <t>누적</t>
        </is>
      </c>
      <c r="AV25" s="68" t="n"/>
      <c r="AW25" s="68" t="n"/>
      <c r="AX25" s="68" t="n"/>
      <c r="AY25" s="68" t="n"/>
      <c r="AZ25" s="68" t="inlineStr">
        <is>
          <t>1월 대비</t>
        </is>
      </c>
      <c r="BA25" s="68" t="n"/>
      <c r="BB25" s="68" t="n"/>
      <c r="BC25" s="68" t="n"/>
      <c r="BD25" s="29" t="n"/>
    </row>
    <row r="26" ht="15" customHeight="1" s="292">
      <c r="B26" s="43" t="n"/>
      <c r="C26" s="16" t="inlineStr">
        <is>
          <t>종합NSS</t>
        </is>
      </c>
      <c r="D26" s="16" t="n"/>
      <c r="E26" s="16" t="n"/>
      <c r="F26" s="16" t="n"/>
      <c r="G26" s="16" t="n"/>
      <c r="H26" s="16" t="n"/>
      <c r="I26" s="16" t="n"/>
      <c r="J26" s="49" t="n"/>
      <c r="K26" s="299" t="n">
        <v>19.4</v>
      </c>
      <c r="L26" s="159" t="n"/>
      <c r="M26" s="300" t="n"/>
      <c r="N26" s="299" t="n">
        <v>27.6</v>
      </c>
      <c r="O26" s="159" t="n"/>
      <c r="P26" s="300" t="n"/>
      <c r="Q26" s="301" t="inlineStr"/>
      <c r="R26" s="159" t="n"/>
      <c r="S26" s="300" t="n"/>
      <c r="T26" s="301" t="inlineStr"/>
      <c r="U26" s="159" t="n"/>
      <c r="V26" s="300" t="n"/>
      <c r="W26" s="301" t="inlineStr"/>
      <c r="X26" s="159" t="n"/>
      <c r="Y26" s="300" t="n"/>
      <c r="Z26" s="301" t="inlineStr"/>
      <c r="AA26" s="159" t="n"/>
      <c r="AB26" s="300" t="n"/>
      <c r="AC26" s="301" t="inlineStr"/>
      <c r="AD26" s="159" t="n"/>
      <c r="AE26" s="300" t="n"/>
      <c r="AF26" s="301" t="inlineStr"/>
      <c r="AG26" s="159" t="n"/>
      <c r="AH26" s="300" t="n"/>
      <c r="AI26" s="301" t="inlineStr"/>
      <c r="AJ26" s="159" t="n"/>
      <c r="AK26" s="300" t="n"/>
      <c r="AL26" s="301" t="inlineStr"/>
      <c r="AM26" s="159" t="n"/>
      <c r="AN26" s="300" t="n"/>
      <c r="AO26" s="301" t="inlineStr"/>
      <c r="AP26" s="159" t="n"/>
      <c r="AQ26" s="300" t="n"/>
      <c r="AR26" s="155" t="inlineStr"/>
      <c r="AS26" s="159" t="n"/>
      <c r="AT26" s="302" t="n"/>
      <c r="AU26" s="303" t="n">
        <v>-27.3</v>
      </c>
      <c r="AV26" s="159" t="n"/>
      <c r="AW26" s="159" t="n"/>
      <c r="AX26" s="159" t="n"/>
      <c r="AY26" s="302" t="n"/>
      <c r="AZ26" s="304" t="n">
        <v>-46.7</v>
      </c>
      <c r="BA26" s="159" t="n"/>
      <c r="BB26" s="159" t="n"/>
      <c r="BC26" s="159" t="n"/>
      <c r="BD26" s="159" t="n"/>
    </row>
    <row r="27" ht="15" customHeight="1" s="292">
      <c r="B27" s="43" t="n"/>
      <c r="C27" s="69" t="inlineStr">
        <is>
          <t>KB스타뱅킹</t>
        </is>
      </c>
      <c r="D27" s="71" t="n"/>
      <c r="E27" s="71" t="n"/>
      <c r="F27" s="71" t="n"/>
      <c r="G27" s="71" t="n"/>
      <c r="H27" s="71" t="n"/>
      <c r="I27" s="71" t="n"/>
      <c r="J27" s="50" t="n"/>
      <c r="K27" s="305" t="n">
        <v>29.2</v>
      </c>
      <c r="M27" s="306" t="n"/>
      <c r="N27" s="305" t="n">
        <v>40.5</v>
      </c>
      <c r="P27" s="306" t="n"/>
      <c r="Q27" s="307" t="inlineStr"/>
      <c r="S27" s="306" t="n"/>
      <c r="T27" s="307" t="inlineStr"/>
      <c r="V27" s="306" t="n"/>
      <c r="W27" s="307" t="inlineStr"/>
      <c r="Y27" s="306" t="n"/>
      <c r="Z27" s="307" t="inlineStr"/>
      <c r="AB27" s="306" t="n"/>
      <c r="AC27" s="307" t="inlineStr"/>
      <c r="AE27" s="306" t="n"/>
      <c r="AF27" s="307" t="inlineStr"/>
      <c r="AH27" s="306" t="n"/>
      <c r="AI27" s="307" t="inlineStr"/>
      <c r="AK27" s="306" t="n"/>
      <c r="AL27" s="307" t="inlineStr"/>
      <c r="AN27" s="306" t="n"/>
      <c r="AO27" s="307" t="inlineStr"/>
      <c r="AQ27" s="306" t="n"/>
      <c r="AR27" s="171" t="inlineStr"/>
      <c r="AT27" s="308" t="n"/>
      <c r="AU27" s="309" t="n">
        <v>50.9</v>
      </c>
      <c r="AY27" s="308" t="n"/>
      <c r="AZ27" s="310" t="n">
        <v>21.7</v>
      </c>
    </row>
    <row r="28" ht="15" customHeight="1" s="292">
      <c r="B28" s="43" t="n"/>
      <c r="C28" s="69" t="inlineStr">
        <is>
          <t>영업점</t>
        </is>
      </c>
      <c r="D28" s="71" t="n"/>
      <c r="E28" s="71" t="n"/>
      <c r="F28" s="71" t="n"/>
      <c r="G28" s="71" t="n"/>
      <c r="H28" s="71" t="n"/>
      <c r="I28" s="71" t="n"/>
      <c r="J28" s="50" t="n"/>
      <c r="K28" s="305" t="n">
        <v>18.9</v>
      </c>
      <c r="M28" s="306" t="n"/>
      <c r="N28" s="305" t="n">
        <v>27</v>
      </c>
      <c r="P28" s="306" t="n"/>
      <c r="Q28" s="307" t="inlineStr"/>
      <c r="S28" s="306" t="n"/>
      <c r="T28" s="307" t="inlineStr"/>
      <c r="V28" s="306" t="n"/>
      <c r="W28" s="307" t="inlineStr"/>
      <c r="Y28" s="306" t="n"/>
      <c r="Z28" s="307" t="inlineStr"/>
      <c r="AB28" s="306" t="n"/>
      <c r="AC28" s="307" t="inlineStr"/>
      <c r="AE28" s="306" t="n"/>
      <c r="AF28" s="307" t="inlineStr"/>
      <c r="AH28" s="306" t="n"/>
      <c r="AI28" s="307" t="inlineStr"/>
      <c r="AK28" s="306" t="n"/>
      <c r="AL28" s="307" t="inlineStr"/>
      <c r="AN28" s="306" t="n"/>
      <c r="AO28" s="307" t="inlineStr"/>
      <c r="AQ28" s="306" t="n"/>
      <c r="AR28" s="171" t="inlineStr"/>
      <c r="AT28" s="308" t="n"/>
      <c r="AU28" s="309" t="n">
        <v>-37.9</v>
      </c>
      <c r="AY28" s="308" t="n"/>
      <c r="AZ28" s="310" t="n">
        <v>-56.8</v>
      </c>
    </row>
    <row r="29" ht="15" customHeight="1" s="292">
      <c r="C29" s="69" t="inlineStr">
        <is>
          <t>고객센터</t>
        </is>
      </c>
      <c r="D29" s="71" t="n"/>
      <c r="E29" s="71" t="n"/>
      <c r="F29" s="71" t="n"/>
      <c r="G29" s="71" t="n"/>
      <c r="H29" s="71" t="n"/>
      <c r="I29" s="71" t="n"/>
      <c r="J29" s="50" t="n"/>
      <c r="K29" s="305" t="n">
        <v>-3.7</v>
      </c>
      <c r="M29" s="306" t="n"/>
      <c r="N29" s="305" t="n">
        <v>5.7</v>
      </c>
      <c r="P29" s="306" t="n"/>
      <c r="Q29" s="307" t="inlineStr"/>
      <c r="S29" s="306" t="n"/>
      <c r="T29" s="307" t="inlineStr"/>
      <c r="V29" s="306" t="n"/>
      <c r="W29" s="307" t="inlineStr"/>
      <c r="Y29" s="306" t="n"/>
      <c r="Z29" s="307" t="inlineStr"/>
      <c r="AB29" s="306" t="n"/>
      <c r="AC29" s="307" t="inlineStr"/>
      <c r="AE29" s="306" t="n"/>
      <c r="AF29" s="307" t="inlineStr"/>
      <c r="AH29" s="306" t="n"/>
      <c r="AI29" s="307" t="inlineStr"/>
      <c r="AK29" s="306" t="n"/>
      <c r="AL29" s="307" t="inlineStr"/>
      <c r="AN29" s="306" t="n"/>
      <c r="AO29" s="307" t="inlineStr"/>
      <c r="AQ29" s="306" t="n"/>
      <c r="AR29" s="171" t="inlineStr"/>
      <c r="AT29" s="308" t="n"/>
      <c r="AU29" s="309" t="n">
        <v>92.7</v>
      </c>
      <c r="AY29" s="308" t="n"/>
      <c r="AZ29" s="310" t="n">
        <v>96.40000000000001</v>
      </c>
    </row>
    <row r="30" ht="15" customHeight="1" s="292">
      <c r="C30" s="27" t="inlineStr">
        <is>
          <t>상품</t>
        </is>
      </c>
      <c r="D30" s="11" t="n"/>
      <c r="E30" s="11" t="n"/>
      <c r="F30" s="11" t="n"/>
      <c r="G30" s="11" t="n"/>
      <c r="H30" s="11" t="n"/>
      <c r="I30" s="11" t="n"/>
      <c r="J30" s="51" t="n"/>
      <c r="K30" s="311" t="n">
        <v>24.1</v>
      </c>
      <c r="L30" s="163" t="n"/>
      <c r="M30" s="312" t="n"/>
      <c r="N30" s="311" t="n">
        <v>27.9</v>
      </c>
      <c r="O30" s="163" t="n"/>
      <c r="P30" s="312" t="n"/>
      <c r="Q30" s="313" t="inlineStr"/>
      <c r="R30" s="163" t="n"/>
      <c r="S30" s="312" t="n"/>
      <c r="T30" s="313" t="inlineStr"/>
      <c r="U30" s="163" t="n"/>
      <c r="V30" s="312" t="n"/>
      <c r="W30" s="313" t="inlineStr"/>
      <c r="X30" s="163" t="n"/>
      <c r="Y30" s="312" t="n"/>
      <c r="Z30" s="313" t="inlineStr"/>
      <c r="AA30" s="163" t="n"/>
      <c r="AB30" s="312" t="n"/>
      <c r="AC30" s="313" t="inlineStr"/>
      <c r="AD30" s="163" t="n"/>
      <c r="AE30" s="312" t="n"/>
      <c r="AF30" s="313" t="inlineStr"/>
      <c r="AG30" s="163" t="n"/>
      <c r="AH30" s="312" t="n"/>
      <c r="AI30" s="313" t="inlineStr"/>
      <c r="AJ30" s="163" t="n"/>
      <c r="AK30" s="312" t="n"/>
      <c r="AL30" s="313" t="inlineStr"/>
      <c r="AM30" s="163" t="n"/>
      <c r="AN30" s="312" t="n"/>
      <c r="AO30" s="313" t="inlineStr"/>
      <c r="AP30" s="163" t="n"/>
      <c r="AQ30" s="312" t="n"/>
      <c r="AR30" s="176" t="inlineStr"/>
      <c r="AS30" s="163" t="n"/>
      <c r="AT30" s="314" t="n"/>
      <c r="AU30" s="315" t="n">
        <v>22.1</v>
      </c>
      <c r="AV30" s="163" t="n"/>
      <c r="AW30" s="163" t="n"/>
      <c r="AX30" s="163" t="n"/>
      <c r="AY30" s="314" t="n"/>
      <c r="AZ30" s="316" t="n">
        <v>-2</v>
      </c>
      <c r="BA30" s="163" t="n"/>
      <c r="BB30" s="163" t="n"/>
      <c r="BC30" s="163" t="n"/>
      <c r="BD30" s="163" t="n"/>
    </row>
    <row r="31" ht="9.949999999999999" customHeight="1" s="292">
      <c r="B31" s="43" t="n"/>
      <c r="C31" s="164" t="n"/>
      <c r="D31" s="164" t="n"/>
      <c r="E31" s="164" t="n"/>
      <c r="F31" s="164" t="n"/>
      <c r="G31" s="164" t="n"/>
      <c r="H31" s="164" t="n"/>
      <c r="I31" s="164" t="n"/>
      <c r="J31" s="164" t="n"/>
      <c r="K31" s="164" t="n"/>
      <c r="L31" s="164" t="n"/>
      <c r="M31" s="43" t="n"/>
      <c r="N31" s="43" t="n"/>
    </row>
    <row r="32" ht="15" customHeight="1" s="292">
      <c r="B32" s="43" t="n"/>
      <c r="C32" s="117" t="inlineStr">
        <is>
          <t xml:space="preserve">  【고객불만지수(CCI)】 3월말 현재 종합 CCI는 16.6점이며, 2월 중 CCI 점수는 전월 대비 -2.9점 개선</t>
        </is>
      </c>
      <c r="D32" s="43" t="n"/>
      <c r="E32" s="43" t="n"/>
      <c r="F32" s="43" t="n"/>
      <c r="G32" s="43" t="n"/>
      <c r="H32" s="43" t="n"/>
      <c r="I32" s="43" t="n"/>
      <c r="J32" s="43" t="n"/>
      <c r="K32" s="43" t="n"/>
      <c r="L32" s="43" t="n"/>
      <c r="M32" s="43" t="n"/>
      <c r="N32" s="43" t="n"/>
    </row>
    <row r="33" ht="15" customHeight="1" s="292">
      <c r="B33" s="43" t="n"/>
      <c r="C33" s="37" t="inlineStr">
        <is>
          <t>구분</t>
        </is>
      </c>
      <c r="D33" s="35" t="n"/>
      <c r="E33" s="35" t="n"/>
      <c r="F33" s="35" t="n"/>
      <c r="G33" s="35" t="n"/>
      <c r="H33" s="35" t="n"/>
      <c r="I33" s="35" t="n"/>
      <c r="J33" s="60" t="n"/>
      <c r="K33" s="33" t="inlineStr">
        <is>
          <t>1월</t>
        </is>
      </c>
      <c r="L33" s="30" t="n"/>
      <c r="M33" s="32" t="n"/>
      <c r="N33" s="33" t="inlineStr">
        <is>
          <t>2월</t>
        </is>
      </c>
      <c r="O33" s="30" t="n"/>
      <c r="P33" s="32" t="n"/>
      <c r="Q33" s="33" t="inlineStr">
        <is>
          <t>3월</t>
        </is>
      </c>
      <c r="R33" s="30" t="n"/>
      <c r="S33" s="32" t="n"/>
      <c r="T33" s="33" t="inlineStr">
        <is>
          <t>4월</t>
        </is>
      </c>
      <c r="U33" s="30" t="n"/>
      <c r="V33" s="32" t="n"/>
      <c r="W33" s="33" t="inlineStr">
        <is>
          <t>5월</t>
        </is>
      </c>
      <c r="X33" s="30" t="n"/>
      <c r="Y33" s="32" t="n"/>
      <c r="Z33" s="33" t="inlineStr">
        <is>
          <t>6월</t>
        </is>
      </c>
      <c r="AA33" s="30" t="n"/>
      <c r="AB33" s="32" t="n"/>
      <c r="AC33" s="33" t="inlineStr">
        <is>
          <t>7월</t>
        </is>
      </c>
      <c r="AD33" s="30" t="n"/>
      <c r="AE33" s="32" t="n"/>
      <c r="AF33" s="33" t="inlineStr">
        <is>
          <t>8월</t>
        </is>
      </c>
      <c r="AG33" s="30" t="n"/>
      <c r="AH33" s="32" t="n"/>
      <c r="AI33" s="33" t="inlineStr">
        <is>
          <t>9월</t>
        </is>
      </c>
      <c r="AJ33" s="30" t="n"/>
      <c r="AK33" s="32" t="n"/>
      <c r="AL33" s="33" t="inlineStr">
        <is>
          <t>10월</t>
        </is>
      </c>
      <c r="AM33" s="30" t="n"/>
      <c r="AN33" s="32" t="n"/>
      <c r="AO33" s="33" t="inlineStr">
        <is>
          <t>11월</t>
        </is>
      </c>
      <c r="AP33" s="30" t="n"/>
      <c r="AQ33" s="32" t="n"/>
      <c r="AR33" s="67" t="inlineStr">
        <is>
          <t>12월</t>
        </is>
      </c>
      <c r="AS33" s="68" t="n"/>
      <c r="AT33" s="68" t="n"/>
      <c r="AU33" s="68" t="inlineStr">
        <is>
          <t>누적</t>
        </is>
      </c>
      <c r="AV33" s="68" t="n"/>
      <c r="AW33" s="68" t="n"/>
      <c r="AX33" s="68" t="n"/>
      <c r="AY33" s="68" t="n"/>
      <c r="AZ33" s="68" t="inlineStr">
        <is>
          <t>1월 대비</t>
        </is>
      </c>
      <c r="BA33" s="68" t="n"/>
      <c r="BB33" s="68" t="n"/>
      <c r="BC33" s="68" t="n"/>
      <c r="BD33" s="29" t="n"/>
    </row>
    <row r="34" ht="15" customHeight="1" s="292">
      <c r="B34" s="43" t="n"/>
      <c r="C34" s="16" t="inlineStr">
        <is>
          <t>종합CCI</t>
        </is>
      </c>
      <c r="D34" s="16" t="n"/>
      <c r="E34" s="16" t="n"/>
      <c r="F34" s="16" t="n"/>
      <c r="G34" s="16" t="n"/>
      <c r="H34" s="16" t="n"/>
      <c r="I34" s="16" t="n"/>
      <c r="J34" s="49" t="n"/>
      <c r="K34" s="299" t="n">
        <v>19.5</v>
      </c>
      <c r="L34" s="159" t="n"/>
      <c r="M34" s="300" t="n"/>
      <c r="N34" s="299" t="n">
        <v>16.6</v>
      </c>
      <c r="O34" s="159" t="n"/>
      <c r="P34" s="300" t="n"/>
      <c r="Q34" s="301" t="inlineStr"/>
      <c r="R34" s="159" t="n"/>
      <c r="S34" s="300" t="n"/>
      <c r="T34" s="301" t="inlineStr"/>
      <c r="U34" s="159" t="n"/>
      <c r="V34" s="300" t="n"/>
      <c r="W34" s="301" t="inlineStr"/>
      <c r="X34" s="159" t="n"/>
      <c r="Y34" s="300" t="n"/>
      <c r="Z34" s="301" t="inlineStr"/>
      <c r="AA34" s="159" t="n"/>
      <c r="AB34" s="300" t="n"/>
      <c r="AC34" s="301" t="inlineStr"/>
      <c r="AD34" s="159" t="n"/>
      <c r="AE34" s="300" t="n"/>
      <c r="AF34" s="301" t="inlineStr"/>
      <c r="AG34" s="159" t="n"/>
      <c r="AH34" s="300" t="n"/>
      <c r="AI34" s="301" t="inlineStr"/>
      <c r="AJ34" s="159" t="n"/>
      <c r="AK34" s="300" t="n"/>
      <c r="AL34" s="301" t="inlineStr"/>
      <c r="AM34" s="159" t="n"/>
      <c r="AN34" s="300" t="n"/>
      <c r="AO34" s="301" t="inlineStr"/>
      <c r="AP34" s="159" t="n"/>
      <c r="AQ34" s="300" t="n"/>
      <c r="AR34" s="155" t="inlineStr"/>
      <c r="AS34" s="159" t="n"/>
      <c r="AT34" s="302" t="n"/>
      <c r="AU34" s="303" t="n">
        <v>36</v>
      </c>
      <c r="AV34" s="159" t="n"/>
      <c r="AW34" s="159" t="n"/>
      <c r="AX34" s="159" t="n"/>
      <c r="AY34" s="302" t="n"/>
      <c r="AZ34" s="304" t="n">
        <v>16.5</v>
      </c>
      <c r="BA34" s="159" t="n"/>
      <c r="BB34" s="159" t="n"/>
      <c r="BC34" s="159" t="n"/>
      <c r="BD34" s="159" t="n"/>
    </row>
    <row r="35" ht="15" customHeight="1" s="292">
      <c r="B35" s="43" t="n"/>
      <c r="C35" s="69" t="inlineStr">
        <is>
          <t>KB스타뱅킹</t>
        </is>
      </c>
      <c r="D35" s="71" t="n"/>
      <c r="E35" s="71" t="n"/>
      <c r="F35" s="71" t="n"/>
      <c r="G35" s="71" t="n"/>
      <c r="H35" s="71" t="n"/>
      <c r="I35" s="71" t="n"/>
      <c r="J35" s="50" t="n"/>
      <c r="K35" s="305" t="n">
        <v>16.6</v>
      </c>
      <c r="M35" s="306" t="n"/>
      <c r="N35" s="305" t="n">
        <v>4.2</v>
      </c>
      <c r="P35" s="306" t="n"/>
      <c r="Q35" s="307" t="inlineStr"/>
      <c r="S35" s="306" t="n"/>
      <c r="T35" s="307" t="inlineStr"/>
      <c r="V35" s="306" t="n"/>
      <c r="W35" s="307" t="inlineStr"/>
      <c r="Y35" s="306" t="n"/>
      <c r="Z35" s="307" t="inlineStr"/>
      <c r="AB35" s="306" t="n"/>
      <c r="AC35" s="307" t="inlineStr"/>
      <c r="AE35" s="306" t="n"/>
      <c r="AF35" s="307" t="inlineStr"/>
      <c r="AH35" s="306" t="n"/>
      <c r="AI35" s="307" t="inlineStr"/>
      <c r="AK35" s="306" t="n"/>
      <c r="AL35" s="307" t="inlineStr"/>
      <c r="AN35" s="306" t="n"/>
      <c r="AO35" s="307" t="inlineStr"/>
      <c r="AQ35" s="306" t="n"/>
      <c r="AR35" s="171" t="inlineStr"/>
      <c r="AT35" s="308" t="n"/>
      <c r="AU35" s="309" t="n">
        <v>-7.3</v>
      </c>
      <c r="AY35" s="308" t="n"/>
      <c r="AZ35" s="310" t="n">
        <v>-23.9</v>
      </c>
    </row>
    <row r="36" ht="15" customHeight="1" s="292">
      <c r="B36" s="43" t="n"/>
      <c r="C36" s="69" t="inlineStr">
        <is>
          <t>영업점</t>
        </is>
      </c>
      <c r="D36" s="71" t="n"/>
      <c r="E36" s="71" t="n"/>
      <c r="F36" s="71" t="n"/>
      <c r="G36" s="71" t="n"/>
      <c r="H36" s="71" t="n"/>
      <c r="I36" s="71" t="n"/>
      <c r="J36" s="50" t="n"/>
      <c r="K36" s="305" t="n">
        <v>23.7</v>
      </c>
      <c r="M36" s="306" t="n"/>
      <c r="N36" s="305" t="n">
        <v>19.9</v>
      </c>
      <c r="P36" s="306" t="n"/>
      <c r="Q36" s="307" t="inlineStr"/>
      <c r="S36" s="306" t="n"/>
      <c r="T36" s="307" t="inlineStr"/>
      <c r="V36" s="306" t="n"/>
      <c r="W36" s="307" t="inlineStr"/>
      <c r="Y36" s="306" t="n"/>
      <c r="Z36" s="307" t="inlineStr"/>
      <c r="AB36" s="306" t="n"/>
      <c r="AC36" s="307" t="inlineStr"/>
      <c r="AE36" s="306" t="n"/>
      <c r="AF36" s="307" t="inlineStr"/>
      <c r="AH36" s="306" t="n"/>
      <c r="AI36" s="307" t="inlineStr"/>
      <c r="AK36" s="306" t="n"/>
      <c r="AL36" s="307" t="inlineStr"/>
      <c r="AN36" s="306" t="n"/>
      <c r="AO36" s="307" t="inlineStr"/>
      <c r="AQ36" s="306" t="n"/>
      <c r="AR36" s="171" t="inlineStr"/>
      <c r="AT36" s="308" t="n"/>
      <c r="AU36" s="309" t="n">
        <v>50.5</v>
      </c>
      <c r="AY36" s="308" t="n"/>
      <c r="AZ36" s="310" t="n">
        <v>26.8</v>
      </c>
    </row>
    <row r="37" ht="15" customHeight="1" s="292">
      <c r="B37" s="43" t="n"/>
      <c r="C37" s="69" t="inlineStr">
        <is>
          <t>고객센터</t>
        </is>
      </c>
      <c r="D37" s="71" t="n"/>
      <c r="E37" s="71" t="n"/>
      <c r="F37" s="71" t="n"/>
      <c r="G37" s="71" t="n"/>
      <c r="H37" s="71" t="n"/>
      <c r="I37" s="71" t="n"/>
      <c r="J37" s="50" t="n"/>
      <c r="K37" s="305" t="n">
        <v>40</v>
      </c>
      <c r="M37" s="306" t="n"/>
      <c r="N37" s="305" t="n">
        <v>32.3</v>
      </c>
      <c r="P37" s="306" t="n"/>
      <c r="Q37" s="307" t="inlineStr"/>
      <c r="S37" s="306" t="n"/>
      <c r="T37" s="307" t="inlineStr"/>
      <c r="V37" s="306" t="n"/>
      <c r="W37" s="307" t="inlineStr"/>
      <c r="Y37" s="306" t="n"/>
      <c r="Z37" s="307" t="inlineStr"/>
      <c r="AB37" s="306" t="n"/>
      <c r="AC37" s="307" t="inlineStr"/>
      <c r="AE37" s="306" t="n"/>
      <c r="AF37" s="307" t="inlineStr"/>
      <c r="AH37" s="306" t="n"/>
      <c r="AI37" s="307" t="inlineStr"/>
      <c r="AK37" s="306" t="n"/>
      <c r="AL37" s="307" t="inlineStr"/>
      <c r="AN37" s="306" t="n"/>
      <c r="AO37" s="307" t="inlineStr"/>
      <c r="AQ37" s="306" t="n"/>
      <c r="AR37" s="171" t="inlineStr"/>
      <c r="AT37" s="308" t="n"/>
      <c r="AU37" s="309" t="n">
        <v>-39</v>
      </c>
      <c r="AY37" s="308" t="n"/>
      <c r="AZ37" s="310" t="n">
        <v>-79</v>
      </c>
    </row>
    <row r="38" ht="15" customHeight="1" s="292">
      <c r="B38" s="4" t="n"/>
      <c r="C38" s="27" t="inlineStr">
        <is>
          <t>상품</t>
        </is>
      </c>
      <c r="D38" s="11" t="n"/>
      <c r="E38" s="11" t="n"/>
      <c r="F38" s="11" t="n"/>
      <c r="G38" s="11" t="n"/>
      <c r="H38" s="11" t="n"/>
      <c r="I38" s="11" t="n"/>
      <c r="J38" s="51" t="n"/>
      <c r="K38" s="311" t="n">
        <v>4.3</v>
      </c>
      <c r="L38" s="163" t="n"/>
      <c r="M38" s="312" t="n"/>
      <c r="N38" s="311" t="n">
        <v>4.2</v>
      </c>
      <c r="O38" s="163" t="n"/>
      <c r="P38" s="312" t="n"/>
      <c r="Q38" s="313" t="inlineStr"/>
      <c r="R38" s="163" t="n"/>
      <c r="S38" s="312" t="n"/>
      <c r="T38" s="313" t="inlineStr"/>
      <c r="U38" s="163" t="n"/>
      <c r="V38" s="312" t="n"/>
      <c r="W38" s="313" t="inlineStr"/>
      <c r="X38" s="163" t="n"/>
      <c r="Y38" s="312" t="n"/>
      <c r="Z38" s="313" t="inlineStr"/>
      <c r="AA38" s="163" t="n"/>
      <c r="AB38" s="312" t="n"/>
      <c r="AC38" s="313" t="inlineStr"/>
      <c r="AD38" s="163" t="n"/>
      <c r="AE38" s="312" t="n"/>
      <c r="AF38" s="313" t="inlineStr"/>
      <c r="AG38" s="163" t="n"/>
      <c r="AH38" s="312" t="n"/>
      <c r="AI38" s="313" t="inlineStr"/>
      <c r="AJ38" s="163" t="n"/>
      <c r="AK38" s="312" t="n"/>
      <c r="AL38" s="313" t="inlineStr"/>
      <c r="AM38" s="163" t="n"/>
      <c r="AN38" s="312" t="n"/>
      <c r="AO38" s="313" t="inlineStr"/>
      <c r="AP38" s="163" t="n"/>
      <c r="AQ38" s="312" t="n"/>
      <c r="AR38" s="176" t="inlineStr"/>
      <c r="AS38" s="163" t="n"/>
      <c r="AT38" s="314" t="n"/>
      <c r="AU38" s="315" t="n">
        <v>4.3</v>
      </c>
      <c r="AV38" s="163" t="n"/>
      <c r="AW38" s="163" t="n"/>
      <c r="AX38" s="163" t="n"/>
      <c r="AY38" s="314" t="n"/>
      <c r="AZ38" s="316" t="n">
        <v>0</v>
      </c>
      <c r="BA38" s="163" t="n"/>
      <c r="BB38" s="163" t="n"/>
      <c r="BC38" s="163" t="n"/>
      <c r="BD38" s="163" t="n"/>
    </row>
    <row r="39" ht="9.949999999999999" customHeight="1" s="292">
      <c r="B39" s="43" t="n"/>
      <c r="C39" s="164" t="n"/>
      <c r="D39" s="164" t="n"/>
      <c r="E39" s="164" t="n"/>
      <c r="F39" s="164" t="n"/>
      <c r="G39" s="164" t="n"/>
      <c r="H39" s="164" t="n"/>
      <c r="I39" s="164" t="n"/>
      <c r="J39" s="164" t="n"/>
      <c r="K39" s="164" t="n"/>
      <c r="L39" s="164" t="n"/>
      <c r="M39" s="43" t="n"/>
      <c r="N39" s="43" t="n"/>
    </row>
    <row r="40" ht="15" customHeight="1" s="292">
      <c r="B40" s="2" t="inlineStr">
        <is>
          <t>4. 고객경험 관리 활동 현황</t>
        </is>
      </c>
      <c r="C40" s="45" t="n"/>
      <c r="D40" s="45" t="n"/>
      <c r="E40" s="45" t="n"/>
      <c r="F40" s="45" t="n"/>
      <c r="G40" s="45" t="n"/>
      <c r="H40" s="45" t="n"/>
      <c r="I40" s="45" t="n"/>
      <c r="J40" s="45" t="n"/>
      <c r="K40" s="45" t="n"/>
      <c r="L40" s="45" t="n"/>
      <c r="M40" s="46" t="n"/>
      <c r="N40" s="44" t="n"/>
      <c r="O40" s="45" t="n"/>
      <c r="P40" s="45" t="n"/>
      <c r="Q40" s="45" t="n"/>
      <c r="R40" s="45" t="n"/>
      <c r="S40" s="45" t="n"/>
      <c r="T40" s="45" t="n"/>
      <c r="U40" s="45" t="n"/>
      <c r="V40" s="45" t="n"/>
      <c r="W40" s="45" t="n"/>
      <c r="X40" s="45" t="n"/>
      <c r="Y40" s="46" t="n"/>
      <c r="Z40" s="44" t="n"/>
      <c r="AA40" s="45" t="n"/>
      <c r="AB40" s="45" t="n"/>
      <c r="AC40" s="45" t="n"/>
      <c r="AD40" s="45" t="n"/>
      <c r="AE40" s="45" t="n"/>
      <c r="AF40" s="45" t="n"/>
      <c r="AG40" s="45" t="n"/>
      <c r="AH40" s="45" t="n"/>
      <c r="AI40" s="45" t="n"/>
      <c r="AJ40" s="45" t="n"/>
      <c r="AK40" s="46" t="n"/>
      <c r="AL40" s="44" t="n"/>
      <c r="AM40" s="45" t="n"/>
      <c r="AN40" s="45" t="n"/>
      <c r="AO40" s="45" t="n"/>
      <c r="AP40" s="45" t="n"/>
      <c r="AQ40" s="45" t="n"/>
      <c r="AR40" s="45" t="n"/>
      <c r="AS40" s="45" t="n"/>
      <c r="AT40" s="45" t="n"/>
      <c r="AU40" s="45" t="n"/>
      <c r="AV40" s="45" t="n"/>
      <c r="AW40" s="46" t="n"/>
      <c r="AX40" s="44" t="n"/>
      <c r="AY40" s="45" t="n"/>
      <c r="AZ40" s="45" t="n"/>
      <c r="BA40" s="45" t="n"/>
      <c r="BB40" s="45" t="n"/>
      <c r="BC40" s="45" t="n"/>
      <c r="BD40" s="45" t="n"/>
    </row>
    <row r="41" ht="15" customHeight="1" s="292">
      <c r="B41" s="6" t="n"/>
      <c r="C41" s="25" t="inlineStr">
        <is>
          <t>- 전체 검토율 87.8%이며 고객센터 개선예정 95.6%로 우수하나 상품은 개선예정 0%로 개선 확대 필요</t>
        </is>
      </c>
      <c r="D41" s="43" t="n"/>
      <c r="F41" s="43" t="n"/>
      <c r="G41" s="43" t="n"/>
      <c r="H41" s="43" t="n"/>
      <c r="I41" s="43" t="n"/>
      <c r="J41" s="43" t="n"/>
      <c r="K41" s="43" t="n"/>
      <c r="L41" s="43" t="n"/>
      <c r="M41" s="43" t="n"/>
      <c r="N41" s="43" t="n"/>
    </row>
    <row r="42" ht="15" customHeight="1" s="292">
      <c r="B42" s="9" t="n"/>
      <c r="C42" s="117" t="n"/>
      <c r="D42" s="117" t="n"/>
      <c r="F42" s="43" t="n"/>
      <c r="G42" s="43" t="n"/>
      <c r="H42" s="43" t="n"/>
      <c r="I42" s="43" t="n"/>
      <c r="J42" s="43" t="n"/>
      <c r="K42" s="43" t="n"/>
      <c r="L42" s="43" t="n"/>
      <c r="M42" s="43" t="n"/>
      <c r="N42" s="43" t="n"/>
    </row>
    <row r="43" ht="15" customHeight="1" s="292">
      <c r="B43" s="43" t="n"/>
      <c r="C43" s="38" t="inlineStr">
        <is>
          <t>구분</t>
        </is>
      </c>
      <c r="D43" s="38" t="n"/>
      <c r="E43" s="38" t="n"/>
      <c r="F43" s="38" t="n"/>
      <c r="G43" s="38" t="n"/>
      <c r="H43" s="38" t="n"/>
      <c r="I43" s="38" t="n"/>
      <c r="J43" s="38" t="n"/>
      <c r="K43" s="52" t="n"/>
      <c r="L43" s="53" t="inlineStr">
        <is>
          <t>배분건수</t>
        </is>
      </c>
      <c r="M43" s="37" t="n"/>
      <c r="N43" s="37" t="n"/>
      <c r="O43" s="37" t="n"/>
      <c r="P43" s="55" t="n"/>
      <c r="Q43" s="53" t="inlineStr">
        <is>
          <t>건수</t>
        </is>
      </c>
      <c r="R43" s="37" t="n"/>
      <c r="S43" s="37" t="n"/>
      <c r="T43" s="37" t="n"/>
      <c r="U43" s="37" t="n"/>
      <c r="V43" s="37" t="n"/>
      <c r="W43" s="37" t="n"/>
      <c r="X43" s="37" t="n"/>
      <c r="Y43" s="37" t="n"/>
      <c r="Z43" s="37" t="n"/>
      <c r="AA43" s="37" t="n"/>
      <c r="AB43" s="37" t="n"/>
      <c r="AC43" s="37" t="n"/>
      <c r="AD43" s="37" t="n"/>
      <c r="AE43" s="37" t="n"/>
      <c r="AF43" s="37" t="n"/>
      <c r="AG43" s="37" t="n"/>
      <c r="AH43" s="37" t="n"/>
      <c r="AI43" s="37" t="n"/>
      <c r="AJ43" s="55" t="n"/>
      <c r="AK43" s="53" t="inlineStr">
        <is>
          <t>비율(%)</t>
        </is>
      </c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  <c r="BA43" s="37" t="n"/>
      <c r="BB43" s="37" t="n"/>
      <c r="BC43" s="37" t="n"/>
      <c r="BD43" s="37" t="n"/>
    </row>
    <row r="44" ht="15" customHeight="1" s="292">
      <c r="B44" s="43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2" t="n"/>
      <c r="L44" s="54" t="n"/>
      <c r="M44" s="36" t="n"/>
      <c r="N44" s="36" t="n"/>
      <c r="O44" s="36" t="n"/>
      <c r="P44" s="56" t="n"/>
      <c r="Q44" s="57" t="inlineStr">
        <is>
          <t>검토</t>
        </is>
      </c>
      <c r="R44" s="58" t="n"/>
      <c r="S44" s="58" t="n"/>
      <c r="T44" s="58" t="n"/>
      <c r="U44" s="59" t="n"/>
      <c r="V44" s="57" t="inlineStr">
        <is>
          <t>현행유지</t>
        </is>
      </c>
      <c r="W44" s="58" t="n"/>
      <c r="X44" s="58" t="n"/>
      <c r="Y44" s="58" t="n"/>
      <c r="Z44" s="59" t="n"/>
      <c r="AA44" s="57" t="inlineStr">
        <is>
          <t>개선불가</t>
        </is>
      </c>
      <c r="AB44" s="58" t="n"/>
      <c r="AC44" s="58" t="n"/>
      <c r="AD44" s="58" t="n"/>
      <c r="AE44" s="59" t="n"/>
      <c r="AF44" s="57" t="inlineStr">
        <is>
          <t>개선예정</t>
        </is>
      </c>
      <c r="AG44" s="58" t="n"/>
      <c r="AH44" s="58" t="n"/>
      <c r="AI44" s="58" t="n"/>
      <c r="AJ44" s="59" t="n"/>
      <c r="AK44" s="57" t="inlineStr">
        <is>
          <t>검토</t>
        </is>
      </c>
      <c r="AL44" s="58" t="n"/>
      <c r="AM44" s="58" t="n"/>
      <c r="AN44" s="58" t="n"/>
      <c r="AO44" s="59" t="n"/>
      <c r="AP44" s="57" t="inlineStr">
        <is>
          <t>현행유지</t>
        </is>
      </c>
      <c r="AQ44" s="58" t="n"/>
      <c r="AR44" s="58" t="n"/>
      <c r="AS44" s="58" t="n"/>
      <c r="AT44" s="59" t="n"/>
      <c r="AU44" s="57" t="inlineStr">
        <is>
          <t>개선불가</t>
        </is>
      </c>
      <c r="AV44" s="58" t="n"/>
      <c r="AW44" s="58" t="n"/>
      <c r="AX44" s="58" t="n"/>
      <c r="AY44" s="59" t="n"/>
      <c r="AZ44" s="57" t="inlineStr">
        <is>
          <t>개선예정</t>
        </is>
      </c>
      <c r="BA44" s="58" t="n"/>
      <c r="BB44" s="58" t="n"/>
      <c r="BC44" s="58" t="n"/>
      <c r="BD44" s="58" t="n"/>
    </row>
    <row r="45" ht="15" customHeight="1" s="292">
      <c r="B45" s="43" t="n"/>
      <c r="C45" s="16" t="inlineStr">
        <is>
          <t>종합</t>
        </is>
      </c>
      <c r="D45" s="16" t="n"/>
      <c r="E45" s="16" t="n"/>
      <c r="F45" s="16" t="n"/>
      <c r="G45" s="16" t="n"/>
      <c r="H45" s="16" t="n"/>
      <c r="I45" s="16" t="n"/>
      <c r="J45" s="16" t="n"/>
      <c r="K45" s="49" t="n"/>
      <c r="L45" s="317" t="n">
        <v>500</v>
      </c>
      <c r="M45" s="159" t="n"/>
      <c r="N45" s="159" t="n"/>
      <c r="O45" s="159" t="n"/>
      <c r="P45" s="159" t="n"/>
      <c r="Q45" s="317" t="n">
        <v>439</v>
      </c>
      <c r="R45" s="159" t="n"/>
      <c r="S45" s="159" t="n"/>
      <c r="T45" s="159" t="n"/>
      <c r="U45" s="159" t="n"/>
      <c r="V45" s="317" t="n">
        <v>178</v>
      </c>
      <c r="W45" s="159" t="n"/>
      <c r="X45" s="159" t="n"/>
      <c r="Y45" s="159" t="n"/>
      <c r="Z45" s="159" t="n"/>
      <c r="AA45" s="317" t="n">
        <v>6</v>
      </c>
      <c r="AB45" s="159" t="n"/>
      <c r="AC45" s="159" t="n"/>
      <c r="AD45" s="159" t="n"/>
      <c r="AE45" s="159" t="n"/>
      <c r="AF45" s="317" t="n">
        <v>255</v>
      </c>
      <c r="AG45" s="159" t="n"/>
      <c r="AH45" s="159" t="n"/>
      <c r="AI45" s="159" t="n"/>
      <c r="AJ45" s="159" t="n"/>
      <c r="AK45" s="304" t="n">
        <v>87.8</v>
      </c>
      <c r="AL45" s="159" t="n"/>
      <c r="AM45" s="159" t="n"/>
      <c r="AN45" s="159" t="n"/>
      <c r="AO45" s="159" t="n"/>
      <c r="AP45" s="304" t="n">
        <v>40.5</v>
      </c>
      <c r="AQ45" s="159" t="n"/>
      <c r="AR45" s="159" t="n"/>
      <c r="AS45" s="159" t="n"/>
      <c r="AT45" s="159" t="n"/>
      <c r="AU45" s="304" t="n">
        <v>1.4</v>
      </c>
      <c r="AV45" s="159" t="n"/>
      <c r="AW45" s="159" t="n"/>
      <c r="AX45" s="159" t="n"/>
      <c r="AY45" s="159" t="n"/>
      <c r="AZ45" s="304" t="n">
        <v>58.1</v>
      </c>
      <c r="BA45" s="159" t="n"/>
      <c r="BB45" s="159" t="n"/>
      <c r="BC45" s="159" t="n"/>
      <c r="BD45" s="159" t="n"/>
    </row>
    <row r="46" ht="15" customHeight="1" s="292">
      <c r="C46" s="69" t="inlineStr">
        <is>
          <t>KB스타뱅킹</t>
        </is>
      </c>
      <c r="D46" s="71" t="n"/>
      <c r="E46" s="70" t="n"/>
      <c r="F46" s="71" t="n"/>
      <c r="G46" s="71" t="n"/>
      <c r="H46" s="71" t="n"/>
      <c r="I46" s="71" t="n"/>
      <c r="J46" s="71" t="n"/>
      <c r="K46" s="50" t="n"/>
      <c r="L46" s="318" t="n">
        <v>43</v>
      </c>
      <c r="Q46" s="318" t="n">
        <v>34</v>
      </c>
      <c r="V46" s="318" t="n">
        <v>18</v>
      </c>
      <c r="AA46" s="318" t="n">
        <v>0</v>
      </c>
      <c r="AF46" s="318" t="n">
        <v>16</v>
      </c>
      <c r="AK46" s="310" t="n">
        <v>79.09999999999999</v>
      </c>
      <c r="AP46" s="310" t="n">
        <v>52.9</v>
      </c>
      <c r="AU46" s="310" t="n">
        <v>0</v>
      </c>
      <c r="AZ46" s="310" t="n">
        <v>47.1</v>
      </c>
    </row>
    <row r="47" ht="15" customHeight="1" s="292">
      <c r="C47" s="69" t="inlineStr">
        <is>
          <t>영업점</t>
        </is>
      </c>
      <c r="D47" s="71" t="n"/>
      <c r="E47" s="70" t="n"/>
      <c r="F47" s="71" t="n"/>
      <c r="G47" s="71" t="n"/>
      <c r="H47" s="71" t="n"/>
      <c r="I47" s="71" t="n"/>
      <c r="J47" s="71" t="n"/>
      <c r="K47" s="50" t="n"/>
      <c r="L47" s="318" t="n">
        <v>140</v>
      </c>
      <c r="Q47" s="318" t="n">
        <v>117</v>
      </c>
      <c r="V47" s="318" t="n">
        <v>47</v>
      </c>
      <c r="AA47" s="318" t="n">
        <v>4</v>
      </c>
      <c r="AF47" s="318" t="n">
        <v>66</v>
      </c>
      <c r="AK47" s="310" t="n">
        <v>83.59999999999999</v>
      </c>
      <c r="AP47" s="310" t="n">
        <v>40.2</v>
      </c>
      <c r="AU47" s="310" t="n">
        <v>3.4</v>
      </c>
      <c r="AZ47" s="310" t="n">
        <v>56.4</v>
      </c>
    </row>
    <row r="48" ht="15" customHeight="1" s="292">
      <c r="C48" s="69" t="inlineStr">
        <is>
          <t>고객센터</t>
        </is>
      </c>
      <c r="D48" s="71" t="n"/>
      <c r="E48" s="70" t="n"/>
      <c r="F48" s="71" t="n"/>
      <c r="G48" s="71" t="n"/>
      <c r="H48" s="71" t="n"/>
      <c r="I48" s="71" t="n"/>
      <c r="J48" s="71" t="n"/>
      <c r="K48" s="50" t="n"/>
      <c r="L48" s="318" t="n">
        <v>207</v>
      </c>
      <c r="Q48" s="318" t="n">
        <v>181</v>
      </c>
      <c r="V48" s="318" t="n">
        <v>8</v>
      </c>
      <c r="AA48" s="318" t="n">
        <v>0</v>
      </c>
      <c r="AF48" s="318" t="n">
        <v>173</v>
      </c>
      <c r="AK48" s="310" t="n">
        <v>87.40000000000001</v>
      </c>
      <c r="AP48" s="310" t="n">
        <v>4.4</v>
      </c>
      <c r="AU48" s="310" t="n">
        <v>0</v>
      </c>
      <c r="AZ48" s="310" t="n">
        <v>95.59999999999999</v>
      </c>
    </row>
    <row r="49" ht="15" customHeight="1" s="292">
      <c r="B49" s="43" t="n"/>
      <c r="C49" s="27" t="inlineStr">
        <is>
          <t>상품</t>
        </is>
      </c>
      <c r="D49" s="11" t="n"/>
      <c r="E49" s="72" t="n"/>
      <c r="F49" s="11" t="n"/>
      <c r="G49" s="11" t="n"/>
      <c r="H49" s="11" t="n"/>
      <c r="I49" s="11" t="n"/>
      <c r="J49" s="11" t="n"/>
      <c r="K49" s="51" t="n"/>
      <c r="L49" s="319" t="n">
        <v>110</v>
      </c>
      <c r="M49" s="163" t="n"/>
      <c r="N49" s="163" t="n"/>
      <c r="O49" s="163" t="n"/>
      <c r="P49" s="163" t="n"/>
      <c r="Q49" s="319" t="n">
        <v>107</v>
      </c>
      <c r="R49" s="163" t="n"/>
      <c r="S49" s="163" t="n"/>
      <c r="T49" s="163" t="n"/>
      <c r="U49" s="163" t="n"/>
      <c r="V49" s="319" t="n">
        <v>105</v>
      </c>
      <c r="W49" s="163" t="n"/>
      <c r="X49" s="163" t="n"/>
      <c r="Y49" s="163" t="n"/>
      <c r="Z49" s="163" t="n"/>
      <c r="AA49" s="319" t="n">
        <v>2</v>
      </c>
      <c r="AB49" s="163" t="n"/>
      <c r="AC49" s="163" t="n"/>
      <c r="AD49" s="163" t="n"/>
      <c r="AE49" s="163" t="n"/>
      <c r="AF49" s="319" t="n">
        <v>0</v>
      </c>
      <c r="AG49" s="163" t="n"/>
      <c r="AH49" s="163" t="n"/>
      <c r="AI49" s="163" t="n"/>
      <c r="AJ49" s="163" t="n"/>
      <c r="AK49" s="316" t="n">
        <v>97.3</v>
      </c>
      <c r="AL49" s="163" t="n"/>
      <c r="AM49" s="163" t="n"/>
      <c r="AN49" s="163" t="n"/>
      <c r="AO49" s="163" t="n"/>
      <c r="AP49" s="316" t="n">
        <v>98.09999999999999</v>
      </c>
      <c r="AQ49" s="163" t="n"/>
      <c r="AR49" s="163" t="n"/>
      <c r="AS49" s="163" t="n"/>
      <c r="AT49" s="163" t="n"/>
      <c r="AU49" s="316" t="n">
        <v>1.9</v>
      </c>
      <c r="AV49" s="163" t="n"/>
      <c r="AW49" s="163" t="n"/>
      <c r="AX49" s="163" t="n"/>
      <c r="AY49" s="163" t="n"/>
      <c r="AZ49" s="316" t="n">
        <v>0</v>
      </c>
      <c r="BA49" s="163" t="n"/>
      <c r="BB49" s="163" t="n"/>
      <c r="BC49" s="163" t="n"/>
      <c r="BD49" s="163" t="n"/>
    </row>
    <row r="50" ht="15" customHeight="1" s="292">
      <c r="B50" s="43" t="n"/>
      <c r="C50" s="5" t="n"/>
      <c r="D50" s="5" t="n"/>
      <c r="E50" s="164" t="n"/>
      <c r="F50" s="164" t="n"/>
      <c r="G50" s="164" t="n"/>
      <c r="H50" s="164" t="n"/>
      <c r="I50" s="164" t="n"/>
      <c r="J50" s="164" t="n"/>
      <c r="K50" s="164" t="n"/>
      <c r="L50" s="164" t="n"/>
      <c r="M50" s="43" t="n"/>
      <c r="N50" s="43" t="n"/>
    </row>
  </sheetData>
  <mergeCells count="260">
    <mergeCell ref="Q29:S29"/>
    <mergeCell ref="Z18:AB18"/>
    <mergeCell ref="AR19:AT19"/>
    <mergeCell ref="N17:P17"/>
    <mergeCell ref="AZ37:BD37"/>
    <mergeCell ref="AU20:AY20"/>
    <mergeCell ref="AL18:AN18"/>
    <mergeCell ref="AC38:AE38"/>
    <mergeCell ref="Z17:AB17"/>
    <mergeCell ref="V48:Z48"/>
    <mergeCell ref="AF30:AH30"/>
    <mergeCell ref="AO29:AQ29"/>
    <mergeCell ref="AK47:AO47"/>
    <mergeCell ref="AO38:AQ38"/>
    <mergeCell ref="AA48:AE48"/>
    <mergeCell ref="N19:P19"/>
    <mergeCell ref="AF20:AH20"/>
    <mergeCell ref="N28:P28"/>
    <mergeCell ref="K27:M27"/>
    <mergeCell ref="AU30:AY30"/>
    <mergeCell ref="C10:M10"/>
    <mergeCell ref="W18:Y18"/>
    <mergeCell ref="AZ49:BD49"/>
    <mergeCell ref="AF17:AH17"/>
    <mergeCell ref="K17:M17"/>
    <mergeCell ref="Z20:AB20"/>
    <mergeCell ref="Y10:AI10"/>
    <mergeCell ref="N30:P30"/>
    <mergeCell ref="AR29:AT29"/>
    <mergeCell ref="AR17:AT17"/>
    <mergeCell ref="T34:V34"/>
    <mergeCell ref="AO21:AQ21"/>
    <mergeCell ref="AL20:AN20"/>
    <mergeCell ref="T28:V28"/>
    <mergeCell ref="AL29:AN29"/>
    <mergeCell ref="AU10:BD10"/>
    <mergeCell ref="T37:V37"/>
    <mergeCell ref="AF19:AH19"/>
    <mergeCell ref="AC30:AE30"/>
    <mergeCell ref="AF28:AH28"/>
    <mergeCell ref="AA46:AE46"/>
    <mergeCell ref="AZ35:BD35"/>
    <mergeCell ref="AI17:AK17"/>
    <mergeCell ref="K34:M34"/>
    <mergeCell ref="T30:V30"/>
    <mergeCell ref="AP45:AT45"/>
    <mergeCell ref="W34:Y34"/>
    <mergeCell ref="T20:V20"/>
    <mergeCell ref="AU47:AY47"/>
    <mergeCell ref="T29:V29"/>
    <mergeCell ref="AI19:AK19"/>
    <mergeCell ref="AI34:AK34"/>
    <mergeCell ref="K36:M36"/>
    <mergeCell ref="AI28:AK28"/>
    <mergeCell ref="L46:P46"/>
    <mergeCell ref="AC18:AE18"/>
    <mergeCell ref="AK49:AO49"/>
    <mergeCell ref="W36:Y36"/>
    <mergeCell ref="Z26:AB26"/>
    <mergeCell ref="V46:Z46"/>
    <mergeCell ref="W30:Y30"/>
    <mergeCell ref="K20:M20"/>
    <mergeCell ref="AF46:AJ46"/>
    <mergeCell ref="AU18:AY18"/>
    <mergeCell ref="K29:M29"/>
    <mergeCell ref="AR37:AT37"/>
    <mergeCell ref="AI30:AK30"/>
    <mergeCell ref="W20:Y20"/>
    <mergeCell ref="AO19:AQ19"/>
    <mergeCell ref="L48:P48"/>
    <mergeCell ref="AP47:AT47"/>
    <mergeCell ref="AU17:AY17"/>
    <mergeCell ref="Q19:S19"/>
    <mergeCell ref="AF48:AJ48"/>
    <mergeCell ref="N18:P18"/>
    <mergeCell ref="T26:V26"/>
    <mergeCell ref="AO30:AQ30"/>
    <mergeCell ref="AC20:AE20"/>
    <mergeCell ref="AU19:AY19"/>
    <mergeCell ref="L47:P47"/>
    <mergeCell ref="AC29:AE29"/>
    <mergeCell ref="AU28:AY28"/>
    <mergeCell ref="AR34:AT34"/>
    <mergeCell ref="AO20:AQ20"/>
    <mergeCell ref="W21:Y21"/>
    <mergeCell ref="AI37:AK37"/>
    <mergeCell ref="AA49:AE49"/>
    <mergeCell ref="T17:V17"/>
    <mergeCell ref="Z35:AB35"/>
    <mergeCell ref="AR36:AT36"/>
    <mergeCell ref="AL17:AN17"/>
    <mergeCell ref="N34:P34"/>
    <mergeCell ref="AA45:AE45"/>
    <mergeCell ref="AI21:AK21"/>
    <mergeCell ref="AJ10:AT10"/>
    <mergeCell ref="AL35:AN35"/>
    <mergeCell ref="AZ26:BD26"/>
    <mergeCell ref="AU45:AY45"/>
    <mergeCell ref="AC21:AE21"/>
    <mergeCell ref="Z34:AB34"/>
    <mergeCell ref="Z19:AB19"/>
    <mergeCell ref="AR20:AT20"/>
    <mergeCell ref="W38:Y38"/>
    <mergeCell ref="Z28:AB28"/>
    <mergeCell ref="T19:V19"/>
    <mergeCell ref="AL19:AN19"/>
    <mergeCell ref="N36:P36"/>
    <mergeCell ref="V49:Z49"/>
    <mergeCell ref="AF18:AH18"/>
    <mergeCell ref="K18:M18"/>
    <mergeCell ref="Q46:U46"/>
    <mergeCell ref="Z36:AB36"/>
    <mergeCell ref="AP49:AT49"/>
    <mergeCell ref="Z30:AB30"/>
    <mergeCell ref="N20:P20"/>
    <mergeCell ref="AK46:AO46"/>
    <mergeCell ref="AF34:AH34"/>
    <mergeCell ref="AZ27:BD27"/>
    <mergeCell ref="AU37:AY37"/>
    <mergeCell ref="AL30:AN30"/>
    <mergeCell ref="AZ18:BD18"/>
    <mergeCell ref="Q48:U48"/>
    <mergeCell ref="AZ17:BD17"/>
    <mergeCell ref="AU21:AY21"/>
    <mergeCell ref="L49:P49"/>
    <mergeCell ref="Q45:U45"/>
    <mergeCell ref="AF47:AJ47"/>
    <mergeCell ref="N37:P37"/>
    <mergeCell ref="Q18:S18"/>
    <mergeCell ref="K35:M35"/>
    <mergeCell ref="W26:Y26"/>
    <mergeCell ref="W35:Y35"/>
    <mergeCell ref="N21:P21"/>
    <mergeCell ref="AF29:AH29"/>
    <mergeCell ref="AO37:AQ37"/>
    <mergeCell ref="Q47:U47"/>
    <mergeCell ref="AI27:AK27"/>
    <mergeCell ref="AO18:AQ18"/>
    <mergeCell ref="Q35:S35"/>
    <mergeCell ref="AL37:AN37"/>
    <mergeCell ref="AI36:AK36"/>
    <mergeCell ref="AF49:AJ49"/>
    <mergeCell ref="AC35:AE35"/>
    <mergeCell ref="AU48:AY48"/>
    <mergeCell ref="T21:V21"/>
    <mergeCell ref="Q34:S34"/>
    <mergeCell ref="AL21:AN21"/>
    <mergeCell ref="AI20:AK20"/>
    <mergeCell ref="AO35:AQ35"/>
    <mergeCell ref="AF21:AH21"/>
    <mergeCell ref="AU35:AY35"/>
    <mergeCell ref="AC19:AE19"/>
    <mergeCell ref="AC34:AE34"/>
    <mergeCell ref="AZ45:BD45"/>
    <mergeCell ref="Z38:AB38"/>
    <mergeCell ref="Q27:S27"/>
    <mergeCell ref="Q36:S36"/>
    <mergeCell ref="AU34:AY34"/>
    <mergeCell ref="Q30:S30"/>
    <mergeCell ref="AF26:AH26"/>
    <mergeCell ref="AF35:AH35"/>
    <mergeCell ref="Q17:S17"/>
    <mergeCell ref="AR26:AT26"/>
    <mergeCell ref="AU49:AY49"/>
    <mergeCell ref="AR35:AT35"/>
    <mergeCell ref="AU27:AY27"/>
    <mergeCell ref="AK45:AO45"/>
    <mergeCell ref="AF38:AH38"/>
    <mergeCell ref="K38:M38"/>
    <mergeCell ref="AU36:AY36"/>
    <mergeCell ref="W29:Y29"/>
    <mergeCell ref="AR38:AT38"/>
    <mergeCell ref="T27:V27"/>
    <mergeCell ref="W37:Y37"/>
    <mergeCell ref="T36:V36"/>
    <mergeCell ref="N27:P27"/>
    <mergeCell ref="T18:V18"/>
    <mergeCell ref="AF27:AH27"/>
    <mergeCell ref="Q49:U49"/>
    <mergeCell ref="V45:Z45"/>
    <mergeCell ref="N35:P35"/>
    <mergeCell ref="AF36:AH36"/>
    <mergeCell ref="N10:X10"/>
    <mergeCell ref="AR18:AT18"/>
    <mergeCell ref="AL34:AN34"/>
    <mergeCell ref="AI38:AK38"/>
    <mergeCell ref="Q21:S21"/>
    <mergeCell ref="Z27:AB27"/>
    <mergeCell ref="AC37:AE37"/>
    <mergeCell ref="AL27:AN27"/>
    <mergeCell ref="T35:V35"/>
    <mergeCell ref="AL36:AN36"/>
    <mergeCell ref="AA47:AE47"/>
    <mergeCell ref="AU46:AY46"/>
    <mergeCell ref="K21:M21"/>
    <mergeCell ref="K26:M26"/>
    <mergeCell ref="AZ48:BD48"/>
    <mergeCell ref="Q38:S38"/>
    <mergeCell ref="AK48:AO48"/>
    <mergeCell ref="AR28:AT28"/>
    <mergeCell ref="Z37:AB37"/>
    <mergeCell ref="AU29:AY29"/>
    <mergeCell ref="Q26:S26"/>
    <mergeCell ref="AL28:AN28"/>
    <mergeCell ref="AZ19:BD19"/>
    <mergeCell ref="AU38:AY38"/>
    <mergeCell ref="AZ34:BD34"/>
    <mergeCell ref="AI26:AK26"/>
    <mergeCell ref="AZ28:BD28"/>
    <mergeCell ref="AI35:AK35"/>
    <mergeCell ref="Z21:AB21"/>
    <mergeCell ref="AC26:AE26"/>
    <mergeCell ref="AR30:AT30"/>
    <mergeCell ref="N29:P29"/>
    <mergeCell ref="N38:P38"/>
    <mergeCell ref="AZ36:BD36"/>
    <mergeCell ref="Z29:AB29"/>
    <mergeCell ref="AZ30:BD30"/>
    <mergeCell ref="W27:Y27"/>
    <mergeCell ref="AO26:AQ26"/>
    <mergeCell ref="AZ20:BD20"/>
    <mergeCell ref="AI18:AK18"/>
    <mergeCell ref="W17:Y17"/>
    <mergeCell ref="AR21:AT21"/>
    <mergeCell ref="L45:P45"/>
    <mergeCell ref="AO34:AQ34"/>
    <mergeCell ref="AL38:AN38"/>
    <mergeCell ref="AF45:AJ45"/>
    <mergeCell ref="K19:M19"/>
    <mergeCell ref="AC27:AE27"/>
    <mergeCell ref="K28:M28"/>
    <mergeCell ref="AU26:AY26"/>
    <mergeCell ref="AC36:AE36"/>
    <mergeCell ref="K37:M37"/>
    <mergeCell ref="W19:Y19"/>
    <mergeCell ref="AO27:AQ27"/>
    <mergeCell ref="W28:Y28"/>
    <mergeCell ref="AP46:AT46"/>
    <mergeCell ref="AO36:AQ36"/>
    <mergeCell ref="AC17:AE17"/>
    <mergeCell ref="AZ46:BD46"/>
    <mergeCell ref="N26:P26"/>
    <mergeCell ref="K30:M30"/>
    <mergeCell ref="AO17:AQ17"/>
    <mergeCell ref="T38:V38"/>
    <mergeCell ref="AZ47:BD47"/>
    <mergeCell ref="AF37:AH37"/>
    <mergeCell ref="AI29:AK29"/>
    <mergeCell ref="AP48:AT48"/>
    <mergeCell ref="Q37:S37"/>
    <mergeCell ref="Q28:S28"/>
    <mergeCell ref="AZ21:BD21"/>
    <mergeCell ref="AC28:AE28"/>
    <mergeCell ref="AR27:AT27"/>
    <mergeCell ref="AO28:AQ28"/>
    <mergeCell ref="AZ29:BD29"/>
    <mergeCell ref="AL26:AN26"/>
    <mergeCell ref="AZ38:BD38"/>
    <mergeCell ref="V47:Z47"/>
    <mergeCell ref="Q20:S20"/>
  </mergeCells>
  <pageMargins left="0.25" right="0.25" top="0.75" bottom="0.75" header="0.3" footer="0.3"/>
  <pageSetup orientation="portrait" paperSize="9" scale="9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44"/>
  <sheetViews>
    <sheetView showGridLines="0" view="pageBreakPreview" zoomScaleNormal="100" zoomScaleSheetLayoutView="100" workbookViewId="0">
      <selection activeCell="A1" sqref="A1"/>
    </sheetView>
  </sheetViews>
  <sheetFormatPr baseColWidth="8" defaultColWidth="9.625" defaultRowHeight="15" customHeight="1"/>
  <cols>
    <col width="1.625" customWidth="1" style="161" min="1" max="57"/>
    <col width="9.625" customWidth="1" style="161" min="58" max="16384"/>
  </cols>
  <sheetData>
    <row r="1" ht="8.1" customHeight="1" s="292"/>
    <row r="2" ht="15" customHeight="1" s="292">
      <c r="B2" s="1" t="inlineStr">
        <is>
          <t>Ⅱ. NPS 채널별 점수 현황</t>
        </is>
      </c>
      <c r="C2" s="63" t="n"/>
      <c r="D2" s="63" t="n"/>
      <c r="E2" s="63" t="n"/>
      <c r="F2" s="63" t="n"/>
      <c r="G2" s="63" t="n"/>
      <c r="H2" s="63" t="n"/>
      <c r="I2" s="63" t="n"/>
      <c r="J2" s="63" t="n"/>
      <c r="K2" s="63" t="n"/>
      <c r="L2" s="63" t="n"/>
      <c r="M2" s="63" t="n"/>
      <c r="N2" s="63" t="n"/>
      <c r="O2" s="63" t="n"/>
      <c r="P2" s="63" t="n"/>
      <c r="Q2" s="63" t="n"/>
      <c r="R2" s="63" t="n"/>
      <c r="S2" s="63" t="n"/>
      <c r="T2" s="63" t="n"/>
      <c r="U2" s="63" t="n"/>
      <c r="V2" s="63" t="n"/>
      <c r="W2" s="63" t="n"/>
      <c r="X2" s="63" t="n"/>
      <c r="Y2" s="63" t="n"/>
      <c r="Z2" s="63" t="n"/>
      <c r="AA2" s="63" t="n"/>
      <c r="AB2" s="63" t="n"/>
      <c r="AC2" s="63" t="n"/>
      <c r="AD2" s="63" t="n"/>
      <c r="AE2" s="63" t="n"/>
      <c r="AF2" s="63" t="n"/>
      <c r="AG2" s="63" t="n"/>
      <c r="AH2" s="63" t="n"/>
      <c r="AI2" s="63" t="n"/>
      <c r="AJ2" s="63" t="n"/>
      <c r="AK2" s="63" t="n"/>
      <c r="AL2" s="63" t="n"/>
      <c r="AM2" s="63" t="n"/>
      <c r="AN2" s="63" t="n"/>
      <c r="AO2" s="63" t="n"/>
      <c r="AP2" s="63" t="n"/>
      <c r="AQ2" s="63" t="n"/>
      <c r="AR2" s="63" t="n"/>
      <c r="AS2" s="63" t="n"/>
      <c r="AT2" s="63" t="n"/>
      <c r="AU2" s="63" t="n"/>
      <c r="AV2" s="63" t="n"/>
      <c r="AW2" s="63" t="n"/>
      <c r="AX2" s="63" t="n"/>
      <c r="AY2" s="63" t="n"/>
      <c r="AZ2" s="63" t="n"/>
      <c r="BA2" s="63" t="n"/>
      <c r="BB2" s="63" t="n"/>
      <c r="BC2" s="63" t="n"/>
      <c r="BD2" s="63" t="n"/>
    </row>
    <row r="3" ht="4.5" customHeight="1" s="292">
      <c r="N3" s="43" t="n"/>
    </row>
    <row r="4" ht="15" customHeight="1" s="292">
      <c r="B4" s="2" t="inlineStr">
        <is>
          <t>1. 종합</t>
        </is>
      </c>
      <c r="C4" s="64" t="n"/>
      <c r="D4" s="64" t="n"/>
      <c r="E4" s="64" t="n"/>
      <c r="F4" s="64" t="n"/>
      <c r="G4" s="64" t="n"/>
      <c r="H4" s="64" t="n"/>
      <c r="I4" s="64" t="n"/>
      <c r="J4" s="64" t="n"/>
      <c r="K4" s="64" t="n"/>
      <c r="L4" s="64" t="n"/>
      <c r="M4" s="64" t="n"/>
      <c r="N4" s="64" t="n"/>
      <c r="O4" s="64" t="n"/>
      <c r="P4" s="64" t="n"/>
      <c r="Q4" s="64" t="n"/>
      <c r="R4" s="64" t="n"/>
      <c r="S4" s="64" t="n"/>
      <c r="T4" s="64" t="n"/>
      <c r="U4" s="64" t="n"/>
      <c r="V4" s="64" t="n"/>
      <c r="W4" s="64" t="n"/>
      <c r="X4" s="64" t="n"/>
      <c r="Y4" s="64" t="n"/>
      <c r="Z4" s="64" t="n"/>
      <c r="AA4" s="64" t="n"/>
      <c r="AB4" s="64" t="n"/>
      <c r="AC4" s="64" t="n"/>
      <c r="AD4" s="64" t="n"/>
      <c r="AE4" s="64" t="n"/>
      <c r="AF4" s="64" t="n"/>
      <c r="AG4" s="64" t="n"/>
      <c r="AH4" s="64" t="n"/>
      <c r="AI4" s="64" t="n"/>
      <c r="AJ4" s="64" t="n"/>
      <c r="AK4" s="64" t="n"/>
      <c r="AL4" s="64" t="n"/>
      <c r="AM4" s="64" t="n"/>
      <c r="AN4" s="64" t="n"/>
      <c r="AO4" s="64" t="n"/>
      <c r="AP4" s="64" t="n"/>
      <c r="AQ4" s="64" t="n"/>
      <c r="AR4" s="64" t="n"/>
      <c r="AS4" s="64" t="n"/>
      <c r="AT4" s="64" t="n"/>
      <c r="AU4" s="64" t="n"/>
      <c r="AV4" s="64" t="n"/>
      <c r="AW4" s="64" t="n"/>
      <c r="AX4" s="64" t="n"/>
      <c r="AY4" s="64" t="n"/>
      <c r="AZ4" s="64" t="n"/>
      <c r="BA4" s="64" t="n"/>
      <c r="BB4" s="64" t="n"/>
      <c r="BC4" s="64" t="n"/>
      <c r="BD4" s="64" t="n"/>
    </row>
    <row r="5" ht="5.25" customHeight="1" s="292"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</row>
    <row r="6" ht="15" customHeight="1" s="292">
      <c r="B6" s="21" t="n"/>
      <c r="D6" s="5" t="inlineStr">
        <is>
          <t>【NPS】 25. 2월말 현재 종합 NPS는 53.0점이며, 1월 대비 -11.7점 하락했으나 누적 NPS는 65.1점으로 우수 수준을 유지</t>
        </is>
      </c>
      <c r="E6" s="43" t="n"/>
      <c r="F6" s="43" t="n"/>
      <c r="H6" s="43" t="n"/>
    </row>
    <row r="7" ht="15" customHeight="1" s="292">
      <c r="D7" s="25" t="inlineStr">
        <is>
          <t>- 2월 추천 70.0%, 중립 13.1%, 비추천 16.9%로, 1월 대비 추천 -7.5%p·비추천 +4.1%p 악화 및 중립 +3.5%p 증가</t>
        </is>
      </c>
      <c r="E7" s="25" t="n"/>
      <c r="F7" s="43" t="n"/>
      <c r="G7" s="43" t="n"/>
      <c r="H7" s="43" t="n"/>
      <c r="I7" s="43" t="n"/>
      <c r="J7" s="43" t="n"/>
      <c r="K7" s="43" t="n"/>
      <c r="L7" s="43" t="n"/>
      <c r="M7" s="43" t="n"/>
      <c r="N7" s="43" t="n"/>
    </row>
    <row r="8" ht="15" customHeight="1" s="292">
      <c r="D8" s="15" t="inlineStr">
        <is>
          <t>종합 Bottom-Up NPS 현황</t>
        </is>
      </c>
      <c r="E8" s="66" t="n"/>
      <c r="F8" s="66" t="n"/>
      <c r="G8" s="66" t="n"/>
      <c r="H8" s="66" t="n"/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  <c r="AO8" s="66" t="n"/>
      <c r="AP8" s="66" t="n"/>
      <c r="AQ8" s="66" t="n"/>
      <c r="AR8" s="66" t="n"/>
      <c r="AS8" s="66" t="n"/>
      <c r="AT8" s="66" t="n"/>
      <c r="AU8" s="66" t="n"/>
      <c r="AV8" s="66" t="n"/>
      <c r="AW8" s="66" t="n"/>
      <c r="AX8" s="66" t="n"/>
      <c r="AY8" s="66" t="n"/>
      <c r="AZ8" s="66" t="n"/>
      <c r="BA8" s="66" t="n"/>
      <c r="BB8" s="66" t="n"/>
      <c r="BC8" s="66" t="n"/>
      <c r="BD8" s="66" t="n"/>
    </row>
    <row r="9" ht="15" customHeight="1" s="292"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BG9" s="161" t="inlineStr">
        <is>
          <t>기준월</t>
        </is>
      </c>
      <c r="BH9" s="161" t="inlineStr">
        <is>
          <t>추천</t>
        </is>
      </c>
      <c r="BI9" s="161" t="inlineStr">
        <is>
          <t>중립</t>
        </is>
      </c>
      <c r="BJ9" s="161" t="inlineStr">
        <is>
          <t>비추천</t>
        </is>
      </c>
      <c r="BK9" s="161" t="inlineStr">
        <is>
          <t>NPS</t>
        </is>
      </c>
      <c r="BL9" s="161" t="inlineStr">
        <is>
          <t>누적NPS</t>
        </is>
      </c>
    </row>
    <row r="10" ht="15" customHeight="1" s="292">
      <c r="B10" s="43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  <c r="M10" s="43" t="n"/>
      <c r="N10" s="43" t="n"/>
      <c r="BG10" s="161" t="inlineStr">
        <is>
          <t>1월</t>
        </is>
      </c>
      <c r="BH10" s="320" t="n">
        <v>77.5</v>
      </c>
      <c r="BI10" s="320" t="n">
        <v>9.6</v>
      </c>
      <c r="BJ10" s="320" t="n">
        <v>12.8</v>
      </c>
      <c r="BK10" s="320" t="n">
        <v>64.7</v>
      </c>
      <c r="BL10" s="320" t="n">
        <v>65.09999999999999</v>
      </c>
    </row>
    <row r="11" ht="15" customHeight="1" s="292">
      <c r="B11" s="43" t="n"/>
      <c r="C11" s="43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  <c r="M11" s="43" t="n"/>
      <c r="N11" s="43" t="n"/>
      <c r="BG11" s="161" t="inlineStr">
        <is>
          <t>2월</t>
        </is>
      </c>
      <c r="BH11" s="320" t="n">
        <v>70</v>
      </c>
      <c r="BI11" s="320" t="n">
        <v>13.1</v>
      </c>
      <c r="BJ11" s="320" t="n">
        <v>16.9</v>
      </c>
      <c r="BK11" s="320" t="n">
        <v>53</v>
      </c>
      <c r="BL11" s="320" t="n">
        <v>65.09999999999999</v>
      </c>
    </row>
    <row r="12" ht="15" customHeight="1" s="292">
      <c r="B12" s="43" t="n"/>
      <c r="C12" s="43" t="n"/>
      <c r="D12" s="43" t="n"/>
      <c r="E12" s="43" t="n"/>
      <c r="F12" s="43" t="n"/>
      <c r="G12" s="43" t="n"/>
      <c r="H12" s="43" t="n"/>
      <c r="I12" s="43" t="n"/>
      <c r="J12" s="43" t="n"/>
      <c r="K12" s="43" t="n"/>
      <c r="L12" s="43" t="n"/>
      <c r="M12" s="43" t="n"/>
      <c r="N12" s="43" t="n"/>
      <c r="BG12" s="161" t="inlineStr">
        <is>
          <t>3월</t>
        </is>
      </c>
      <c r="BH12" s="321" t="inlineStr"/>
      <c r="BI12" s="321" t="inlineStr"/>
      <c r="BJ12" s="321" t="inlineStr"/>
      <c r="BK12" s="321" t="inlineStr"/>
      <c r="BL12" s="321" t="inlineStr"/>
    </row>
    <row r="13" ht="15" customHeight="1" s="292">
      <c r="B13" s="43" t="n"/>
      <c r="C13" s="43" t="n"/>
      <c r="D13" s="43" t="n"/>
      <c r="E13" s="43" t="n"/>
      <c r="F13" s="43" t="n"/>
      <c r="G13" s="43" t="n"/>
      <c r="H13" s="43" t="n"/>
      <c r="I13" s="164" t="inlineStr">
        <is>
          <t>NPS</t>
        </is>
      </c>
      <c r="J13" s="43" t="n"/>
      <c r="K13" s="43" t="n"/>
      <c r="L13" s="43" t="n"/>
      <c r="M13" s="43" t="n"/>
      <c r="N13" s="43" t="n"/>
      <c r="BG13" s="161" t="inlineStr">
        <is>
          <t>4월</t>
        </is>
      </c>
      <c r="BH13" s="321" t="inlineStr"/>
      <c r="BI13" s="321" t="inlineStr"/>
      <c r="BJ13" s="321" t="inlineStr"/>
      <c r="BK13" s="321" t="inlineStr"/>
      <c r="BL13" s="321" t="inlineStr"/>
    </row>
    <row r="14" ht="15" customHeight="1" s="292">
      <c r="B14" s="43" t="n"/>
      <c r="C14" s="43" t="n"/>
      <c r="D14" s="43" t="n"/>
      <c r="E14" s="43" t="n"/>
      <c r="F14" s="322" t="n">
        <v>65.09999999999999</v>
      </c>
      <c r="M14" s="43" t="n"/>
      <c r="N14" s="43" t="n"/>
      <c r="BG14" s="161" t="inlineStr">
        <is>
          <t>5월</t>
        </is>
      </c>
      <c r="BH14" s="321" t="inlineStr"/>
      <c r="BI14" s="321" t="inlineStr"/>
      <c r="BJ14" s="321" t="inlineStr"/>
      <c r="BK14" s="321" t="inlineStr"/>
      <c r="BL14" s="321" t="inlineStr"/>
    </row>
    <row r="15" ht="15" customHeight="1" s="292"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BG15" s="161" t="inlineStr">
        <is>
          <t>6월</t>
        </is>
      </c>
      <c r="BH15" s="321" t="inlineStr"/>
      <c r="BI15" s="321" t="inlineStr"/>
      <c r="BJ15" s="321" t="inlineStr"/>
      <c r="BK15" s="321" t="inlineStr"/>
      <c r="BL15" s="321" t="inlineStr"/>
    </row>
    <row r="16" ht="15" customHeight="1" s="292">
      <c r="BG16" s="161" t="inlineStr">
        <is>
          <t>7월</t>
        </is>
      </c>
      <c r="BH16" s="321" t="inlineStr"/>
      <c r="BI16" s="321" t="inlineStr"/>
      <c r="BJ16" s="321" t="inlineStr"/>
      <c r="BK16" s="321" t="inlineStr"/>
      <c r="BL16" s="321" t="inlineStr"/>
    </row>
    <row r="17" ht="15" customHeight="1" s="292">
      <c r="BG17" s="161" t="inlineStr">
        <is>
          <t>8월</t>
        </is>
      </c>
      <c r="BH17" s="321" t="inlineStr"/>
      <c r="BI17" s="321" t="inlineStr"/>
      <c r="BJ17" s="321" t="inlineStr"/>
      <c r="BK17" s="321" t="inlineStr"/>
      <c r="BL17" s="321" t="inlineStr"/>
    </row>
    <row r="18" ht="15" customHeight="1" s="292">
      <c r="BG18" s="161" t="inlineStr">
        <is>
          <t>9월</t>
        </is>
      </c>
      <c r="BH18" s="321" t="inlineStr"/>
      <c r="BI18" s="321" t="inlineStr"/>
      <c r="BJ18" s="321" t="inlineStr"/>
      <c r="BK18" s="321" t="inlineStr"/>
      <c r="BL18" s="321" t="inlineStr"/>
    </row>
    <row r="19" ht="15" customHeight="1" s="292">
      <c r="BG19" s="161" t="inlineStr">
        <is>
          <t>10월</t>
        </is>
      </c>
      <c r="BH19" s="321" t="inlineStr"/>
      <c r="BI19" s="321" t="inlineStr"/>
      <c r="BJ19" s="321" t="inlineStr"/>
      <c r="BK19" s="321" t="inlineStr"/>
      <c r="BL19" s="321" t="inlineStr"/>
    </row>
    <row r="20" ht="15" customHeight="1" s="292">
      <c r="BG20" s="161" t="inlineStr">
        <is>
          <t>11월</t>
        </is>
      </c>
      <c r="BH20" s="321" t="inlineStr"/>
      <c r="BI20" s="321" t="inlineStr"/>
      <c r="BJ20" s="321" t="inlineStr"/>
      <c r="BK20" s="321" t="inlineStr"/>
      <c r="BL20" s="321" t="inlineStr"/>
    </row>
    <row r="21" ht="15" customHeight="1" s="292">
      <c r="D21" s="15" t="inlineStr">
        <is>
          <t>월별 고객 충성도 그룹</t>
        </is>
      </c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  <c r="AO21" s="66" t="n"/>
      <c r="AP21" s="66" t="n"/>
      <c r="AQ21" s="66" t="n"/>
      <c r="AR21" s="66" t="n"/>
      <c r="AS21" s="66" t="n"/>
      <c r="AT21" s="66" t="n"/>
      <c r="AU21" s="66" t="n"/>
      <c r="AV21" s="66" t="n"/>
      <c r="AW21" s="66" t="n"/>
      <c r="AX21" s="66" t="n"/>
      <c r="AY21" s="66" t="n"/>
      <c r="AZ21" s="66" t="n"/>
      <c r="BA21" s="66" t="n"/>
      <c r="BB21" s="66" t="n"/>
      <c r="BC21" s="66" t="n"/>
      <c r="BD21" s="66" t="n"/>
      <c r="BG21" s="161" t="inlineStr">
        <is>
          <t>12월</t>
        </is>
      </c>
      <c r="BH21" s="321" t="inlineStr"/>
      <c r="BI21" s="321" t="inlineStr"/>
      <c r="BJ21" s="321" t="inlineStr"/>
      <c r="BK21" s="321" t="inlineStr"/>
      <c r="BL21" s="321" t="inlineStr"/>
    </row>
    <row r="22" ht="15" customHeight="1" s="292">
      <c r="BG22" s="161" t="inlineStr">
        <is>
          <t>누적</t>
        </is>
      </c>
      <c r="BH22" s="320" t="n">
        <v>77.8</v>
      </c>
      <c r="BI22" s="320" t="n">
        <v>9.5</v>
      </c>
      <c r="BJ22" s="320" t="n">
        <v>12.7</v>
      </c>
      <c r="BK22" s="320" t="n">
        <v>65.09999999999999</v>
      </c>
      <c r="BL22" s="320" t="n">
        <v>65.09999999999999</v>
      </c>
    </row>
    <row r="23"/>
    <row r="24"/>
    <row r="25"/>
    <row r="26"/>
    <row r="27" ht="15" customHeight="1" s="292">
      <c r="G27" s="65" t="n"/>
    </row>
    <row r="28" ht="15" customHeight="1" s="292">
      <c r="T28" s="65" t="n"/>
    </row>
    <row r="29"/>
    <row r="30"/>
    <row r="31"/>
    <row r="32"/>
    <row r="33"/>
    <row r="34"/>
    <row r="35"/>
    <row r="36" ht="15" customHeight="1" s="292">
      <c r="D36" s="5" t="inlineStr">
        <is>
          <t>【채널별 NPS】 2월말 현재 종합 NPS는 53.0점으로 금융권 평균 상회하며, 1월 대비 -11.7점 하락했으나 누적 NPS는 65.1점으로 우수 수준 유지됨</t>
        </is>
      </c>
      <c r="K36" s="43" t="n"/>
    </row>
    <row r="37" ht="15" customHeight="1" s="292">
      <c r="D37" s="15" t="inlineStr">
        <is>
          <t>월별 채널 NPS</t>
        </is>
      </c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66" t="n"/>
      <c r="AH37" s="66" t="n"/>
      <c r="AI37" s="66" t="n"/>
      <c r="AJ37" s="66" t="n"/>
      <c r="AK37" s="66" t="n"/>
      <c r="AL37" s="66" t="n"/>
      <c r="AM37" s="66" t="n"/>
      <c r="AN37" s="66" t="n"/>
      <c r="AO37" s="66" t="n"/>
      <c r="AP37" s="66" t="n"/>
      <c r="AQ37" s="66" t="n"/>
      <c r="AR37" s="66" t="n"/>
      <c r="AS37" s="66" t="n"/>
      <c r="AT37" s="66" t="n"/>
      <c r="AU37" s="66" t="n"/>
      <c r="AV37" s="66" t="n"/>
      <c r="AW37" s="66" t="n"/>
      <c r="AX37" s="66" t="n"/>
      <c r="AY37" s="66" t="n"/>
      <c r="AZ37" s="66" t="n"/>
      <c r="BA37" s="66" t="n"/>
      <c r="BB37" s="66" t="n"/>
      <c r="BC37" s="66" t="n"/>
      <c r="BD37" s="66" t="n"/>
    </row>
    <row r="38" ht="3" customHeight="1" s="292">
      <c r="D38" s="0" t="n"/>
      <c r="E38" s="0" t="n"/>
      <c r="F38" s="0" t="n"/>
      <c r="G38" s="0" t="n"/>
      <c r="H38" s="0" t="n"/>
      <c r="I38" s="0" t="n"/>
      <c r="J38" s="0" t="n"/>
      <c r="K38" s="0" t="n"/>
      <c r="L38" s="0" t="n"/>
      <c r="M38" s="0" t="n"/>
      <c r="N38" s="0" t="n"/>
      <c r="O38" s="0" t="n"/>
      <c r="P38" s="0" t="n"/>
      <c r="Q38" s="0" t="n"/>
      <c r="R38" s="0" t="n"/>
      <c r="S38" s="0" t="n"/>
      <c r="T38" s="0" t="n"/>
      <c r="U38" s="0" t="n"/>
      <c r="V38" s="0" t="n"/>
      <c r="W38" s="0" t="n"/>
      <c r="X38" s="0" t="n"/>
      <c r="Y38" s="0" t="n"/>
      <c r="Z38" s="0" t="n"/>
      <c r="AA38" s="0" t="n"/>
      <c r="AB38" s="0" t="n"/>
      <c r="AC38" s="0" t="n"/>
      <c r="AD38" s="0" t="n"/>
      <c r="AE38" s="0" t="n"/>
      <c r="AF38" s="0" t="n"/>
      <c r="AG38" s="0" t="n"/>
      <c r="AH38" s="0" t="n"/>
      <c r="AI38" s="0" t="n"/>
      <c r="AJ38" s="0" t="n"/>
      <c r="AK38" s="0" t="n"/>
      <c r="AL38" s="0" t="n"/>
      <c r="AM38" s="0" t="n"/>
      <c r="AN38" s="0" t="n"/>
      <c r="AO38" s="0" t="n"/>
      <c r="AP38" s="0" t="n"/>
      <c r="AQ38" s="0" t="n"/>
      <c r="AR38" s="0" t="n"/>
      <c r="AS38" s="0" t="n"/>
      <c r="AT38" s="0" t="n"/>
      <c r="AU38" s="0" t="n"/>
      <c r="AV38" s="0" t="n"/>
      <c r="AW38" s="0" t="n"/>
      <c r="AX38" s="0" t="n"/>
      <c r="AY38" s="0" t="n"/>
      <c r="AZ38" s="0" t="n"/>
      <c r="BA38" s="0" t="n"/>
      <c r="BB38" s="0" t="n"/>
      <c r="BC38" s="0" t="n"/>
      <c r="BD38" s="0" t="n"/>
      <c r="BG38" s="0" t="n"/>
      <c r="BL38" s="323" t="n"/>
      <c r="BM38" s="323" t="n"/>
    </row>
    <row r="39" ht="15" customHeight="1" s="292">
      <c r="D39" s="28" t="inlineStr">
        <is>
          <t>구분(점)</t>
        </is>
      </c>
      <c r="E39" s="28" t="n"/>
      <c r="F39" s="28" t="n"/>
      <c r="G39" s="28" t="n"/>
      <c r="H39" s="28" t="n"/>
      <c r="I39" s="28" t="n"/>
      <c r="J39" s="28" t="n"/>
      <c r="K39" s="29" t="inlineStr">
        <is>
          <t>1월</t>
        </is>
      </c>
      <c r="L39" s="30" t="n"/>
      <c r="M39" s="32" t="n"/>
      <c r="N39" s="33" t="inlineStr">
        <is>
          <t>2월</t>
        </is>
      </c>
      <c r="O39" s="30" t="n"/>
      <c r="P39" s="32" t="n"/>
      <c r="Q39" s="33" t="inlineStr">
        <is>
          <t>3월</t>
        </is>
      </c>
      <c r="R39" s="30" t="n"/>
      <c r="S39" s="32" t="n"/>
      <c r="T39" s="33" t="inlineStr">
        <is>
          <t>4월</t>
        </is>
      </c>
      <c r="U39" s="30" t="n"/>
      <c r="V39" s="32" t="n"/>
      <c r="W39" s="33" t="inlineStr">
        <is>
          <t>5월</t>
        </is>
      </c>
      <c r="X39" s="30" t="n"/>
      <c r="Y39" s="32" t="n"/>
      <c r="Z39" s="33" t="inlineStr">
        <is>
          <t>6월</t>
        </is>
      </c>
      <c r="AA39" s="30" t="n"/>
      <c r="AB39" s="32" t="n"/>
      <c r="AC39" s="33" t="inlineStr">
        <is>
          <t>7월</t>
        </is>
      </c>
      <c r="AD39" s="30" t="n"/>
      <c r="AE39" s="32" t="n"/>
      <c r="AF39" s="33" t="inlineStr">
        <is>
          <t>8월</t>
        </is>
      </c>
      <c r="AG39" s="30" t="n"/>
      <c r="AH39" s="32" t="n"/>
      <c r="AI39" s="33" t="inlineStr">
        <is>
          <t>9월</t>
        </is>
      </c>
      <c r="AJ39" s="30" t="n"/>
      <c r="AK39" s="32" t="n"/>
      <c r="AL39" s="33" t="inlineStr">
        <is>
          <t>10월</t>
        </is>
      </c>
      <c r="AM39" s="30" t="n"/>
      <c r="AN39" s="32" t="n"/>
      <c r="AO39" s="33" t="inlineStr">
        <is>
          <t>11월</t>
        </is>
      </c>
      <c r="AP39" s="30" t="n"/>
      <c r="AQ39" s="32" t="n"/>
      <c r="AR39" s="33" t="inlineStr">
        <is>
          <t>12월</t>
        </is>
      </c>
      <c r="AS39" s="30" t="n"/>
      <c r="AT39" s="30" t="n"/>
      <c r="AU39" s="29" t="inlineStr">
        <is>
          <t>누적</t>
        </is>
      </c>
      <c r="AV39" s="30" t="n"/>
      <c r="AW39" s="30" t="n"/>
      <c r="AX39" s="31" t="n"/>
      <c r="AY39" s="29" t="inlineStr">
        <is>
          <t>1월 대비</t>
        </is>
      </c>
      <c r="AZ39" s="30" t="n"/>
      <c r="BA39" s="30" t="n"/>
      <c r="BB39" s="30" t="n"/>
    </row>
    <row r="40" ht="15" customHeight="1" s="292">
      <c r="D40" s="16" t="inlineStr">
        <is>
          <t>종합</t>
        </is>
      </c>
      <c r="E40" s="16" t="n"/>
      <c r="F40" s="16" t="n"/>
      <c r="G40" s="16" t="n"/>
      <c r="H40" s="16" t="n"/>
      <c r="I40" s="16" t="n"/>
      <c r="J40" s="17" t="n"/>
      <c r="K40" s="324" t="n">
        <v>64.7</v>
      </c>
      <c r="L40" s="159" t="n"/>
      <c r="M40" s="300" t="n"/>
      <c r="N40" s="324" t="n">
        <v>53</v>
      </c>
      <c r="O40" s="159" t="n"/>
      <c r="P40" s="300" t="n"/>
      <c r="Q40" s="325" t="inlineStr"/>
      <c r="R40" s="159" t="n"/>
      <c r="S40" s="300" t="n"/>
      <c r="T40" s="325" t="inlineStr"/>
      <c r="U40" s="159" t="n"/>
      <c r="V40" s="300" t="n"/>
      <c r="W40" s="325" t="inlineStr"/>
      <c r="X40" s="159" t="n"/>
      <c r="Y40" s="300" t="n"/>
      <c r="Z40" s="325" t="inlineStr"/>
      <c r="AA40" s="159" t="n"/>
      <c r="AB40" s="300" t="n"/>
      <c r="AC40" s="325" t="inlineStr"/>
      <c r="AD40" s="159" t="n"/>
      <c r="AE40" s="300" t="n"/>
      <c r="AF40" s="325" t="inlineStr"/>
      <c r="AG40" s="159" t="n"/>
      <c r="AH40" s="300" t="n"/>
      <c r="AI40" s="325" t="inlineStr"/>
      <c r="AJ40" s="159" t="n"/>
      <c r="AK40" s="300" t="n"/>
      <c r="AL40" s="325" t="inlineStr"/>
      <c r="AM40" s="159" t="n"/>
      <c r="AN40" s="300" t="n"/>
      <c r="AO40" s="325" t="inlineStr"/>
      <c r="AP40" s="159" t="n"/>
      <c r="AQ40" s="300" t="n"/>
      <c r="AR40" s="165" t="inlineStr"/>
      <c r="AS40" s="159" t="n"/>
      <c r="AT40" s="302" t="n"/>
      <c r="AU40" s="326" t="n">
        <v>65.09999999999999</v>
      </c>
      <c r="AV40" s="159" t="n"/>
      <c r="AW40" s="159" t="n"/>
      <c r="AX40" s="302" t="n"/>
      <c r="AY40" s="327" t="n">
        <v>0.4</v>
      </c>
      <c r="AZ40" s="159" t="n"/>
      <c r="BA40" s="159" t="n"/>
      <c r="BB40" s="159" t="n"/>
    </row>
    <row r="41" ht="15" customHeight="1" s="292">
      <c r="D41" s="69" t="inlineStr">
        <is>
          <t>KB스타뱅킹</t>
        </is>
      </c>
      <c r="E41" s="70" t="n"/>
      <c r="F41" s="71" t="n"/>
      <c r="G41" s="71" t="n"/>
      <c r="H41" s="71" t="n"/>
      <c r="I41" s="71" t="n"/>
      <c r="J41" s="12" t="n"/>
      <c r="K41" s="305" t="n">
        <v>65</v>
      </c>
      <c r="M41" s="306" t="n"/>
      <c r="N41" s="305" t="n">
        <v>52.2</v>
      </c>
      <c r="P41" s="306" t="n"/>
      <c r="Q41" s="307" t="inlineStr"/>
      <c r="S41" s="306" t="n"/>
      <c r="T41" s="307" t="inlineStr"/>
      <c r="V41" s="306" t="n"/>
      <c r="W41" s="307" t="inlineStr"/>
      <c r="Y41" s="306" t="n"/>
      <c r="Z41" s="307" t="inlineStr"/>
      <c r="AB41" s="306" t="n"/>
      <c r="AC41" s="307" t="inlineStr"/>
      <c r="AE41" s="306" t="n"/>
      <c r="AF41" s="307" t="inlineStr"/>
      <c r="AH41" s="306" t="n"/>
      <c r="AI41" s="307" t="inlineStr"/>
      <c r="AK41" s="306" t="n"/>
      <c r="AL41" s="307" t="inlineStr"/>
      <c r="AN41" s="306" t="n"/>
      <c r="AO41" s="307" t="inlineStr"/>
      <c r="AQ41" s="306" t="n"/>
      <c r="AR41" s="171" t="inlineStr"/>
      <c r="AT41" s="308" t="n"/>
      <c r="AU41" s="309" t="n">
        <v>65.5</v>
      </c>
      <c r="AX41" s="308" t="n"/>
      <c r="AY41" s="328" t="n">
        <v>0.5</v>
      </c>
    </row>
    <row r="42" ht="15" customHeight="1" s="292">
      <c r="D42" s="69" t="inlineStr">
        <is>
          <t>영업점</t>
        </is>
      </c>
      <c r="E42" s="70" t="n"/>
      <c r="F42" s="71" t="n"/>
      <c r="G42" s="71" t="n"/>
      <c r="H42" s="71" t="n"/>
      <c r="I42" s="71" t="n"/>
      <c r="J42" s="12" t="n"/>
      <c r="K42" s="305" t="n">
        <v>66.8</v>
      </c>
      <c r="M42" s="306" t="n"/>
      <c r="N42" s="305" t="n">
        <v>61.1</v>
      </c>
      <c r="P42" s="306" t="n"/>
      <c r="Q42" s="307" t="inlineStr"/>
      <c r="S42" s="306" t="n"/>
      <c r="T42" s="307" t="inlineStr"/>
      <c r="V42" s="306" t="n"/>
      <c r="W42" s="307" t="inlineStr"/>
      <c r="Y42" s="306" t="n"/>
      <c r="Z42" s="307" t="inlineStr"/>
      <c r="AB42" s="306" t="n"/>
      <c r="AC42" s="307" t="inlineStr"/>
      <c r="AE42" s="306" t="n"/>
      <c r="AF42" s="307" t="inlineStr"/>
      <c r="AH42" s="306" t="n"/>
      <c r="AI42" s="307" t="inlineStr"/>
      <c r="AK42" s="306" t="n"/>
      <c r="AL42" s="307" t="inlineStr"/>
      <c r="AN42" s="306" t="n"/>
      <c r="AO42" s="307" t="inlineStr"/>
      <c r="AQ42" s="306" t="n"/>
      <c r="AR42" s="171" t="inlineStr"/>
      <c r="AT42" s="308" t="n"/>
      <c r="AU42" s="309" t="n">
        <v>66.90000000000001</v>
      </c>
      <c r="AX42" s="308" t="n"/>
      <c r="AY42" s="328" t="n">
        <v>0.1</v>
      </c>
    </row>
    <row r="43" ht="15" customHeight="1" s="292">
      <c r="D43" s="69" t="inlineStr">
        <is>
          <t>고객센터</t>
        </is>
      </c>
      <c r="E43" s="70" t="n"/>
      <c r="F43" s="71" t="n"/>
      <c r="G43" s="71" t="n"/>
      <c r="H43" s="71" t="n"/>
      <c r="I43" s="71" t="n"/>
      <c r="J43" s="12" t="n"/>
      <c r="K43" s="305" t="n">
        <v>36.2</v>
      </c>
      <c r="M43" s="306" t="n"/>
      <c r="N43" s="305" t="n">
        <v>15.3</v>
      </c>
      <c r="P43" s="306" t="n"/>
      <c r="Q43" s="307" t="inlineStr"/>
      <c r="S43" s="306" t="n"/>
      <c r="T43" s="307" t="inlineStr"/>
      <c r="V43" s="306" t="n"/>
      <c r="W43" s="307" t="inlineStr"/>
      <c r="Y43" s="306" t="n"/>
      <c r="Z43" s="307" t="inlineStr"/>
      <c r="AB43" s="306" t="n"/>
      <c r="AC43" s="307" t="inlineStr"/>
      <c r="AE43" s="306" t="n"/>
      <c r="AF43" s="307" t="inlineStr"/>
      <c r="AH43" s="306" t="n"/>
      <c r="AI43" s="307" t="inlineStr"/>
      <c r="AK43" s="306" t="n"/>
      <c r="AL43" s="307" t="inlineStr"/>
      <c r="AN43" s="306" t="n"/>
      <c r="AO43" s="307" t="inlineStr"/>
      <c r="AQ43" s="306" t="n"/>
      <c r="AR43" s="171" t="inlineStr"/>
      <c r="AT43" s="308" t="n"/>
      <c r="AU43" s="309" t="n">
        <v>36.8</v>
      </c>
      <c r="AX43" s="308" t="n"/>
      <c r="AY43" s="328" t="n">
        <v>0.6</v>
      </c>
    </row>
    <row r="44" ht="15" customHeight="1" s="292">
      <c r="D44" s="27" t="inlineStr">
        <is>
          <t>상품</t>
        </is>
      </c>
      <c r="E44" s="72" t="n"/>
      <c r="F44" s="11" t="n"/>
      <c r="G44" s="11" t="n"/>
      <c r="H44" s="11" t="n"/>
      <c r="I44" s="11" t="n"/>
      <c r="J44" s="13" t="n"/>
      <c r="K44" s="311" t="n">
        <v>69.2</v>
      </c>
      <c r="L44" s="163" t="n"/>
      <c r="M44" s="312" t="n"/>
      <c r="N44" s="311" t="n">
        <v>56.8</v>
      </c>
      <c r="O44" s="163" t="n"/>
      <c r="P44" s="312" t="n"/>
      <c r="Q44" s="313" t="inlineStr"/>
      <c r="R44" s="163" t="n"/>
      <c r="S44" s="312" t="n"/>
      <c r="T44" s="313" t="inlineStr"/>
      <c r="U44" s="163" t="n"/>
      <c r="V44" s="312" t="n"/>
      <c r="W44" s="313" t="inlineStr"/>
      <c r="X44" s="163" t="n"/>
      <c r="Y44" s="312" t="n"/>
      <c r="Z44" s="313" t="inlineStr"/>
      <c r="AA44" s="163" t="n"/>
      <c r="AB44" s="312" t="n"/>
      <c r="AC44" s="313" t="inlineStr"/>
      <c r="AD44" s="163" t="n"/>
      <c r="AE44" s="312" t="n"/>
      <c r="AF44" s="313" t="inlineStr"/>
      <c r="AG44" s="163" t="n"/>
      <c r="AH44" s="312" t="n"/>
      <c r="AI44" s="313" t="inlineStr"/>
      <c r="AJ44" s="163" t="n"/>
      <c r="AK44" s="312" t="n"/>
      <c r="AL44" s="313" t="inlineStr"/>
      <c r="AM44" s="163" t="n"/>
      <c r="AN44" s="312" t="n"/>
      <c r="AO44" s="313" t="inlineStr"/>
      <c r="AP44" s="163" t="n"/>
      <c r="AQ44" s="312" t="n"/>
      <c r="AR44" s="176" t="inlineStr"/>
      <c r="AS44" s="163" t="n"/>
      <c r="AT44" s="314" t="n"/>
      <c r="AU44" s="315" t="n">
        <v>69.7</v>
      </c>
      <c r="AV44" s="163" t="n"/>
      <c r="AW44" s="163" t="n"/>
      <c r="AX44" s="314" t="n"/>
      <c r="AY44" s="329" t="n">
        <v>0.5</v>
      </c>
      <c r="AZ44" s="163" t="n"/>
      <c r="BA44" s="163" t="n"/>
      <c r="BB44" s="163" t="n"/>
    </row>
  </sheetData>
  <mergeCells count="71">
    <mergeCell ref="AU41:AX41"/>
    <mergeCell ref="Z43:AB43"/>
    <mergeCell ref="K41:M41"/>
    <mergeCell ref="T44:V44"/>
    <mergeCell ref="AC43:AE43"/>
    <mergeCell ref="K44:M44"/>
    <mergeCell ref="N42:P42"/>
    <mergeCell ref="AL41:AN41"/>
    <mergeCell ref="W41:Y41"/>
    <mergeCell ref="K40:M40"/>
    <mergeCell ref="AF44:AH44"/>
    <mergeCell ref="AO43:AQ43"/>
    <mergeCell ref="AY40:BB40"/>
    <mergeCell ref="Q40:S40"/>
    <mergeCell ref="AI41:AK41"/>
    <mergeCell ref="AU43:AX43"/>
    <mergeCell ref="K43:M43"/>
    <mergeCell ref="AC42:AE42"/>
    <mergeCell ref="AR40:AT40"/>
    <mergeCell ref="N44:P44"/>
    <mergeCell ref="W43:Y43"/>
    <mergeCell ref="AO42:AQ42"/>
    <mergeCell ref="T40:V40"/>
    <mergeCell ref="Q44:S44"/>
    <mergeCell ref="F14:L14"/>
    <mergeCell ref="Z42:AB42"/>
    <mergeCell ref="AU42:AX42"/>
    <mergeCell ref="K42:M42"/>
    <mergeCell ref="AL42:AN42"/>
    <mergeCell ref="T41:V41"/>
    <mergeCell ref="AC44:AE44"/>
    <mergeCell ref="AF42:AH42"/>
    <mergeCell ref="AL43:AN43"/>
    <mergeCell ref="AO41:AQ41"/>
    <mergeCell ref="AC40:AE40"/>
    <mergeCell ref="W42:Y42"/>
    <mergeCell ref="N40:P40"/>
    <mergeCell ref="AF41:AH41"/>
    <mergeCell ref="AO44:AQ44"/>
    <mergeCell ref="Z44:AB44"/>
    <mergeCell ref="AI43:AK43"/>
    <mergeCell ref="AF40:AH40"/>
    <mergeCell ref="T43:V43"/>
    <mergeCell ref="AY41:BB41"/>
    <mergeCell ref="Q41:S41"/>
    <mergeCell ref="AO40:AQ40"/>
    <mergeCell ref="AU44:AX44"/>
    <mergeCell ref="AR44:AT44"/>
    <mergeCell ref="AI42:AK42"/>
    <mergeCell ref="AU40:AX40"/>
    <mergeCell ref="AY42:BB42"/>
    <mergeCell ref="AR41:AT41"/>
    <mergeCell ref="AC41:AE41"/>
    <mergeCell ref="AL44:AN44"/>
    <mergeCell ref="Z40:AB40"/>
    <mergeCell ref="AL40:AN40"/>
    <mergeCell ref="W44:Y44"/>
    <mergeCell ref="AY43:BB43"/>
    <mergeCell ref="AF43:AH43"/>
    <mergeCell ref="AR42:AT42"/>
    <mergeCell ref="Q43:S43"/>
    <mergeCell ref="W40:Y40"/>
    <mergeCell ref="AI44:AK44"/>
    <mergeCell ref="AR43:AT43"/>
    <mergeCell ref="N41:P41"/>
    <mergeCell ref="Q42:S42"/>
    <mergeCell ref="Z41:AB41"/>
    <mergeCell ref="T42:V42"/>
    <mergeCell ref="AI40:AK40"/>
    <mergeCell ref="N43:P43"/>
    <mergeCell ref="AY44:BB44"/>
  </mergeCells>
  <pageMargins left="0.25" right="0.25" top="0.75" bottom="0.75" header="0.3" footer="0.3"/>
  <pageSetup orientation="portrait" paperSize="9" scale="98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60"/>
  <sheetViews>
    <sheetView showGridLines="0" view="pageBreakPreview" zoomScaleNormal="100" zoomScaleSheetLayoutView="100" workbookViewId="0">
      <selection activeCell="A1" sqref="A1"/>
    </sheetView>
  </sheetViews>
  <sheetFormatPr baseColWidth="8" defaultColWidth="9.625" defaultRowHeight="15" customHeight="1"/>
  <cols>
    <col width="1.625" customWidth="1" style="161" min="1" max="57"/>
    <col width="9.625" customWidth="1" style="161" min="58" max="16384"/>
  </cols>
  <sheetData>
    <row r="1" ht="8.1" customHeight="1" s="292"/>
    <row r="2" ht="15" customHeight="1" s="292">
      <c r="B2" s="2" t="inlineStr">
        <is>
          <t>2. KB스타뱅킹</t>
        </is>
      </c>
      <c r="C2" s="64" t="n"/>
      <c r="D2" s="64" t="n"/>
      <c r="E2" s="64" t="n"/>
      <c r="F2" s="64" t="n"/>
      <c r="G2" s="64" t="n"/>
      <c r="H2" s="64" t="n"/>
      <c r="I2" s="64" t="n"/>
      <c r="J2" s="64" t="n"/>
      <c r="K2" s="64" t="n"/>
      <c r="L2" s="64" t="n"/>
      <c r="M2" s="64" t="n"/>
      <c r="N2" s="64" t="n"/>
      <c r="O2" s="64" t="n"/>
      <c r="P2" s="64" t="n"/>
      <c r="Q2" s="64" t="n"/>
      <c r="R2" s="64" t="n"/>
      <c r="S2" s="64" t="n"/>
      <c r="T2" s="64" t="n"/>
      <c r="U2" s="64" t="n"/>
      <c r="V2" s="64" t="n"/>
      <c r="W2" s="64" t="n"/>
      <c r="X2" s="64" t="n"/>
      <c r="Y2" s="64" t="n"/>
      <c r="Z2" s="64" t="n"/>
      <c r="AA2" s="64" t="n"/>
      <c r="AB2" s="64" t="n"/>
      <c r="AC2" s="64" t="n"/>
      <c r="AD2" s="64" t="n"/>
      <c r="AE2" s="64" t="n"/>
      <c r="AF2" s="64" t="n"/>
      <c r="AG2" s="64" t="n"/>
      <c r="AH2" s="64" t="n"/>
      <c r="AI2" s="64" t="n"/>
      <c r="AJ2" s="64" t="n"/>
      <c r="AK2" s="64" t="n"/>
      <c r="AL2" s="64" t="n"/>
      <c r="AM2" s="64" t="n"/>
      <c r="AN2" s="64" t="n"/>
      <c r="AO2" s="64" t="n"/>
      <c r="AP2" s="64" t="n"/>
      <c r="AQ2" s="64" t="n"/>
      <c r="AR2" s="64" t="n"/>
      <c r="AS2" s="64" t="n"/>
      <c r="AT2" s="64" t="n"/>
      <c r="AU2" s="64" t="n"/>
      <c r="AV2" s="64" t="n"/>
      <c r="AW2" s="64" t="n"/>
      <c r="AX2" s="64" t="n"/>
      <c r="AY2" s="64" t="n"/>
      <c r="AZ2" s="64" t="n"/>
      <c r="BA2" s="64" t="n"/>
      <c r="BB2" s="64" t="n"/>
      <c r="BC2" s="64" t="n"/>
      <c r="BD2" s="64" t="n"/>
    </row>
    <row r="3" ht="5.25" customHeight="1" s="292"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</row>
    <row r="4" ht="15" customHeight="1" s="292">
      <c r="B4" s="21" t="n"/>
      <c r="D4" s="5" t="inlineStr">
        <is>
          <t>【NPS】 2월 스타뱅킹 NPS는 52.2점으로 매우 양호하며, 1월 대비 -12.8점 하락했으나 누적 NPS 65.5점으로 높은 충성도 유지 예상</t>
        </is>
      </c>
      <c r="E4" s="43" t="n"/>
      <c r="F4" s="43" t="n"/>
      <c r="H4" s="43" t="n"/>
    </row>
    <row r="5" ht="15" customHeight="1" s="292">
      <c r="D5" s="25" t="inlineStr">
        <is>
          <t>- 스타뱅킹 2월 추천 66.9%, 중립 18.5%, 비추천 14.7%로, 1월 대비 추천 -8.0%p·중립 +3.3%p·비추천 +4.8%p 변동</t>
        </is>
      </c>
      <c r="E5" s="25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</row>
    <row r="6" ht="15" customHeight="1" s="292">
      <c r="D6" s="15" t="inlineStr">
        <is>
          <t>KB스타뱅킹 Bottom-Up NPS 현황</t>
        </is>
      </c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  <c r="AO6" s="66" t="n"/>
      <c r="AP6" s="66" t="n"/>
      <c r="AQ6" s="66" t="n"/>
      <c r="AR6" s="66" t="n"/>
      <c r="AS6" s="66" t="n"/>
      <c r="AT6" s="66" t="n"/>
      <c r="AU6" s="66" t="n"/>
      <c r="AV6" s="66" t="n"/>
      <c r="AW6" s="66" t="n"/>
      <c r="AX6" s="66" t="n"/>
      <c r="AY6" s="66" t="n"/>
      <c r="AZ6" s="66" t="n"/>
      <c r="BA6" s="66" t="n"/>
      <c r="BB6" s="66" t="n"/>
      <c r="BC6" s="66" t="n"/>
      <c r="BD6" s="66" t="n"/>
    </row>
    <row r="7" ht="15" customHeight="1" s="292">
      <c r="B7" s="43" t="n"/>
      <c r="C7" s="43" t="n"/>
      <c r="D7" s="43" t="n"/>
      <c r="E7" s="43" t="n"/>
      <c r="F7" s="43" t="n"/>
      <c r="G7" s="43" t="n"/>
      <c r="H7" s="43" t="n"/>
      <c r="I7" s="43" t="n"/>
      <c r="J7" s="43" t="n"/>
      <c r="K7" s="43" t="n"/>
      <c r="L7" s="43" t="n"/>
      <c r="M7" s="43" t="n"/>
      <c r="N7" s="43" t="n"/>
      <c r="BG7" s="161" t="inlineStr">
        <is>
          <t>기준월</t>
        </is>
      </c>
      <c r="BH7" s="161" t="inlineStr">
        <is>
          <t>추천</t>
        </is>
      </c>
      <c r="BI7" s="161" t="inlineStr">
        <is>
          <t>중립</t>
        </is>
      </c>
      <c r="BJ7" s="161" t="inlineStr">
        <is>
          <t>비추천</t>
        </is>
      </c>
      <c r="BK7" s="161" t="inlineStr">
        <is>
          <t>NPS</t>
        </is>
      </c>
      <c r="BL7" s="161" t="inlineStr">
        <is>
          <t>누적NPS</t>
        </is>
      </c>
    </row>
    <row r="8" ht="15" customHeight="1" s="292">
      <c r="B8" s="43" t="n"/>
      <c r="C8" s="43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  <c r="M8" s="43" t="n"/>
      <c r="N8" s="43" t="n"/>
      <c r="BG8" s="161" t="inlineStr">
        <is>
          <t>1월</t>
        </is>
      </c>
      <c r="BH8" s="320" t="n">
        <v>74.90000000000001</v>
      </c>
      <c r="BI8" s="320" t="n">
        <v>15.2</v>
      </c>
      <c r="BJ8" s="320" t="n">
        <v>9.9</v>
      </c>
      <c r="BK8" s="320" t="n">
        <v>65</v>
      </c>
      <c r="BL8" s="320" t="n">
        <v>65.5</v>
      </c>
    </row>
    <row r="9" ht="15" customHeight="1" s="292"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BG9" s="161" t="inlineStr">
        <is>
          <t>2월</t>
        </is>
      </c>
      <c r="BH9" s="320" t="n">
        <v>66.90000000000001</v>
      </c>
      <c r="BI9" s="320" t="n">
        <v>18.5</v>
      </c>
      <c r="BJ9" s="320" t="n">
        <v>14.7</v>
      </c>
      <c r="BK9" s="320" t="n">
        <v>52.2</v>
      </c>
      <c r="BL9" s="320" t="n">
        <v>65.5</v>
      </c>
    </row>
    <row r="10" ht="15" customHeight="1" s="292">
      <c r="B10" s="43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  <c r="M10" s="43" t="n"/>
      <c r="N10" s="43" t="n"/>
      <c r="BG10" s="161" t="inlineStr">
        <is>
          <t>3월</t>
        </is>
      </c>
      <c r="BH10" s="321" t="inlineStr"/>
      <c r="BI10" s="321" t="inlineStr"/>
      <c r="BJ10" s="321" t="inlineStr"/>
      <c r="BK10" s="321" t="inlineStr"/>
      <c r="BL10" s="321" t="inlineStr"/>
    </row>
    <row r="11" ht="15" customHeight="1" s="292">
      <c r="B11" s="43" t="n"/>
      <c r="C11" s="43" t="n"/>
      <c r="D11" s="43" t="n"/>
      <c r="E11" s="43" t="n"/>
      <c r="F11" s="43" t="n"/>
      <c r="G11" s="43" t="n"/>
      <c r="H11" s="43" t="n"/>
      <c r="I11" s="164" t="inlineStr">
        <is>
          <t>NPS</t>
        </is>
      </c>
      <c r="J11" s="43" t="n"/>
      <c r="K11" s="43" t="n"/>
      <c r="L11" s="43" t="n"/>
      <c r="M11" s="43" t="n"/>
      <c r="N11" s="43" t="n"/>
      <c r="BG11" s="161" t="inlineStr">
        <is>
          <t>4월</t>
        </is>
      </c>
      <c r="BH11" s="321" t="inlineStr"/>
      <c r="BI11" s="321" t="inlineStr"/>
      <c r="BJ11" s="321" t="inlineStr"/>
      <c r="BK11" s="321" t="inlineStr"/>
      <c r="BL11" s="321" t="inlineStr"/>
    </row>
    <row r="12" ht="15" customHeight="1" s="292">
      <c r="B12" s="43" t="n"/>
      <c r="C12" s="43" t="n"/>
      <c r="D12" s="43" t="n"/>
      <c r="E12" s="43" t="n"/>
      <c r="F12" s="322" t="n">
        <v>65.5</v>
      </c>
      <c r="M12" s="43" t="n"/>
      <c r="N12" s="43" t="n"/>
      <c r="BG12" s="161" t="inlineStr">
        <is>
          <t>5월</t>
        </is>
      </c>
      <c r="BH12" s="321" t="inlineStr"/>
      <c r="BI12" s="321" t="inlineStr"/>
      <c r="BJ12" s="321" t="inlineStr"/>
      <c r="BK12" s="321" t="inlineStr"/>
      <c r="BL12" s="321" t="inlineStr"/>
    </row>
    <row r="13" ht="15" customHeight="1" s="292">
      <c r="B13" s="43" t="n"/>
      <c r="C13" s="43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  <c r="M13" s="43" t="n"/>
      <c r="N13" s="43" t="n"/>
      <c r="BG13" s="161" t="inlineStr">
        <is>
          <t>6월</t>
        </is>
      </c>
      <c r="BH13" s="321" t="inlineStr"/>
      <c r="BI13" s="321" t="inlineStr"/>
      <c r="BJ13" s="321" t="inlineStr"/>
      <c r="BK13" s="321" t="inlineStr"/>
      <c r="BL13" s="321" t="inlineStr"/>
    </row>
    <row r="14" ht="15" customHeight="1" s="292">
      <c r="BG14" s="161" t="inlineStr">
        <is>
          <t>7월</t>
        </is>
      </c>
      <c r="BH14" s="321" t="inlineStr"/>
      <c r="BI14" s="321" t="inlineStr"/>
      <c r="BJ14" s="321" t="inlineStr"/>
      <c r="BK14" s="321" t="inlineStr"/>
      <c r="BL14" s="321" t="inlineStr"/>
    </row>
    <row r="15" ht="15" customHeight="1" s="292">
      <c r="BG15" s="161" t="inlineStr">
        <is>
          <t>8월</t>
        </is>
      </c>
      <c r="BH15" s="321" t="inlineStr"/>
      <c r="BI15" s="321" t="inlineStr"/>
      <c r="BJ15" s="321" t="inlineStr"/>
      <c r="BK15" s="321" t="inlineStr"/>
      <c r="BL15" s="321" t="inlineStr"/>
    </row>
    <row r="16" ht="15" customHeight="1" s="292">
      <c r="BG16" s="161" t="inlineStr">
        <is>
          <t>9월</t>
        </is>
      </c>
      <c r="BH16" s="321" t="inlineStr"/>
      <c r="BI16" s="321" t="inlineStr"/>
      <c r="BJ16" s="321" t="inlineStr"/>
      <c r="BK16" s="321" t="inlineStr"/>
      <c r="BL16" s="321" t="inlineStr"/>
    </row>
    <row r="17" ht="15" customHeight="1" s="292">
      <c r="BG17" s="161" t="inlineStr">
        <is>
          <t>10월</t>
        </is>
      </c>
      <c r="BH17" s="321" t="inlineStr"/>
      <c r="BI17" s="321" t="inlineStr"/>
      <c r="BJ17" s="321" t="inlineStr"/>
      <c r="BK17" s="321" t="inlineStr"/>
      <c r="BL17" s="321" t="inlineStr"/>
    </row>
    <row r="18" ht="15" customHeight="1" s="292">
      <c r="BG18" s="161" t="inlineStr">
        <is>
          <t>11월</t>
        </is>
      </c>
      <c r="BH18" s="321" t="inlineStr"/>
      <c r="BI18" s="321" t="inlineStr"/>
      <c r="BJ18" s="321" t="inlineStr"/>
      <c r="BK18" s="321" t="inlineStr"/>
      <c r="BL18" s="321" t="inlineStr"/>
    </row>
    <row r="19" ht="15" customHeight="1" s="292">
      <c r="D19" s="15" t="inlineStr">
        <is>
          <t>월별 고객 충성도 그룹</t>
        </is>
      </c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  <c r="AO19" s="66" t="n"/>
      <c r="AP19" s="66" t="n"/>
      <c r="AQ19" s="66" t="n"/>
      <c r="AR19" s="66" t="n"/>
      <c r="AS19" s="66" t="n"/>
      <c r="AT19" s="66" t="n"/>
      <c r="AU19" s="66" t="n"/>
      <c r="AV19" s="66" t="n"/>
      <c r="AW19" s="66" t="n"/>
      <c r="AX19" s="66" t="n"/>
      <c r="AY19" s="66" t="n"/>
      <c r="AZ19" s="66" t="n"/>
      <c r="BA19" s="66" t="n"/>
      <c r="BB19" s="66" t="n"/>
      <c r="BC19" s="66" t="n"/>
      <c r="BD19" s="66" t="n"/>
      <c r="BG19" s="161" t="inlineStr">
        <is>
          <t>12월</t>
        </is>
      </c>
      <c r="BH19" s="321" t="inlineStr"/>
      <c r="BI19" s="321" t="inlineStr"/>
      <c r="BJ19" s="321" t="inlineStr"/>
      <c r="BK19" s="321" t="inlineStr"/>
      <c r="BL19" s="321" t="inlineStr"/>
    </row>
    <row r="20" ht="15" customHeight="1" s="292">
      <c r="BG20" s="161" t="inlineStr">
        <is>
          <t>누적</t>
        </is>
      </c>
      <c r="BH20" s="320" t="n">
        <v>75.2</v>
      </c>
      <c r="BI20" s="320" t="n">
        <v>15.1</v>
      </c>
      <c r="BJ20" s="320" t="n">
        <v>9.699999999999999</v>
      </c>
      <c r="BK20" s="320" t="n">
        <v>65.5</v>
      </c>
      <c r="BL20" s="320" t="n">
        <v>65.5</v>
      </c>
    </row>
    <row r="21"/>
    <row r="22"/>
    <row r="23"/>
    <row r="24"/>
    <row r="25" ht="15" customHeight="1" s="292">
      <c r="G25" s="65" t="n"/>
    </row>
    <row r="26" ht="15" customHeight="1" s="292">
      <c r="T26" s="65" t="n"/>
    </row>
    <row r="27"/>
    <row r="28"/>
    <row r="29"/>
    <row r="30"/>
    <row r="31"/>
    <row r="32"/>
    <row r="33"/>
    <row r="34" ht="15" customHeight="1" s="292">
      <c r="D34" s="5" t="inlineStr">
        <is>
          <t>【NPS 영향도】 ‘계좌조회/이체’가 25.8점으로 핵심 긍정 요인으로 확인되었으며, ‘로그인/인증’과 ‘상품가입’은 한자릿수로 유지되어 개선 여지가 있고, ‘홈화면’·‘통합검색’·‘금융상품몰’·‘콘텐츠/서비스’·‘상품관리/해지’는 10점 이하로 영향이 낮아 관리가 필요함</t>
        </is>
      </c>
      <c r="K34" s="43" t="n"/>
    </row>
    <row r="35"/>
    <row r="36" ht="15" customHeight="1" s="292">
      <c r="D36" s="15" t="inlineStr">
        <is>
          <t>월별 NPS 영향도</t>
        </is>
      </c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  <c r="AO36" s="66" t="n"/>
      <c r="AP36" s="66" t="n"/>
      <c r="AQ36" s="66" t="n"/>
      <c r="AR36" s="66" t="n"/>
      <c r="AS36" s="66" t="n"/>
      <c r="AT36" s="66" t="n"/>
      <c r="AU36" s="66" t="n"/>
      <c r="AV36" s="66" t="n"/>
      <c r="AW36" s="66" t="n"/>
      <c r="AX36" s="66" t="n"/>
      <c r="AY36" s="66" t="n"/>
      <c r="AZ36" s="66" t="n"/>
      <c r="BA36" s="66" t="n"/>
      <c r="BB36" s="66" t="n"/>
      <c r="BC36" s="66" t="n"/>
      <c r="BD36" s="66" t="n"/>
    </row>
    <row r="37" ht="5.1" customHeight="1" s="292"/>
    <row r="38" ht="15" customHeight="1" s="292">
      <c r="D38" s="28" t="inlineStr">
        <is>
          <t>구분(점)</t>
        </is>
      </c>
      <c r="E38" s="28" t="n"/>
      <c r="F38" s="28" t="n"/>
      <c r="G38" s="28" t="n"/>
      <c r="H38" s="28" t="n"/>
      <c r="I38" s="28" t="n"/>
      <c r="J38" s="28" t="n"/>
      <c r="K38" s="29" t="inlineStr">
        <is>
          <t>1월</t>
        </is>
      </c>
      <c r="L38" s="30" t="n"/>
      <c r="M38" s="32" t="n"/>
      <c r="N38" s="33" t="inlineStr">
        <is>
          <t>2월</t>
        </is>
      </c>
      <c r="O38" s="30" t="n"/>
      <c r="P38" s="32" t="n"/>
      <c r="Q38" s="33" t="inlineStr">
        <is>
          <t>3월</t>
        </is>
      </c>
      <c r="R38" s="30" t="n"/>
      <c r="S38" s="32" t="n"/>
      <c r="T38" s="33" t="inlineStr">
        <is>
          <t>4월</t>
        </is>
      </c>
      <c r="U38" s="30" t="n"/>
      <c r="V38" s="32" t="n"/>
      <c r="W38" s="33" t="inlineStr">
        <is>
          <t>5월</t>
        </is>
      </c>
      <c r="X38" s="30" t="n"/>
      <c r="Y38" s="32" t="n"/>
      <c r="Z38" s="33" t="inlineStr">
        <is>
          <t>6월</t>
        </is>
      </c>
      <c r="AA38" s="30" t="n"/>
      <c r="AB38" s="32" t="n"/>
      <c r="AC38" s="33" t="inlineStr">
        <is>
          <t>7월</t>
        </is>
      </c>
      <c r="AD38" s="30" t="n"/>
      <c r="AE38" s="32" t="n"/>
      <c r="AF38" s="33" t="inlineStr">
        <is>
          <t>8월</t>
        </is>
      </c>
      <c r="AG38" s="30" t="n"/>
      <c r="AH38" s="32" t="n"/>
      <c r="AI38" s="33" t="inlineStr">
        <is>
          <t>9월</t>
        </is>
      </c>
      <c r="AJ38" s="30" t="n"/>
      <c r="AK38" s="32" t="n"/>
      <c r="AL38" s="33" t="inlineStr">
        <is>
          <t>10월</t>
        </is>
      </c>
      <c r="AM38" s="30" t="n"/>
      <c r="AN38" s="32" t="n"/>
      <c r="AO38" s="33" t="inlineStr">
        <is>
          <t>11월</t>
        </is>
      </c>
      <c r="AP38" s="30" t="n"/>
      <c r="AQ38" s="32" t="n"/>
      <c r="AR38" s="33" t="inlineStr">
        <is>
          <t>12월</t>
        </is>
      </c>
      <c r="AS38" s="30" t="n"/>
      <c r="AT38" s="30" t="n"/>
      <c r="AU38" s="29" t="inlineStr">
        <is>
          <t>누적</t>
        </is>
      </c>
      <c r="AV38" s="30" t="n"/>
      <c r="AW38" s="30" t="n"/>
      <c r="AX38" s="31" t="n"/>
      <c r="AY38" s="29" t="inlineStr">
        <is>
          <t>1월 대비</t>
        </is>
      </c>
      <c r="AZ38" s="30" t="n"/>
      <c r="BA38" s="30" t="n"/>
      <c r="BB38" s="30" t="n"/>
    </row>
    <row r="39" ht="15" customHeight="1" s="292">
      <c r="D39" s="16" t="inlineStr">
        <is>
          <t>NPS</t>
        </is>
      </c>
      <c r="E39" s="16" t="n"/>
      <c r="F39" s="16" t="n"/>
      <c r="G39" s="16" t="n"/>
      <c r="H39" s="16" t="n"/>
      <c r="I39" s="16" t="n"/>
      <c r="J39" s="17" t="n"/>
      <c r="K39" s="330" t="n">
        <v>65</v>
      </c>
      <c r="L39" s="159" t="n"/>
      <c r="M39" s="300" t="n"/>
      <c r="N39" s="331" t="n">
        <v>52.2</v>
      </c>
      <c r="O39" s="159" t="n"/>
      <c r="P39" s="300" t="n"/>
      <c r="Q39" s="183" t="inlineStr"/>
      <c r="R39" s="159" t="n"/>
      <c r="S39" s="300" t="n"/>
      <c r="T39" s="183" t="inlineStr"/>
      <c r="U39" s="159" t="n"/>
      <c r="V39" s="300" t="n"/>
      <c r="W39" s="183" t="inlineStr"/>
      <c r="X39" s="159" t="n"/>
      <c r="Y39" s="300" t="n"/>
      <c r="Z39" s="183" t="inlineStr"/>
      <c r="AA39" s="159" t="n"/>
      <c r="AB39" s="300" t="n"/>
      <c r="AC39" s="183" t="inlineStr"/>
      <c r="AD39" s="159" t="n"/>
      <c r="AE39" s="300" t="n"/>
      <c r="AF39" s="183" t="inlineStr"/>
      <c r="AG39" s="159" t="n"/>
      <c r="AH39" s="300" t="n"/>
      <c r="AI39" s="183" t="inlineStr"/>
      <c r="AJ39" s="159" t="n"/>
      <c r="AK39" s="300" t="n"/>
      <c r="AL39" s="183" t="inlineStr"/>
      <c r="AM39" s="159" t="n"/>
      <c r="AN39" s="300" t="n"/>
      <c r="AO39" s="183" t="inlineStr"/>
      <c r="AP39" s="159" t="n"/>
      <c r="AQ39" s="300" t="n"/>
      <c r="AR39" s="183" t="inlineStr"/>
      <c r="AS39" s="159" t="n"/>
      <c r="AT39" s="300" t="n"/>
      <c r="AU39" s="330" t="n">
        <v>65.5</v>
      </c>
      <c r="AV39" s="159" t="n"/>
      <c r="AW39" s="159" t="n"/>
      <c r="AX39" s="300" t="n"/>
      <c r="AY39" s="332" t="n">
        <v>0.5</v>
      </c>
      <c r="AZ39" s="159" t="n"/>
      <c r="BA39" s="159" t="n"/>
      <c r="BB39" s="159" t="n"/>
    </row>
    <row r="40" ht="15" customHeight="1" s="292">
      <c r="D40" s="69" t="inlineStr">
        <is>
          <t>로그인/인증</t>
        </is>
      </c>
      <c r="E40" s="70" t="n"/>
      <c r="F40" s="71" t="n"/>
      <c r="G40" s="71" t="n"/>
      <c r="H40" s="71" t="n"/>
      <c r="I40" s="71" t="n"/>
      <c r="J40" s="12" t="n"/>
      <c r="K40" s="333" t="n">
        <v>8.199999999999999</v>
      </c>
      <c r="M40" s="306" t="n"/>
      <c r="N40" s="305" t="n">
        <v>7</v>
      </c>
      <c r="P40" s="306" t="n"/>
      <c r="Q40" s="307" t="inlineStr"/>
      <c r="S40" s="306" t="n"/>
      <c r="T40" s="307" t="inlineStr"/>
      <c r="V40" s="306" t="n"/>
      <c r="W40" s="307" t="inlineStr"/>
      <c r="Y40" s="306" t="n"/>
      <c r="Z40" s="307" t="inlineStr"/>
      <c r="AB40" s="306" t="n"/>
      <c r="AC40" s="307" t="inlineStr"/>
      <c r="AE40" s="306" t="n"/>
      <c r="AF40" s="307" t="inlineStr"/>
      <c r="AH40" s="306" t="n"/>
      <c r="AI40" s="307" t="inlineStr"/>
      <c r="AK40" s="306" t="n"/>
      <c r="AL40" s="307" t="inlineStr"/>
      <c r="AN40" s="306" t="n"/>
      <c r="AO40" s="307" t="inlineStr"/>
      <c r="AQ40" s="306" t="n"/>
      <c r="AR40" s="171" t="inlineStr"/>
      <c r="AT40" s="308" t="n"/>
      <c r="AU40" s="309" t="n">
        <v>8.199999999999999</v>
      </c>
      <c r="AX40" s="308" t="n"/>
      <c r="AY40" s="328" t="n">
        <v>0</v>
      </c>
    </row>
    <row r="41" ht="15" customHeight="1" s="292">
      <c r="D41" s="69" t="inlineStr">
        <is>
          <t>홈화면</t>
        </is>
      </c>
      <c r="E41" s="70" t="n"/>
      <c r="F41" s="71" t="n"/>
      <c r="G41" s="71" t="n"/>
      <c r="H41" s="71" t="n"/>
      <c r="I41" s="71" t="n"/>
      <c r="J41" s="12" t="n"/>
      <c r="K41" s="333" t="n">
        <v>3.2</v>
      </c>
      <c r="M41" s="306" t="n"/>
      <c r="N41" s="305" t="n">
        <v>2.1</v>
      </c>
      <c r="P41" s="306" t="n"/>
      <c r="Q41" s="307" t="inlineStr"/>
      <c r="S41" s="306" t="n"/>
      <c r="T41" s="307" t="inlineStr"/>
      <c r="V41" s="306" t="n"/>
      <c r="W41" s="307" t="inlineStr"/>
      <c r="Y41" s="306" t="n"/>
      <c r="Z41" s="307" t="inlineStr"/>
      <c r="AB41" s="306" t="n"/>
      <c r="AC41" s="307" t="inlineStr"/>
      <c r="AE41" s="306" t="n"/>
      <c r="AF41" s="307" t="inlineStr"/>
      <c r="AH41" s="306" t="n"/>
      <c r="AI41" s="307" t="inlineStr"/>
      <c r="AK41" s="306" t="n"/>
      <c r="AL41" s="307" t="inlineStr"/>
      <c r="AN41" s="306" t="n"/>
      <c r="AO41" s="307" t="inlineStr"/>
      <c r="AQ41" s="306" t="n"/>
      <c r="AR41" s="171" t="inlineStr"/>
      <c r="AT41" s="308" t="n"/>
      <c r="AU41" s="309" t="n">
        <v>3.2</v>
      </c>
      <c r="AX41" s="308" t="n"/>
      <c r="AY41" s="328" t="n">
        <v>0</v>
      </c>
    </row>
    <row r="42" ht="15" customHeight="1" s="292">
      <c r="D42" s="69" t="inlineStr">
        <is>
          <t>계좌조회/이체</t>
        </is>
      </c>
      <c r="E42" s="70" t="n"/>
      <c r="F42" s="71" t="n"/>
      <c r="G42" s="71" t="n"/>
      <c r="H42" s="71" t="n"/>
      <c r="I42" s="71" t="n"/>
      <c r="J42" s="12" t="n"/>
      <c r="K42" s="333" t="n">
        <v>25.8</v>
      </c>
      <c r="M42" s="306" t="n"/>
      <c r="N42" s="305" t="n">
        <v>22.5</v>
      </c>
      <c r="P42" s="306" t="n"/>
      <c r="Q42" s="307" t="inlineStr"/>
      <c r="S42" s="306" t="n"/>
      <c r="T42" s="307" t="inlineStr"/>
      <c r="V42" s="306" t="n"/>
      <c r="W42" s="307" t="inlineStr"/>
      <c r="Y42" s="306" t="n"/>
      <c r="Z42" s="307" t="inlineStr"/>
      <c r="AB42" s="306" t="n"/>
      <c r="AC42" s="307" t="inlineStr"/>
      <c r="AE42" s="306" t="n"/>
      <c r="AF42" s="307" t="inlineStr"/>
      <c r="AH42" s="306" t="n"/>
      <c r="AI42" s="307" t="inlineStr"/>
      <c r="AK42" s="306" t="n"/>
      <c r="AL42" s="307" t="inlineStr"/>
      <c r="AN42" s="306" t="n"/>
      <c r="AO42" s="307" t="inlineStr"/>
      <c r="AQ42" s="306" t="n"/>
      <c r="AR42" s="171" t="inlineStr"/>
      <c r="AT42" s="308" t="n"/>
      <c r="AU42" s="309" t="n">
        <v>25.8</v>
      </c>
      <c r="AX42" s="308" t="n"/>
      <c r="AY42" s="328" t="n">
        <v>0</v>
      </c>
    </row>
    <row r="43" ht="15" customHeight="1" s="292">
      <c r="D43" s="69" t="inlineStr">
        <is>
          <t>통합검색</t>
        </is>
      </c>
      <c r="E43" s="70" t="n"/>
      <c r="F43" s="71" t="n"/>
      <c r="G43" s="71" t="n"/>
      <c r="H43" s="71" t="n"/>
      <c r="I43" s="71" t="n"/>
      <c r="J43" s="12" t="n"/>
      <c r="K43" s="333" t="n">
        <v>3.3</v>
      </c>
      <c r="M43" s="306" t="n"/>
      <c r="N43" s="305" t="n">
        <v>3.6</v>
      </c>
      <c r="P43" s="306" t="n"/>
      <c r="Q43" s="307" t="inlineStr"/>
      <c r="S43" s="306" t="n"/>
      <c r="T43" s="307" t="inlineStr"/>
      <c r="V43" s="306" t="n"/>
      <c r="W43" s="307" t="inlineStr"/>
      <c r="Y43" s="306" t="n"/>
      <c r="Z43" s="307" t="inlineStr"/>
      <c r="AB43" s="306" t="n"/>
      <c r="AC43" s="307" t="inlineStr"/>
      <c r="AE43" s="306" t="n"/>
      <c r="AF43" s="307" t="inlineStr"/>
      <c r="AH43" s="306" t="n"/>
      <c r="AI43" s="307" t="inlineStr"/>
      <c r="AK43" s="306" t="n"/>
      <c r="AL43" s="307" t="inlineStr"/>
      <c r="AN43" s="306" t="n"/>
      <c r="AO43" s="307" t="inlineStr"/>
      <c r="AQ43" s="306" t="n"/>
      <c r="AR43" s="171" t="inlineStr"/>
      <c r="AT43" s="308" t="n"/>
      <c r="AU43" s="309" t="n">
        <v>3.3</v>
      </c>
      <c r="AX43" s="308" t="n"/>
      <c r="AY43" s="328" t="n">
        <v>0</v>
      </c>
    </row>
    <row r="44" ht="15" customHeight="1" s="292">
      <c r="D44" s="69" t="inlineStr">
        <is>
          <t>금융상품몰</t>
        </is>
      </c>
      <c r="E44" s="70" t="n"/>
      <c r="F44" s="71" t="n"/>
      <c r="G44" s="71" t="n"/>
      <c r="H44" s="71" t="n"/>
      <c r="I44" s="71" t="n"/>
      <c r="J44" s="12" t="n"/>
      <c r="K44" s="333" t="n">
        <v>6.2</v>
      </c>
      <c r="M44" s="306" t="n"/>
      <c r="N44" s="305" t="n">
        <v>3</v>
      </c>
      <c r="P44" s="306" t="n"/>
      <c r="Q44" s="307" t="inlineStr"/>
      <c r="S44" s="306" t="n"/>
      <c r="T44" s="307" t="inlineStr"/>
      <c r="V44" s="306" t="n"/>
      <c r="W44" s="307" t="inlineStr"/>
      <c r="Y44" s="306" t="n"/>
      <c r="Z44" s="307" t="inlineStr"/>
      <c r="AB44" s="306" t="n"/>
      <c r="AC44" s="307" t="inlineStr"/>
      <c r="AE44" s="306" t="n"/>
      <c r="AF44" s="307" t="inlineStr"/>
      <c r="AH44" s="306" t="n"/>
      <c r="AI44" s="307" t="inlineStr"/>
      <c r="AK44" s="306" t="n"/>
      <c r="AL44" s="307" t="inlineStr"/>
      <c r="AN44" s="306" t="n"/>
      <c r="AO44" s="307" t="inlineStr"/>
      <c r="AQ44" s="306" t="n"/>
      <c r="AR44" s="171" t="inlineStr"/>
      <c r="AT44" s="308" t="n"/>
      <c r="AU44" s="309" t="n">
        <v>6.2</v>
      </c>
      <c r="AX44" s="308" t="n"/>
      <c r="AY44" s="328" t="n">
        <v>0</v>
      </c>
    </row>
    <row r="45" ht="15" customHeight="1" s="292">
      <c r="D45" s="69" t="inlineStr">
        <is>
          <t>상품가입</t>
        </is>
      </c>
      <c r="E45" s="70" t="n"/>
      <c r="F45" s="71" t="n"/>
      <c r="G45" s="71" t="n"/>
      <c r="H45" s="71" t="n"/>
      <c r="I45" s="71" t="n"/>
      <c r="J45" s="12" t="n"/>
      <c r="K45" s="333" t="n">
        <v>10.1</v>
      </c>
      <c r="M45" s="306" t="n"/>
      <c r="N45" s="305" t="n">
        <v>9.4</v>
      </c>
      <c r="P45" s="306" t="n"/>
      <c r="Q45" s="307" t="inlineStr"/>
      <c r="S45" s="306" t="n"/>
      <c r="T45" s="307" t="inlineStr"/>
      <c r="V45" s="306" t="n"/>
      <c r="W45" s="307" t="inlineStr"/>
      <c r="Y45" s="306" t="n"/>
      <c r="Z45" s="307" t="inlineStr"/>
      <c r="AB45" s="306" t="n"/>
      <c r="AC45" s="307" t="inlineStr"/>
      <c r="AE45" s="306" t="n"/>
      <c r="AF45" s="307" t="inlineStr"/>
      <c r="AH45" s="306" t="n"/>
      <c r="AI45" s="307" t="inlineStr"/>
      <c r="AK45" s="306" t="n"/>
      <c r="AL45" s="307" t="inlineStr"/>
      <c r="AN45" s="306" t="n"/>
      <c r="AO45" s="307" t="inlineStr"/>
      <c r="AQ45" s="306" t="n"/>
      <c r="AR45" s="171" t="inlineStr"/>
      <c r="AT45" s="308" t="n"/>
      <c r="AU45" s="309" t="n">
        <v>10.1</v>
      </c>
      <c r="AX45" s="308" t="n"/>
      <c r="AY45" s="328" t="n">
        <v>0</v>
      </c>
    </row>
    <row r="46" ht="15" customHeight="1" s="292">
      <c r="D46" s="69" t="inlineStr">
        <is>
          <t>상품관리/해지</t>
        </is>
      </c>
      <c r="E46" s="70" t="n"/>
      <c r="F46" s="71" t="n"/>
      <c r="G46" s="71" t="n"/>
      <c r="H46" s="71" t="n"/>
      <c r="I46" s="71" t="n"/>
      <c r="J46" s="12" t="n"/>
      <c r="K46" s="333" t="n">
        <v>2.1</v>
      </c>
      <c r="M46" s="306" t="n"/>
      <c r="N46" s="305" t="n">
        <v>1.2</v>
      </c>
      <c r="P46" s="306" t="n"/>
      <c r="Q46" s="307" t="inlineStr"/>
      <c r="S46" s="306" t="n"/>
      <c r="T46" s="307" t="inlineStr"/>
      <c r="V46" s="306" t="n"/>
      <c r="W46" s="307" t="inlineStr"/>
      <c r="Y46" s="306" t="n"/>
      <c r="Z46" s="307" t="inlineStr"/>
      <c r="AB46" s="306" t="n"/>
      <c r="AC46" s="307" t="inlineStr"/>
      <c r="AE46" s="306" t="n"/>
      <c r="AF46" s="307" t="inlineStr"/>
      <c r="AH46" s="306" t="n"/>
      <c r="AI46" s="307" t="inlineStr"/>
      <c r="AK46" s="306" t="n"/>
      <c r="AL46" s="307" t="inlineStr"/>
      <c r="AN46" s="306" t="n"/>
      <c r="AO46" s="307" t="inlineStr"/>
      <c r="AQ46" s="306" t="n"/>
      <c r="AR46" s="171" t="inlineStr"/>
      <c r="AT46" s="308" t="n"/>
      <c r="AU46" s="309" t="n">
        <v>2.1</v>
      </c>
      <c r="AX46" s="308" t="n"/>
      <c r="AY46" s="328" t="n">
        <v>0</v>
      </c>
    </row>
    <row r="47" ht="15" customHeight="1" s="292">
      <c r="D47" s="27" t="inlineStr">
        <is>
          <t>콘텐츠/서비스</t>
        </is>
      </c>
      <c r="E47" s="72" t="n"/>
      <c r="F47" s="11" t="n"/>
      <c r="G47" s="11" t="n"/>
      <c r="H47" s="11" t="n"/>
      <c r="I47" s="11" t="n"/>
      <c r="J47" s="13" t="n"/>
      <c r="K47" s="334" t="n">
        <v>6</v>
      </c>
      <c r="L47" s="163" t="n"/>
      <c r="M47" s="312" t="n"/>
      <c r="N47" s="311" t="n">
        <v>2.7</v>
      </c>
      <c r="O47" s="163" t="n"/>
      <c r="P47" s="312" t="n"/>
      <c r="Q47" s="313" t="inlineStr"/>
      <c r="R47" s="163" t="n"/>
      <c r="S47" s="312" t="n"/>
      <c r="T47" s="313" t="inlineStr"/>
      <c r="U47" s="163" t="n"/>
      <c r="V47" s="312" t="n"/>
      <c r="W47" s="313" t="inlineStr"/>
      <c r="X47" s="163" t="n"/>
      <c r="Y47" s="312" t="n"/>
      <c r="Z47" s="313" t="inlineStr"/>
      <c r="AA47" s="163" t="n"/>
      <c r="AB47" s="312" t="n"/>
      <c r="AC47" s="313" t="inlineStr"/>
      <c r="AD47" s="163" t="n"/>
      <c r="AE47" s="312" t="n"/>
      <c r="AF47" s="313" t="inlineStr"/>
      <c r="AG47" s="163" t="n"/>
      <c r="AH47" s="312" t="n"/>
      <c r="AI47" s="313" t="inlineStr"/>
      <c r="AJ47" s="163" t="n"/>
      <c r="AK47" s="312" t="n"/>
      <c r="AL47" s="313" t="inlineStr"/>
      <c r="AM47" s="163" t="n"/>
      <c r="AN47" s="312" t="n"/>
      <c r="AO47" s="313" t="inlineStr"/>
      <c r="AP47" s="163" t="n"/>
      <c r="AQ47" s="312" t="n"/>
      <c r="AR47" s="176" t="inlineStr"/>
      <c r="AS47" s="163" t="n"/>
      <c r="AT47" s="314" t="n"/>
      <c r="AU47" s="315" t="n">
        <v>6</v>
      </c>
      <c r="AV47" s="163" t="n"/>
      <c r="AW47" s="163" t="n"/>
      <c r="AX47" s="314" t="n"/>
      <c r="AY47" s="329" t="n">
        <v>0</v>
      </c>
      <c r="AZ47" s="163" t="n"/>
      <c r="BA47" s="163" t="n"/>
      <c r="BB47" s="163" t="n"/>
    </row>
    <row r="48"/>
    <row r="49" ht="15" customHeight="1" s="292">
      <c r="D49" s="15" t="inlineStr">
        <is>
          <t>월별 비추천 이유 응답 비율</t>
        </is>
      </c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E49" s="66" t="n"/>
      <c r="AF49" s="66" t="n"/>
      <c r="AG49" s="66" t="n"/>
      <c r="AH49" s="66" t="n"/>
      <c r="AI49" s="66" t="n"/>
      <c r="AJ49" s="66" t="n"/>
      <c r="AK49" s="66" t="n"/>
      <c r="AL49" s="66" t="n"/>
      <c r="AM49" s="66" t="n"/>
      <c r="AN49" s="66" t="n"/>
      <c r="AO49" s="66" t="n"/>
      <c r="AP49" s="66" t="n"/>
      <c r="AQ49" s="66" t="n"/>
      <c r="AR49" s="66" t="n"/>
      <c r="AS49" s="66" t="n"/>
      <c r="AT49" s="66" t="n"/>
      <c r="AU49" s="66" t="n"/>
      <c r="AV49" s="66" t="n"/>
      <c r="AW49" s="66" t="n"/>
      <c r="AX49" s="66" t="n"/>
      <c r="AY49" s="66" t="n"/>
      <c r="AZ49" s="66" t="n"/>
      <c r="BA49" s="66" t="n"/>
      <c r="BB49" s="66" t="n"/>
      <c r="BC49" s="66" t="n"/>
      <c r="BD49" s="66" t="n"/>
    </row>
    <row r="50" ht="5.1" customHeight="1" s="292"/>
    <row r="51" ht="15" customHeight="1" s="292">
      <c r="D51" s="28" t="inlineStr">
        <is>
          <t>구분(%, %p)</t>
        </is>
      </c>
      <c r="E51" s="28" t="n"/>
      <c r="F51" s="28" t="n"/>
      <c r="G51" s="28" t="n"/>
      <c r="H51" s="28" t="n"/>
      <c r="I51" s="28" t="n"/>
      <c r="J51" s="28" t="n"/>
      <c r="K51" s="29" t="inlineStr">
        <is>
          <t>1월</t>
        </is>
      </c>
      <c r="L51" s="30" t="n"/>
      <c r="M51" s="32" t="n"/>
      <c r="N51" s="33" t="inlineStr">
        <is>
          <t>2월</t>
        </is>
      </c>
      <c r="O51" s="30" t="n"/>
      <c r="P51" s="32" t="n"/>
      <c r="Q51" s="33" t="inlineStr">
        <is>
          <t>3월</t>
        </is>
      </c>
      <c r="R51" s="30" t="n"/>
      <c r="S51" s="32" t="n"/>
      <c r="T51" s="33" t="inlineStr">
        <is>
          <t>4월</t>
        </is>
      </c>
      <c r="U51" s="30" t="n"/>
      <c r="V51" s="32" t="n"/>
      <c r="W51" s="33" t="inlineStr">
        <is>
          <t>5월</t>
        </is>
      </c>
      <c r="X51" s="30" t="n"/>
      <c r="Y51" s="32" t="n"/>
      <c r="Z51" s="33" t="inlineStr">
        <is>
          <t>6월</t>
        </is>
      </c>
      <c r="AA51" s="30" t="n"/>
      <c r="AB51" s="32" t="n"/>
      <c r="AC51" s="33" t="inlineStr">
        <is>
          <t>7월</t>
        </is>
      </c>
      <c r="AD51" s="30" t="n"/>
      <c r="AE51" s="32" t="n"/>
      <c r="AF51" s="33" t="inlineStr">
        <is>
          <t>8월</t>
        </is>
      </c>
      <c r="AG51" s="30" t="n"/>
      <c r="AH51" s="32" t="n"/>
      <c r="AI51" s="33" t="inlineStr">
        <is>
          <t>9월</t>
        </is>
      </c>
      <c r="AJ51" s="30" t="n"/>
      <c r="AK51" s="32" t="n"/>
      <c r="AL51" s="33" t="inlineStr">
        <is>
          <t>10월</t>
        </is>
      </c>
      <c r="AM51" s="30" t="n"/>
      <c r="AN51" s="32" t="n"/>
      <c r="AO51" s="33" t="inlineStr">
        <is>
          <t>11월</t>
        </is>
      </c>
      <c r="AP51" s="30" t="n"/>
      <c r="AQ51" s="32" t="n"/>
      <c r="AR51" s="33" t="inlineStr">
        <is>
          <t>12월</t>
        </is>
      </c>
      <c r="AS51" s="30" t="n"/>
      <c r="AT51" s="30" t="n"/>
      <c r="AU51" s="29" t="inlineStr">
        <is>
          <t>누적</t>
        </is>
      </c>
      <c r="AV51" s="30" t="n"/>
      <c r="AW51" s="30" t="n"/>
      <c r="AX51" s="31" t="n"/>
      <c r="AY51" s="29" t="inlineStr">
        <is>
          <t>1월 대비</t>
        </is>
      </c>
      <c r="AZ51" s="30" t="n"/>
      <c r="BA51" s="30" t="n"/>
      <c r="BB51" s="30" t="n"/>
    </row>
    <row r="52" ht="15" customHeight="1" s="292">
      <c r="D52" s="16" t="inlineStr">
        <is>
          <t>NPS</t>
        </is>
      </c>
      <c r="E52" s="16" t="n"/>
      <c r="F52" s="16" t="n"/>
      <c r="G52" s="16" t="n"/>
      <c r="H52" s="16" t="n"/>
      <c r="I52" s="16" t="n"/>
      <c r="J52" s="17" t="n"/>
      <c r="K52" s="335">
        <f>IF(K53="", "", 100)</f>
        <v/>
      </c>
      <c r="L52" s="159" t="n"/>
      <c r="M52" s="300" t="n"/>
      <c r="N52" s="336">
        <f>IF(N53="", "", 100)</f>
        <v/>
      </c>
      <c r="O52" s="159" t="n"/>
      <c r="P52" s="300" t="n"/>
      <c r="Q52" s="336">
        <f>IF(Q53="", "", 100)</f>
        <v/>
      </c>
      <c r="R52" s="159" t="n"/>
      <c r="S52" s="300" t="n"/>
      <c r="T52" s="336">
        <f>IF(T53="", "", 100)</f>
        <v/>
      </c>
      <c r="U52" s="159" t="n"/>
      <c r="V52" s="300" t="n"/>
      <c r="W52" s="336">
        <f>IF(W53="", "", 100)</f>
        <v/>
      </c>
      <c r="X52" s="159" t="n"/>
      <c r="Y52" s="300" t="n"/>
      <c r="Z52" s="336">
        <f>IF(Z53="", "", 100)</f>
        <v/>
      </c>
      <c r="AA52" s="159" t="n"/>
      <c r="AB52" s="300" t="n"/>
      <c r="AC52" s="336">
        <f>IF(AC53="", "", 100)</f>
        <v/>
      </c>
      <c r="AD52" s="159" t="n"/>
      <c r="AE52" s="300" t="n"/>
      <c r="AF52" s="336">
        <f>IF(AF53="", "", 100)</f>
        <v/>
      </c>
      <c r="AG52" s="159" t="n"/>
      <c r="AH52" s="300" t="n"/>
      <c r="AI52" s="336">
        <f>IF(AI53="", "", 100)</f>
        <v/>
      </c>
      <c r="AJ52" s="159" t="n"/>
      <c r="AK52" s="300" t="n"/>
      <c r="AL52" s="336">
        <f>IF(AL53="", "", 100)</f>
        <v/>
      </c>
      <c r="AM52" s="159" t="n"/>
      <c r="AN52" s="300" t="n"/>
      <c r="AO52" s="336">
        <f>IF(AO53="", "", 100)</f>
        <v/>
      </c>
      <c r="AP52" s="159" t="n"/>
      <c r="AQ52" s="300" t="n"/>
      <c r="AR52" s="336">
        <f>IF(AR53="", "", 100)</f>
        <v/>
      </c>
      <c r="AS52" s="159" t="n"/>
      <c r="AT52" s="300" t="n"/>
      <c r="AU52" s="337" t="n">
        <v>100</v>
      </c>
      <c r="AV52" s="159" t="n"/>
      <c r="AW52" s="159" t="n"/>
      <c r="AX52" s="302" t="n"/>
      <c r="AY52" s="338" t="inlineStr">
        <is>
          <t>-</t>
        </is>
      </c>
      <c r="AZ52" s="159" t="n"/>
      <c r="BA52" s="159" t="n"/>
      <c r="BB52" s="159" t="n"/>
    </row>
    <row r="53" ht="15" customHeight="1" s="292">
      <c r="D53" s="69" t="inlineStr">
        <is>
          <t>로그인/인증</t>
        </is>
      </c>
      <c r="E53" s="70" t="n"/>
      <c r="F53" s="71" t="n"/>
      <c r="G53" s="71" t="n"/>
      <c r="H53" s="71" t="n"/>
      <c r="I53" s="71" t="n"/>
      <c r="J53" s="12" t="n"/>
      <c r="K53" s="333" t="n">
        <v>1.7</v>
      </c>
      <c r="M53" s="306" t="n"/>
      <c r="N53" s="305" t="n">
        <v>2.3</v>
      </c>
      <c r="P53" s="306" t="n"/>
      <c r="Q53" s="307" t="inlineStr"/>
      <c r="S53" s="306" t="n"/>
      <c r="T53" s="307" t="inlineStr"/>
      <c r="V53" s="306" t="n"/>
      <c r="W53" s="307" t="inlineStr"/>
      <c r="Y53" s="306" t="n"/>
      <c r="Z53" s="307" t="inlineStr"/>
      <c r="AB53" s="306" t="n"/>
      <c r="AC53" s="307" t="inlineStr"/>
      <c r="AE53" s="306" t="n"/>
      <c r="AF53" s="307" t="inlineStr"/>
      <c r="AH53" s="306" t="n"/>
      <c r="AI53" s="307" t="inlineStr"/>
      <c r="AK53" s="306" t="n"/>
      <c r="AL53" s="307" t="inlineStr"/>
      <c r="AN53" s="306" t="n"/>
      <c r="AO53" s="307" t="inlineStr"/>
      <c r="AQ53" s="306" t="n"/>
      <c r="AR53" s="171" t="inlineStr"/>
      <c r="AT53" s="308" t="n"/>
      <c r="AU53" s="309" t="n">
        <v>1.7</v>
      </c>
      <c r="AX53" s="308" t="n"/>
      <c r="AY53" s="328" t="n">
        <v>0</v>
      </c>
    </row>
    <row r="54" ht="15" customHeight="1" s="292">
      <c r="D54" s="69" t="inlineStr">
        <is>
          <t>홈화면</t>
        </is>
      </c>
      <c r="E54" s="70" t="n"/>
      <c r="F54" s="71" t="n"/>
      <c r="G54" s="71" t="n"/>
      <c r="H54" s="71" t="n"/>
      <c r="I54" s="71" t="n"/>
      <c r="J54" s="12" t="n"/>
      <c r="K54" s="333" t="n">
        <v>1.2</v>
      </c>
      <c r="M54" s="306" t="n"/>
      <c r="N54" s="305" t="n">
        <v>2.1</v>
      </c>
      <c r="P54" s="306" t="n"/>
      <c r="Q54" s="307" t="inlineStr"/>
      <c r="S54" s="306" t="n"/>
      <c r="T54" s="307" t="inlineStr"/>
      <c r="V54" s="306" t="n"/>
      <c r="W54" s="307" t="inlineStr"/>
      <c r="Y54" s="306" t="n"/>
      <c r="Z54" s="307" t="inlineStr"/>
      <c r="AB54" s="306" t="n"/>
      <c r="AC54" s="307" t="inlineStr"/>
      <c r="AE54" s="306" t="n"/>
      <c r="AF54" s="307" t="inlineStr"/>
      <c r="AH54" s="306" t="n"/>
      <c r="AI54" s="307" t="inlineStr"/>
      <c r="AK54" s="306" t="n"/>
      <c r="AL54" s="307" t="inlineStr"/>
      <c r="AN54" s="306" t="n"/>
      <c r="AO54" s="307" t="inlineStr"/>
      <c r="AQ54" s="306" t="n"/>
      <c r="AR54" s="171" t="inlineStr"/>
      <c r="AT54" s="308" t="n"/>
      <c r="AU54" s="309" t="n">
        <v>1.2</v>
      </c>
      <c r="AX54" s="308" t="n"/>
      <c r="AY54" s="328" t="n">
        <v>0</v>
      </c>
    </row>
    <row r="55" ht="15" customHeight="1" s="292">
      <c r="D55" s="69" t="inlineStr">
        <is>
          <t>계좌조회/이체</t>
        </is>
      </c>
      <c r="E55" s="70" t="n"/>
      <c r="F55" s="71" t="n"/>
      <c r="G55" s="71" t="n"/>
      <c r="H55" s="71" t="n"/>
      <c r="I55" s="71" t="n"/>
      <c r="J55" s="12" t="n"/>
      <c r="K55" s="333" t="n">
        <v>0.9</v>
      </c>
      <c r="M55" s="306" t="n"/>
      <c r="N55" s="305" t="n">
        <v>1.3</v>
      </c>
      <c r="P55" s="306" t="n"/>
      <c r="Q55" s="307" t="inlineStr"/>
      <c r="S55" s="306" t="n"/>
      <c r="T55" s="307" t="inlineStr"/>
      <c r="V55" s="306" t="n"/>
      <c r="W55" s="307" t="inlineStr"/>
      <c r="Y55" s="306" t="n"/>
      <c r="Z55" s="307" t="inlineStr"/>
      <c r="AB55" s="306" t="n"/>
      <c r="AC55" s="307" t="inlineStr"/>
      <c r="AE55" s="306" t="n"/>
      <c r="AF55" s="307" t="inlineStr"/>
      <c r="AH55" s="306" t="n"/>
      <c r="AI55" s="307" t="inlineStr"/>
      <c r="AK55" s="306" t="n"/>
      <c r="AL55" s="307" t="inlineStr"/>
      <c r="AN55" s="306" t="n"/>
      <c r="AO55" s="307" t="inlineStr"/>
      <c r="AQ55" s="306" t="n"/>
      <c r="AR55" s="171" t="inlineStr"/>
      <c r="AT55" s="308" t="n"/>
      <c r="AU55" s="309" t="n">
        <v>0.9</v>
      </c>
      <c r="AX55" s="308" t="n"/>
      <c r="AY55" s="328" t="n">
        <v>0</v>
      </c>
    </row>
    <row r="56" ht="15" customHeight="1" s="292">
      <c r="D56" s="69" t="inlineStr">
        <is>
          <t>통합검색</t>
        </is>
      </c>
      <c r="E56" s="70" t="n"/>
      <c r="F56" s="71" t="n"/>
      <c r="G56" s="71" t="n"/>
      <c r="H56" s="71" t="n"/>
      <c r="I56" s="71" t="n"/>
      <c r="J56" s="12" t="n"/>
      <c r="K56" s="333" t="n">
        <v>1.1</v>
      </c>
      <c r="M56" s="306" t="n"/>
      <c r="N56" s="305" t="n">
        <v>1.2</v>
      </c>
      <c r="P56" s="306" t="n"/>
      <c r="Q56" s="307" t="inlineStr"/>
      <c r="S56" s="306" t="n"/>
      <c r="T56" s="307" t="inlineStr"/>
      <c r="V56" s="306" t="n"/>
      <c r="W56" s="307" t="inlineStr"/>
      <c r="Y56" s="306" t="n"/>
      <c r="Z56" s="307" t="inlineStr"/>
      <c r="AB56" s="306" t="n"/>
      <c r="AC56" s="307" t="inlineStr"/>
      <c r="AE56" s="306" t="n"/>
      <c r="AF56" s="307" t="inlineStr"/>
      <c r="AH56" s="306" t="n"/>
      <c r="AI56" s="307" t="inlineStr"/>
      <c r="AK56" s="306" t="n"/>
      <c r="AL56" s="307" t="inlineStr"/>
      <c r="AN56" s="306" t="n"/>
      <c r="AO56" s="307" t="inlineStr"/>
      <c r="AQ56" s="306" t="n"/>
      <c r="AR56" s="171" t="inlineStr"/>
      <c r="AT56" s="308" t="n"/>
      <c r="AU56" s="309" t="n">
        <v>1.1</v>
      </c>
      <c r="AX56" s="308" t="n"/>
      <c r="AY56" s="328" t="n">
        <v>0</v>
      </c>
    </row>
    <row r="57" ht="15" customHeight="1" s="292">
      <c r="D57" s="69" t="inlineStr">
        <is>
          <t>금융상품몰</t>
        </is>
      </c>
      <c r="E57" s="70" t="n"/>
      <c r="F57" s="71" t="n"/>
      <c r="G57" s="71" t="n"/>
      <c r="H57" s="71" t="n"/>
      <c r="I57" s="71" t="n"/>
      <c r="J57" s="12" t="n"/>
      <c r="K57" s="333" t="n">
        <v>1.2</v>
      </c>
      <c r="M57" s="306" t="n"/>
      <c r="N57" s="305" t="n">
        <v>2.1</v>
      </c>
      <c r="P57" s="306" t="n"/>
      <c r="Q57" s="307" t="inlineStr"/>
      <c r="S57" s="306" t="n"/>
      <c r="T57" s="307" t="inlineStr"/>
      <c r="V57" s="306" t="n"/>
      <c r="W57" s="307" t="inlineStr"/>
      <c r="Y57" s="306" t="n"/>
      <c r="Z57" s="307" t="inlineStr"/>
      <c r="AB57" s="306" t="n"/>
      <c r="AC57" s="307" t="inlineStr"/>
      <c r="AE57" s="306" t="n"/>
      <c r="AF57" s="307" t="inlineStr"/>
      <c r="AH57" s="306" t="n"/>
      <c r="AI57" s="307" t="inlineStr"/>
      <c r="AK57" s="306" t="n"/>
      <c r="AL57" s="307" t="inlineStr"/>
      <c r="AN57" s="306" t="n"/>
      <c r="AO57" s="307" t="inlineStr"/>
      <c r="AQ57" s="306" t="n"/>
      <c r="AR57" s="171" t="inlineStr"/>
      <c r="AT57" s="308" t="n"/>
      <c r="AU57" s="309" t="n">
        <v>1.2</v>
      </c>
      <c r="AX57" s="308" t="n"/>
      <c r="AY57" s="328" t="n">
        <v>0</v>
      </c>
    </row>
    <row r="58" ht="15" customHeight="1" s="292">
      <c r="D58" s="69" t="inlineStr">
        <is>
          <t>상품가입</t>
        </is>
      </c>
      <c r="E58" s="70" t="n"/>
      <c r="F58" s="71" t="n"/>
      <c r="G58" s="71" t="n"/>
      <c r="H58" s="71" t="n"/>
      <c r="I58" s="71" t="n"/>
      <c r="J58" s="12" t="n"/>
      <c r="K58" s="333" t="n">
        <v>1.2</v>
      </c>
      <c r="M58" s="306" t="n"/>
      <c r="N58" s="305" t="n">
        <v>1.7</v>
      </c>
      <c r="P58" s="306" t="n"/>
      <c r="Q58" s="307" t="inlineStr"/>
      <c r="S58" s="306" t="n"/>
      <c r="T58" s="307" t="inlineStr"/>
      <c r="V58" s="306" t="n"/>
      <c r="W58" s="307" t="inlineStr"/>
      <c r="Y58" s="306" t="n"/>
      <c r="Z58" s="307" t="inlineStr"/>
      <c r="AB58" s="306" t="n"/>
      <c r="AC58" s="307" t="inlineStr"/>
      <c r="AE58" s="306" t="n"/>
      <c r="AF58" s="307" t="inlineStr"/>
      <c r="AH58" s="306" t="n"/>
      <c r="AI58" s="307" t="inlineStr"/>
      <c r="AK58" s="306" t="n"/>
      <c r="AL58" s="307" t="inlineStr"/>
      <c r="AN58" s="306" t="n"/>
      <c r="AO58" s="307" t="inlineStr"/>
      <c r="AQ58" s="306" t="n"/>
      <c r="AR58" s="171" t="inlineStr"/>
      <c r="AT58" s="308" t="n"/>
      <c r="AU58" s="309" t="n">
        <v>1.2</v>
      </c>
      <c r="AX58" s="308" t="n"/>
      <c r="AY58" s="328" t="n">
        <v>0</v>
      </c>
    </row>
    <row r="59" ht="15" customHeight="1" s="292">
      <c r="D59" s="69" t="inlineStr">
        <is>
          <t>상품관리/해지</t>
        </is>
      </c>
      <c r="E59" s="70" t="n"/>
      <c r="F59" s="71" t="n"/>
      <c r="G59" s="71" t="n"/>
      <c r="H59" s="71" t="n"/>
      <c r="I59" s="71" t="n"/>
      <c r="J59" s="12" t="n"/>
      <c r="K59" s="333" t="n">
        <v>0.7</v>
      </c>
      <c r="M59" s="306" t="n"/>
      <c r="N59" s="305" t="n">
        <v>0.9</v>
      </c>
      <c r="P59" s="306" t="n"/>
      <c r="Q59" s="307" t="inlineStr"/>
      <c r="S59" s="306" t="n"/>
      <c r="T59" s="307" t="inlineStr"/>
      <c r="V59" s="306" t="n"/>
      <c r="W59" s="307" t="inlineStr"/>
      <c r="Y59" s="306" t="n"/>
      <c r="Z59" s="307" t="inlineStr"/>
      <c r="AB59" s="306" t="n"/>
      <c r="AC59" s="307" t="inlineStr"/>
      <c r="AE59" s="306" t="n"/>
      <c r="AF59" s="307" t="inlineStr"/>
      <c r="AH59" s="306" t="n"/>
      <c r="AI59" s="307" t="inlineStr"/>
      <c r="AK59" s="306" t="n"/>
      <c r="AL59" s="307" t="inlineStr"/>
      <c r="AN59" s="306" t="n"/>
      <c r="AO59" s="307" t="inlineStr"/>
      <c r="AQ59" s="306" t="n"/>
      <c r="AR59" s="171" t="inlineStr"/>
      <c r="AT59" s="308" t="n"/>
      <c r="AU59" s="309" t="n">
        <v>0.7</v>
      </c>
      <c r="AX59" s="308" t="n"/>
      <c r="AY59" s="328" t="n">
        <v>0</v>
      </c>
    </row>
    <row r="60" ht="15" customHeight="1" s="292">
      <c r="D60" s="27" t="inlineStr">
        <is>
          <t>콘텐츠/서비스</t>
        </is>
      </c>
      <c r="E60" s="72" t="n"/>
      <c r="F60" s="11" t="n"/>
      <c r="G60" s="11" t="n"/>
      <c r="H60" s="11" t="n"/>
      <c r="I60" s="11" t="n"/>
      <c r="J60" s="13" t="n"/>
      <c r="K60" s="334" t="n">
        <v>1.9</v>
      </c>
      <c r="L60" s="163" t="n"/>
      <c r="M60" s="312" t="n"/>
      <c r="N60" s="311" t="n">
        <v>2.9</v>
      </c>
      <c r="O60" s="163" t="n"/>
      <c r="P60" s="312" t="n"/>
      <c r="Q60" s="313" t="inlineStr"/>
      <c r="R60" s="163" t="n"/>
      <c r="S60" s="312" t="n"/>
      <c r="T60" s="313" t="inlineStr"/>
      <c r="U60" s="163" t="n"/>
      <c r="V60" s="312" t="n"/>
      <c r="W60" s="313" t="inlineStr"/>
      <c r="X60" s="163" t="n"/>
      <c r="Y60" s="312" t="n"/>
      <c r="Z60" s="313" t="inlineStr"/>
      <c r="AA60" s="163" t="n"/>
      <c r="AB60" s="312" t="n"/>
      <c r="AC60" s="313" t="inlineStr"/>
      <c r="AD60" s="163" t="n"/>
      <c r="AE60" s="312" t="n"/>
      <c r="AF60" s="313" t="inlineStr"/>
      <c r="AG60" s="163" t="n"/>
      <c r="AH60" s="312" t="n"/>
      <c r="AI60" s="313" t="inlineStr"/>
      <c r="AJ60" s="163" t="n"/>
      <c r="AK60" s="312" t="n"/>
      <c r="AL60" s="313" t="inlineStr"/>
      <c r="AM60" s="163" t="n"/>
      <c r="AN60" s="312" t="n"/>
      <c r="AO60" s="313" t="inlineStr"/>
      <c r="AP60" s="163" t="n"/>
      <c r="AQ60" s="312" t="n"/>
      <c r="AR60" s="176" t="inlineStr"/>
      <c r="AS60" s="163" t="n"/>
      <c r="AT60" s="314" t="n"/>
      <c r="AU60" s="315" t="n">
        <v>1.9</v>
      </c>
      <c r="AV60" s="163" t="n"/>
      <c r="AW60" s="163" t="n"/>
      <c r="AX60" s="314" t="n"/>
      <c r="AY60" s="329" t="n">
        <v>0</v>
      </c>
      <c r="AZ60" s="163" t="n"/>
      <c r="BA60" s="163" t="n"/>
      <c r="BB60" s="163" t="n"/>
    </row>
  </sheetData>
  <mergeCells count="253">
    <mergeCell ref="AC53:AE53"/>
    <mergeCell ref="AF54:AH54"/>
    <mergeCell ref="Z43:AB43"/>
    <mergeCell ref="W47:Y47"/>
    <mergeCell ref="T55:V55"/>
    <mergeCell ref="K46:M46"/>
    <mergeCell ref="AO53:AQ53"/>
    <mergeCell ref="N42:P42"/>
    <mergeCell ref="K40:M40"/>
    <mergeCell ref="AL57:AN57"/>
    <mergeCell ref="AO45:AQ45"/>
    <mergeCell ref="AC55:AE55"/>
    <mergeCell ref="K56:M56"/>
    <mergeCell ref="N44:P44"/>
    <mergeCell ref="AY46:BB46"/>
    <mergeCell ref="AI54:AK54"/>
    <mergeCell ref="AL42:AN42"/>
    <mergeCell ref="AC46:AE46"/>
    <mergeCell ref="AF42:AH42"/>
    <mergeCell ref="AL43:AN43"/>
    <mergeCell ref="AC40:AE40"/>
    <mergeCell ref="N60:P60"/>
    <mergeCell ref="AL52:AN52"/>
    <mergeCell ref="W58:Y58"/>
    <mergeCell ref="AR45:AT45"/>
    <mergeCell ref="AI56:AK56"/>
    <mergeCell ref="AL39:AN39"/>
    <mergeCell ref="Z60:AB60"/>
    <mergeCell ref="AI43:AK43"/>
    <mergeCell ref="AI58:AK58"/>
    <mergeCell ref="AF47:AH47"/>
    <mergeCell ref="T46:V46"/>
    <mergeCell ref="K57:M57"/>
    <mergeCell ref="AY41:BB41"/>
    <mergeCell ref="W60:Y60"/>
    <mergeCell ref="AR47:AT47"/>
    <mergeCell ref="Q41:S41"/>
    <mergeCell ref="Z59:AB59"/>
    <mergeCell ref="AI42:AK42"/>
    <mergeCell ref="AR44:AT44"/>
    <mergeCell ref="W57:Y57"/>
    <mergeCell ref="AF46:AH46"/>
    <mergeCell ref="AC41:AE41"/>
    <mergeCell ref="AU40:AX40"/>
    <mergeCell ref="AY56:BB56"/>
    <mergeCell ref="Z45:AB45"/>
    <mergeCell ref="AL44:AN44"/>
    <mergeCell ref="Q56:S56"/>
    <mergeCell ref="N55:P55"/>
    <mergeCell ref="W44:Y44"/>
    <mergeCell ref="AY43:BB43"/>
    <mergeCell ref="AI57:AK57"/>
    <mergeCell ref="T57:V57"/>
    <mergeCell ref="Q43:S43"/>
    <mergeCell ref="W53:Y53"/>
    <mergeCell ref="AR42:AT42"/>
    <mergeCell ref="Z55:AB55"/>
    <mergeCell ref="AL59:AN59"/>
    <mergeCell ref="AI44:AK44"/>
    <mergeCell ref="AF39:AH39"/>
    <mergeCell ref="AL46:AN46"/>
    <mergeCell ref="AC57:AE57"/>
    <mergeCell ref="AI59:AK59"/>
    <mergeCell ref="Q42:S42"/>
    <mergeCell ref="K45:M45"/>
    <mergeCell ref="AO57:AQ57"/>
    <mergeCell ref="AI60:AK60"/>
    <mergeCell ref="AR58:AT58"/>
    <mergeCell ref="K60:M60"/>
    <mergeCell ref="T58:V58"/>
    <mergeCell ref="AY44:BB44"/>
    <mergeCell ref="Q58:S58"/>
    <mergeCell ref="T54:V54"/>
    <mergeCell ref="K47:M47"/>
    <mergeCell ref="AC43:AE43"/>
    <mergeCell ref="AU57:AX57"/>
    <mergeCell ref="K44:M44"/>
    <mergeCell ref="AC58:AE58"/>
    <mergeCell ref="AL41:AN41"/>
    <mergeCell ref="AI45:AK45"/>
    <mergeCell ref="N58:P58"/>
    <mergeCell ref="Z56:AB56"/>
    <mergeCell ref="AR57:AT57"/>
    <mergeCell ref="AO43:AQ43"/>
    <mergeCell ref="AU53:AX53"/>
    <mergeCell ref="AY60:BB60"/>
    <mergeCell ref="Q60:S60"/>
    <mergeCell ref="AO39:AQ39"/>
    <mergeCell ref="Z58:AB58"/>
    <mergeCell ref="AC39:AE39"/>
    <mergeCell ref="AL56:AN56"/>
    <mergeCell ref="AI55:AK55"/>
    <mergeCell ref="AC42:AE42"/>
    <mergeCell ref="W59:Y59"/>
    <mergeCell ref="T40:V40"/>
    <mergeCell ref="AU46:AX46"/>
    <mergeCell ref="AO42:AQ42"/>
    <mergeCell ref="Q44:S44"/>
    <mergeCell ref="Q59:S59"/>
    <mergeCell ref="W46:Y46"/>
    <mergeCell ref="N57:P57"/>
    <mergeCell ref="AF58:AH58"/>
    <mergeCell ref="Z42:AB42"/>
    <mergeCell ref="Q46:S46"/>
    <mergeCell ref="AU52:AX52"/>
    <mergeCell ref="AC44:AE44"/>
    <mergeCell ref="AI46:AK46"/>
    <mergeCell ref="N59:P59"/>
    <mergeCell ref="T60:V60"/>
    <mergeCell ref="AU39:AX39"/>
    <mergeCell ref="AO44:AQ44"/>
    <mergeCell ref="AI47:AK47"/>
    <mergeCell ref="Z44:AB44"/>
    <mergeCell ref="AF60:AH60"/>
    <mergeCell ref="AL58:AN58"/>
    <mergeCell ref="AO59:AQ59"/>
    <mergeCell ref="AF52:AH52"/>
    <mergeCell ref="Q45:S45"/>
    <mergeCell ref="AO46:AQ46"/>
    <mergeCell ref="AU44:AX44"/>
    <mergeCell ref="AY42:BB42"/>
    <mergeCell ref="N45:P45"/>
    <mergeCell ref="AL60:AN60"/>
    <mergeCell ref="AY47:BB47"/>
    <mergeCell ref="Q47:S47"/>
    <mergeCell ref="W40:Y40"/>
    <mergeCell ref="T39:V39"/>
    <mergeCell ref="AR59:AT59"/>
    <mergeCell ref="N47:P47"/>
    <mergeCell ref="AR46:AT46"/>
    <mergeCell ref="T45:V45"/>
    <mergeCell ref="AY58:BB58"/>
    <mergeCell ref="T42:V42"/>
    <mergeCell ref="AO47:AQ47"/>
    <mergeCell ref="AR39:AT39"/>
    <mergeCell ref="T47:V47"/>
    <mergeCell ref="AU54:AX54"/>
    <mergeCell ref="AU41:AX41"/>
    <mergeCell ref="T44:V44"/>
    <mergeCell ref="T59:V59"/>
    <mergeCell ref="AL45:AN45"/>
    <mergeCell ref="AF44:AH44"/>
    <mergeCell ref="AU56:AX56"/>
    <mergeCell ref="Z47:AB47"/>
    <mergeCell ref="AU43:AX43"/>
    <mergeCell ref="AL47:AN47"/>
    <mergeCell ref="AR40:AT40"/>
    <mergeCell ref="AF55:AH55"/>
    <mergeCell ref="K59:M59"/>
    <mergeCell ref="AO58:AQ58"/>
    <mergeCell ref="AU42:AX42"/>
    <mergeCell ref="T41:V41"/>
    <mergeCell ref="AC60:AE60"/>
    <mergeCell ref="AY45:BB45"/>
    <mergeCell ref="N40:P40"/>
    <mergeCell ref="AF41:AH41"/>
    <mergeCell ref="K39:M39"/>
    <mergeCell ref="W52:Y52"/>
    <mergeCell ref="T56:V56"/>
    <mergeCell ref="AU58:AX58"/>
    <mergeCell ref="W39:Y39"/>
    <mergeCell ref="T43:V43"/>
    <mergeCell ref="AC59:AE59"/>
    <mergeCell ref="T52:V52"/>
    <mergeCell ref="AL54:AN54"/>
    <mergeCell ref="AU60:AX60"/>
    <mergeCell ref="AC52:AE52"/>
    <mergeCell ref="F12:L12"/>
    <mergeCell ref="AR60:AT60"/>
    <mergeCell ref="AO52:AQ52"/>
    <mergeCell ref="AC45:AE45"/>
    <mergeCell ref="AU59:AX59"/>
    <mergeCell ref="AI53:AK53"/>
    <mergeCell ref="AU55:AX55"/>
    <mergeCell ref="AC47:AE47"/>
    <mergeCell ref="N53:P53"/>
    <mergeCell ref="Z57:AB57"/>
    <mergeCell ref="AY59:BB59"/>
    <mergeCell ref="AF53:AH53"/>
    <mergeCell ref="AR52:AT52"/>
    <mergeCell ref="Q54:S54"/>
    <mergeCell ref="AI40:AK40"/>
    <mergeCell ref="Q55:S55"/>
    <mergeCell ref="Z53:AB53"/>
    <mergeCell ref="K41:M41"/>
    <mergeCell ref="N46:P46"/>
    <mergeCell ref="W54:Y54"/>
    <mergeCell ref="W41:Y41"/>
    <mergeCell ref="N52:P52"/>
    <mergeCell ref="AL53:AN53"/>
    <mergeCell ref="AY40:BB40"/>
    <mergeCell ref="AU47:AX47"/>
    <mergeCell ref="Q40:S40"/>
    <mergeCell ref="AI41:AK41"/>
    <mergeCell ref="N39:P39"/>
    <mergeCell ref="K43:M43"/>
    <mergeCell ref="AF45:AH45"/>
    <mergeCell ref="K58:M58"/>
    <mergeCell ref="W56:Y56"/>
    <mergeCell ref="AY54:BB54"/>
    <mergeCell ref="Z52:AB52"/>
    <mergeCell ref="K52:M52"/>
    <mergeCell ref="Z39:AB39"/>
    <mergeCell ref="AC54:AE54"/>
    <mergeCell ref="W43:Y43"/>
    <mergeCell ref="AF59:AH59"/>
    <mergeCell ref="AR53:AT53"/>
    <mergeCell ref="K42:M42"/>
    <mergeCell ref="AO54:AQ54"/>
    <mergeCell ref="AO41:AQ41"/>
    <mergeCell ref="W42:Y42"/>
    <mergeCell ref="AC56:AE56"/>
    <mergeCell ref="AR55:AT55"/>
    <mergeCell ref="K53:M53"/>
    <mergeCell ref="AL55:AN55"/>
    <mergeCell ref="AO56:AQ56"/>
    <mergeCell ref="AF40:AH40"/>
    <mergeCell ref="AO55:AQ55"/>
    <mergeCell ref="AR54:AT54"/>
    <mergeCell ref="AY57:BB57"/>
    <mergeCell ref="Z46:AB46"/>
    <mergeCell ref="AO40:AQ40"/>
    <mergeCell ref="Q57:S57"/>
    <mergeCell ref="Z40:AB40"/>
    <mergeCell ref="AR41:AT41"/>
    <mergeCell ref="AI52:AK52"/>
    <mergeCell ref="AF56:AH56"/>
    <mergeCell ref="AY53:BB53"/>
    <mergeCell ref="Q53:S53"/>
    <mergeCell ref="AL40:AN40"/>
    <mergeCell ref="AI39:AK39"/>
    <mergeCell ref="AF43:AH43"/>
    <mergeCell ref="AO60:AQ60"/>
    <mergeCell ref="AR56:AT56"/>
    <mergeCell ref="N54:P54"/>
    <mergeCell ref="AR43:AT43"/>
    <mergeCell ref="N41:P41"/>
    <mergeCell ref="AY55:BB55"/>
    <mergeCell ref="Z54:AB54"/>
    <mergeCell ref="K54:M54"/>
    <mergeCell ref="AY52:BB52"/>
    <mergeCell ref="AU45:AX45"/>
    <mergeCell ref="Z41:AB41"/>
    <mergeCell ref="Q52:S52"/>
    <mergeCell ref="W45:Y45"/>
    <mergeCell ref="N56:P56"/>
    <mergeCell ref="K55:M55"/>
    <mergeCell ref="T53:V53"/>
    <mergeCell ref="AF57:AH57"/>
    <mergeCell ref="Q39:S39"/>
    <mergeCell ref="AY39:BB39"/>
    <mergeCell ref="N43:P43"/>
    <mergeCell ref="W55:Y55"/>
  </mergeCells>
  <pageMargins left="0.25" right="0.25" top="0.75" bottom="0.75" header="0.3" footer="0.3"/>
  <pageSetup orientation="portrait" paperSize="9" scale="7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54"/>
  <sheetViews>
    <sheetView showGridLines="0" view="pageBreakPreview" zoomScaleNormal="100" zoomScaleSheetLayoutView="100" workbookViewId="0">
      <selection activeCell="A1" sqref="A1"/>
    </sheetView>
  </sheetViews>
  <sheetFormatPr baseColWidth="8" defaultColWidth="9.625" defaultRowHeight="15" customHeight="1"/>
  <cols>
    <col width="1.625" customWidth="1" style="161" min="1" max="57"/>
    <col width="9.625" customWidth="1" style="161" min="58" max="16384"/>
  </cols>
  <sheetData>
    <row r="1" ht="8.1" customHeight="1" s="292"/>
    <row r="2" ht="15" customHeight="1" s="292">
      <c r="B2" s="2" t="inlineStr">
        <is>
          <t>3. 영업점</t>
        </is>
      </c>
      <c r="C2" s="64" t="n"/>
      <c r="D2" s="64" t="n"/>
      <c r="E2" s="64" t="n"/>
      <c r="F2" s="64" t="n"/>
      <c r="G2" s="64" t="n"/>
      <c r="H2" s="64" t="n"/>
      <c r="I2" s="64" t="n"/>
      <c r="J2" s="64" t="n"/>
      <c r="K2" s="64" t="n"/>
      <c r="L2" s="64" t="n"/>
      <c r="M2" s="64" t="n"/>
      <c r="N2" s="64" t="n"/>
      <c r="O2" s="64" t="n"/>
      <c r="P2" s="64" t="n"/>
      <c r="Q2" s="64" t="n"/>
      <c r="R2" s="64" t="n"/>
      <c r="S2" s="64" t="n"/>
      <c r="T2" s="64" t="n"/>
      <c r="U2" s="64" t="n"/>
      <c r="V2" s="64" t="n"/>
      <c r="W2" s="64" t="n"/>
      <c r="X2" s="64" t="n"/>
      <c r="Y2" s="64" t="n"/>
      <c r="Z2" s="64" t="n"/>
      <c r="AA2" s="64" t="n"/>
      <c r="AB2" s="64" t="n"/>
      <c r="AC2" s="64" t="n"/>
      <c r="AD2" s="64" t="n"/>
      <c r="AE2" s="64" t="n"/>
      <c r="AF2" s="64" t="n"/>
      <c r="AG2" s="64" t="n"/>
      <c r="AH2" s="64" t="n"/>
      <c r="AI2" s="64" t="n"/>
      <c r="AJ2" s="64" t="n"/>
      <c r="AK2" s="64" t="n"/>
      <c r="AL2" s="64" t="n"/>
      <c r="AM2" s="64" t="n"/>
      <c r="AN2" s="64" t="n"/>
      <c r="AO2" s="64" t="n"/>
      <c r="AP2" s="64" t="n"/>
      <c r="AQ2" s="64" t="n"/>
      <c r="AR2" s="64" t="n"/>
      <c r="AS2" s="64" t="n"/>
      <c r="AT2" s="64" t="n"/>
      <c r="AU2" s="64" t="n"/>
      <c r="AV2" s="64" t="n"/>
      <c r="AW2" s="64" t="n"/>
      <c r="AX2" s="64" t="n"/>
      <c r="AY2" s="64" t="n"/>
      <c r="AZ2" s="64" t="n"/>
      <c r="BA2" s="64" t="n"/>
      <c r="BB2" s="64" t="n"/>
      <c r="BC2" s="64" t="n"/>
      <c r="BD2" s="64" t="n"/>
    </row>
    <row r="3" ht="5.25" customHeight="1" s="292"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</row>
    <row r="4" ht="15" customHeight="1" s="292">
      <c r="B4" s="21" t="n"/>
      <c r="D4" s="5" t="inlineStr">
        <is>
          <t>【NPS】 2월말 현재 영업점 NPS는 61.1점이며, 1월 대비 -5.7점 하락했으나 누적 NPS는 66.9점으로 여전히 우수 수준임</t>
        </is>
      </c>
      <c r="E4" s="43" t="n"/>
      <c r="F4" s="43" t="n"/>
      <c r="H4" s="43" t="n"/>
    </row>
    <row r="5" ht="15" customHeight="1" s="292">
      <c r="D5" s="25" t="inlineStr">
        <is>
          <t>- 영업점 추천 76.6%, 중립 7.8%, 비추천 15.5%로, 전월 대비 추천 -3.4%p·중립 +0.9%p·비추천 +2.3%p 변동 및 누적 비추천 대비 +0.1%p 악화</t>
        </is>
      </c>
      <c r="E5" s="25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</row>
    <row r="6" ht="15" customHeight="1" s="292">
      <c r="D6" s="15" t="inlineStr">
        <is>
          <t>영업점 Bottom-Up NPS 현황</t>
        </is>
      </c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  <c r="AO6" s="66" t="n"/>
      <c r="AP6" s="66" t="n"/>
      <c r="AQ6" s="66" t="n"/>
      <c r="AR6" s="66" t="n"/>
      <c r="AS6" s="66" t="n"/>
      <c r="AT6" s="66" t="n"/>
      <c r="AU6" s="66" t="n"/>
      <c r="AV6" s="66" t="n"/>
      <c r="AW6" s="66" t="n"/>
      <c r="AX6" s="66" t="n"/>
      <c r="AY6" s="66" t="n"/>
      <c r="AZ6" s="66" t="n"/>
      <c r="BA6" s="66" t="n"/>
      <c r="BB6" s="66" t="n"/>
      <c r="BC6" s="66" t="n"/>
      <c r="BD6" s="66" t="n"/>
    </row>
    <row r="7" ht="15" customHeight="1" s="292">
      <c r="B7" s="43" t="n"/>
      <c r="C7" s="43" t="n"/>
      <c r="D7" s="43" t="n"/>
      <c r="E7" s="43" t="n"/>
      <c r="F7" s="43" t="n"/>
      <c r="G7" s="43" t="n"/>
      <c r="H7" s="43" t="n"/>
      <c r="I7" s="43" t="n"/>
      <c r="J7" s="43" t="n"/>
      <c r="K7" s="43" t="n"/>
      <c r="L7" s="43" t="n"/>
      <c r="M7" s="43" t="n"/>
      <c r="N7" s="43" t="n"/>
      <c r="BG7" s="161" t="inlineStr">
        <is>
          <t>기준월</t>
        </is>
      </c>
      <c r="BH7" s="161" t="inlineStr">
        <is>
          <t>추천</t>
        </is>
      </c>
      <c r="BI7" s="161" t="inlineStr">
        <is>
          <t>중립</t>
        </is>
      </c>
      <c r="BJ7" s="161" t="inlineStr">
        <is>
          <t>비추천</t>
        </is>
      </c>
      <c r="BK7" s="161" t="inlineStr">
        <is>
          <t>NPS</t>
        </is>
      </c>
      <c r="BL7" s="161" t="inlineStr">
        <is>
          <t>누적NPS</t>
        </is>
      </c>
    </row>
    <row r="8" ht="15" customHeight="1" s="292">
      <c r="B8" s="43" t="n"/>
      <c r="C8" s="43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  <c r="M8" s="43" t="n"/>
      <c r="N8" s="43" t="n"/>
      <c r="BG8" s="161" t="inlineStr">
        <is>
          <t>1월</t>
        </is>
      </c>
      <c r="BH8" s="320" t="n">
        <v>80</v>
      </c>
      <c r="BI8" s="320" t="n">
        <v>6.9</v>
      </c>
      <c r="BJ8" s="320" t="n">
        <v>13.2</v>
      </c>
      <c r="BK8" s="320" t="n">
        <v>66.8</v>
      </c>
      <c r="BL8" s="320" t="n">
        <v>66.90000000000001</v>
      </c>
    </row>
    <row r="9" ht="15" customHeight="1" s="292"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BG9" s="161" t="inlineStr">
        <is>
          <t>2월</t>
        </is>
      </c>
      <c r="BH9" s="320" t="n">
        <v>76.59999999999999</v>
      </c>
      <c r="BI9" s="320" t="n">
        <v>7.8</v>
      </c>
      <c r="BJ9" s="320" t="n">
        <v>15.5</v>
      </c>
      <c r="BK9" s="320" t="n">
        <v>61.1</v>
      </c>
      <c r="BL9" s="320" t="n">
        <v>66.90000000000001</v>
      </c>
    </row>
    <row r="10" ht="15" customHeight="1" s="292">
      <c r="B10" s="43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  <c r="M10" s="43" t="n"/>
      <c r="N10" s="43" t="n"/>
      <c r="BG10" s="161" t="inlineStr">
        <is>
          <t>3월</t>
        </is>
      </c>
      <c r="BH10" s="321" t="inlineStr"/>
      <c r="BI10" s="321" t="inlineStr"/>
      <c r="BJ10" s="321" t="inlineStr"/>
      <c r="BK10" s="161" t="inlineStr"/>
      <c r="BL10" s="161" t="inlineStr"/>
    </row>
    <row r="11" ht="15" customHeight="1" s="292">
      <c r="B11" s="43" t="n"/>
      <c r="C11" s="43" t="n"/>
      <c r="D11" s="43" t="n"/>
      <c r="E11" s="43" t="n"/>
      <c r="F11" s="43" t="n"/>
      <c r="G11" s="43" t="n"/>
      <c r="H11" s="43" t="n"/>
      <c r="I11" s="164" t="inlineStr">
        <is>
          <t>NPS</t>
        </is>
      </c>
      <c r="J11" s="43" t="n"/>
      <c r="K11" s="43" t="n"/>
      <c r="L11" s="43" t="n"/>
      <c r="M11" s="43" t="n"/>
      <c r="N11" s="43" t="n"/>
      <c r="BG11" s="161" t="inlineStr">
        <is>
          <t>4월</t>
        </is>
      </c>
      <c r="BH11" s="321" t="inlineStr"/>
      <c r="BI11" s="321" t="inlineStr"/>
      <c r="BJ11" s="321" t="inlineStr"/>
      <c r="BK11" s="161" t="inlineStr"/>
      <c r="BL11" s="161" t="inlineStr"/>
    </row>
    <row r="12" ht="15" customHeight="1" s="292">
      <c r="B12" s="43" t="n"/>
      <c r="C12" s="43" t="n"/>
      <c r="D12" s="43" t="n"/>
      <c r="E12" s="43" t="n"/>
      <c r="F12" s="322" t="n">
        <v>66.90000000000001</v>
      </c>
      <c r="M12" s="43" t="n"/>
      <c r="N12" s="43" t="n"/>
      <c r="BG12" s="161" t="inlineStr">
        <is>
          <t>5월</t>
        </is>
      </c>
      <c r="BH12" s="321" t="inlineStr"/>
      <c r="BI12" s="321" t="inlineStr"/>
      <c r="BJ12" s="321" t="inlineStr"/>
      <c r="BK12" s="161" t="inlineStr"/>
      <c r="BL12" s="161" t="inlineStr"/>
    </row>
    <row r="13" ht="15" customHeight="1" s="292">
      <c r="B13" s="43" t="n"/>
      <c r="C13" s="43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  <c r="M13" s="43" t="n"/>
      <c r="N13" s="43" t="n"/>
      <c r="BG13" s="161" t="inlineStr">
        <is>
          <t>6월</t>
        </is>
      </c>
      <c r="BH13" s="321" t="inlineStr"/>
      <c r="BI13" s="321" t="inlineStr"/>
      <c r="BJ13" s="321" t="inlineStr"/>
      <c r="BK13" s="161" t="inlineStr"/>
      <c r="BL13" s="161" t="inlineStr"/>
    </row>
    <row r="14" ht="15" customHeight="1" s="292">
      <c r="BG14" s="161" t="inlineStr">
        <is>
          <t>7월</t>
        </is>
      </c>
      <c r="BH14" s="321" t="inlineStr"/>
      <c r="BI14" s="321" t="inlineStr"/>
      <c r="BJ14" s="321" t="inlineStr"/>
      <c r="BK14" s="161" t="inlineStr"/>
      <c r="BL14" s="161" t="inlineStr"/>
    </row>
    <row r="15" ht="15" customHeight="1" s="292">
      <c r="BG15" s="161" t="inlineStr">
        <is>
          <t>8월</t>
        </is>
      </c>
      <c r="BH15" s="321" t="inlineStr"/>
      <c r="BI15" s="321" t="inlineStr"/>
      <c r="BJ15" s="321" t="inlineStr"/>
      <c r="BK15" s="161" t="inlineStr"/>
      <c r="BL15" s="161" t="inlineStr"/>
    </row>
    <row r="16" ht="15" customHeight="1" s="292">
      <c r="BG16" s="161" t="inlineStr">
        <is>
          <t>9월</t>
        </is>
      </c>
      <c r="BH16" s="321" t="inlineStr"/>
      <c r="BI16" s="321" t="inlineStr"/>
      <c r="BJ16" s="321" t="inlineStr"/>
      <c r="BK16" s="161" t="inlineStr"/>
      <c r="BL16" s="161" t="inlineStr"/>
    </row>
    <row r="17" ht="15" customHeight="1" s="292">
      <c r="BG17" s="161" t="inlineStr">
        <is>
          <t>10월</t>
        </is>
      </c>
      <c r="BH17" s="321" t="inlineStr"/>
      <c r="BI17" s="321" t="inlineStr"/>
      <c r="BJ17" s="321" t="inlineStr"/>
      <c r="BK17" s="161" t="inlineStr"/>
      <c r="BL17" s="161" t="inlineStr"/>
    </row>
    <row r="18" ht="15" customHeight="1" s="292">
      <c r="BG18" s="161" t="inlineStr">
        <is>
          <t>11월</t>
        </is>
      </c>
      <c r="BH18" s="321" t="inlineStr"/>
      <c r="BI18" s="321" t="inlineStr"/>
      <c r="BJ18" s="321" t="inlineStr"/>
      <c r="BK18" s="161" t="inlineStr"/>
      <c r="BL18" s="161" t="inlineStr"/>
    </row>
    <row r="19" ht="15" customHeight="1" s="292">
      <c r="D19" s="15" t="inlineStr">
        <is>
          <t>월별 고객 충성도 그룹</t>
        </is>
      </c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  <c r="AO19" s="66" t="n"/>
      <c r="AP19" s="66" t="n"/>
      <c r="AQ19" s="66" t="n"/>
      <c r="AR19" s="66" t="n"/>
      <c r="AS19" s="66" t="n"/>
      <c r="AT19" s="66" t="n"/>
      <c r="AU19" s="66" t="n"/>
      <c r="AV19" s="66" t="n"/>
      <c r="AW19" s="66" t="n"/>
      <c r="AX19" s="66" t="n"/>
      <c r="AY19" s="66" t="n"/>
      <c r="AZ19" s="66" t="n"/>
      <c r="BA19" s="66" t="n"/>
      <c r="BB19" s="66" t="n"/>
      <c r="BC19" s="66" t="n"/>
      <c r="BD19" s="66" t="n"/>
      <c r="BG19" s="161" t="inlineStr">
        <is>
          <t>12월</t>
        </is>
      </c>
      <c r="BH19" s="321" t="inlineStr"/>
      <c r="BI19" s="321" t="inlineStr"/>
      <c r="BJ19" s="321" t="inlineStr"/>
      <c r="BK19" s="161" t="inlineStr"/>
      <c r="BL19" s="161" t="inlineStr"/>
    </row>
    <row r="20" ht="15" customHeight="1" s="292">
      <c r="BG20" s="161" t="inlineStr">
        <is>
          <t>누적</t>
        </is>
      </c>
      <c r="BH20" s="320" t="n">
        <v>80</v>
      </c>
      <c r="BI20" s="320" t="n">
        <v>6.9</v>
      </c>
      <c r="BJ20" s="320" t="n">
        <v>13.1</v>
      </c>
      <c r="BK20" s="320" t="n">
        <v>66.90000000000001</v>
      </c>
      <c r="BL20" s="320" t="n">
        <v>66.90000000000001</v>
      </c>
    </row>
    <row r="21"/>
    <row r="22"/>
    <row r="23"/>
    <row r="24"/>
    <row r="25" ht="15" customHeight="1" s="292">
      <c r="G25" s="65" t="n"/>
    </row>
    <row r="26" ht="15" customHeight="1" s="292">
      <c r="T26" s="65" t="n"/>
    </row>
    <row r="27"/>
    <row r="28"/>
    <row r="29"/>
    <row r="30"/>
    <row r="31"/>
    <row r="32"/>
    <row r="33"/>
    <row r="34" ht="15" customHeight="1" s="292">
      <c r="D34" s="5" t="inlineStr">
        <is>
          <t>【NPS 영향도】 ‘업무처리/배웅’이 26.2점으로 강점이며, ‘대기’는 -5.5점으로 개선 필요</t>
        </is>
      </c>
      <c r="K34" s="43" t="n"/>
    </row>
    <row r="35"/>
    <row r="36" ht="15" customHeight="1" s="292">
      <c r="D36" s="15" t="inlineStr">
        <is>
          <t>월별 NPS 영향도</t>
        </is>
      </c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  <c r="AO36" s="66" t="n"/>
      <c r="AP36" s="66" t="n"/>
      <c r="AQ36" s="66" t="n"/>
      <c r="AR36" s="66" t="n"/>
      <c r="AS36" s="66" t="n"/>
      <c r="AT36" s="66" t="n"/>
      <c r="AU36" s="66" t="n"/>
      <c r="AV36" s="66" t="n"/>
      <c r="AW36" s="66" t="n"/>
      <c r="AX36" s="66" t="n"/>
      <c r="AY36" s="66" t="n"/>
      <c r="AZ36" s="66" t="n"/>
      <c r="BA36" s="66" t="n"/>
      <c r="BB36" s="66" t="n"/>
      <c r="BC36" s="66" t="n"/>
      <c r="BD36" s="66" t="n"/>
    </row>
    <row r="37" ht="5.1" customHeight="1" s="292"/>
    <row r="38" ht="15" customHeight="1" s="292">
      <c r="D38" s="28" t="inlineStr">
        <is>
          <t>구분(점)</t>
        </is>
      </c>
      <c r="E38" s="28" t="n"/>
      <c r="F38" s="28" t="n"/>
      <c r="G38" s="28" t="n"/>
      <c r="H38" s="28" t="n"/>
      <c r="I38" s="28" t="n"/>
      <c r="J38" s="28" t="n"/>
      <c r="K38" s="29" t="inlineStr">
        <is>
          <t>1월</t>
        </is>
      </c>
      <c r="L38" s="30" t="n"/>
      <c r="M38" s="32" t="n"/>
      <c r="N38" s="33" t="inlineStr">
        <is>
          <t>2월</t>
        </is>
      </c>
      <c r="O38" s="30" t="n"/>
      <c r="P38" s="32" t="n"/>
      <c r="Q38" s="33" t="inlineStr">
        <is>
          <t>3월</t>
        </is>
      </c>
      <c r="R38" s="30" t="n"/>
      <c r="S38" s="32" t="n"/>
      <c r="T38" s="33" t="inlineStr">
        <is>
          <t>4월</t>
        </is>
      </c>
      <c r="U38" s="30" t="n"/>
      <c r="V38" s="32" t="n"/>
      <c r="W38" s="33" t="inlineStr">
        <is>
          <t>5월</t>
        </is>
      </c>
      <c r="X38" s="30" t="n"/>
      <c r="Y38" s="32" t="n"/>
      <c r="Z38" s="33" t="inlineStr">
        <is>
          <t>6월</t>
        </is>
      </c>
      <c r="AA38" s="30" t="n"/>
      <c r="AB38" s="32" t="n"/>
      <c r="AC38" s="33" t="inlineStr">
        <is>
          <t>7월</t>
        </is>
      </c>
      <c r="AD38" s="30" t="n"/>
      <c r="AE38" s="32" t="n"/>
      <c r="AF38" s="33" t="inlineStr">
        <is>
          <t>8월</t>
        </is>
      </c>
      <c r="AG38" s="30" t="n"/>
      <c r="AH38" s="32" t="n"/>
      <c r="AI38" s="33" t="inlineStr">
        <is>
          <t>9월</t>
        </is>
      </c>
      <c r="AJ38" s="30" t="n"/>
      <c r="AK38" s="32" t="n"/>
      <c r="AL38" s="33" t="inlineStr">
        <is>
          <t>10월</t>
        </is>
      </c>
      <c r="AM38" s="30" t="n"/>
      <c r="AN38" s="32" t="n"/>
      <c r="AO38" s="33" t="inlineStr">
        <is>
          <t>11월</t>
        </is>
      </c>
      <c r="AP38" s="30" t="n"/>
      <c r="AQ38" s="32" t="n"/>
      <c r="AR38" s="33" t="inlineStr">
        <is>
          <t>12월</t>
        </is>
      </c>
      <c r="AS38" s="30" t="n"/>
      <c r="AT38" s="30" t="n"/>
      <c r="AU38" s="29" t="inlineStr">
        <is>
          <t>누적</t>
        </is>
      </c>
      <c r="AV38" s="30" t="n"/>
      <c r="AW38" s="30" t="n"/>
      <c r="AX38" s="31" t="n"/>
      <c r="AY38" s="29" t="inlineStr">
        <is>
          <t>1월 대비</t>
        </is>
      </c>
      <c r="AZ38" s="30" t="n"/>
      <c r="BA38" s="30" t="n"/>
      <c r="BB38" s="30" t="n"/>
    </row>
    <row r="39" ht="15" customHeight="1" s="292">
      <c r="D39" s="16" t="inlineStr">
        <is>
          <t>NPS</t>
        </is>
      </c>
      <c r="E39" s="16" t="n"/>
      <c r="F39" s="16" t="n"/>
      <c r="G39" s="16" t="n"/>
      <c r="H39" s="16" t="n"/>
      <c r="I39" s="16" t="n"/>
      <c r="J39" s="17" t="n"/>
      <c r="K39" s="330" t="n">
        <v>66.8</v>
      </c>
      <c r="L39" s="159" t="n"/>
      <c r="M39" s="300" t="n"/>
      <c r="N39" s="331" t="n">
        <v>61.1</v>
      </c>
      <c r="O39" s="159" t="n"/>
      <c r="P39" s="300" t="n"/>
      <c r="Q39" s="183" t="inlineStr"/>
      <c r="R39" s="159" t="n"/>
      <c r="S39" s="300" t="n"/>
      <c r="T39" s="183" t="inlineStr"/>
      <c r="U39" s="159" t="n"/>
      <c r="V39" s="300" t="n"/>
      <c r="W39" s="183" t="inlineStr"/>
      <c r="X39" s="159" t="n"/>
      <c r="Y39" s="300" t="n"/>
      <c r="Z39" s="183" t="inlineStr"/>
      <c r="AA39" s="159" t="n"/>
      <c r="AB39" s="300" t="n"/>
      <c r="AC39" s="183" t="inlineStr"/>
      <c r="AD39" s="159" t="n"/>
      <c r="AE39" s="300" t="n"/>
      <c r="AF39" s="183" t="inlineStr"/>
      <c r="AG39" s="159" t="n"/>
      <c r="AH39" s="300" t="n"/>
      <c r="AI39" s="183" t="inlineStr"/>
      <c r="AJ39" s="159" t="n"/>
      <c r="AK39" s="300" t="n"/>
      <c r="AL39" s="183" t="inlineStr"/>
      <c r="AM39" s="159" t="n"/>
      <c r="AN39" s="300" t="n"/>
      <c r="AO39" s="183" t="inlineStr"/>
      <c r="AP39" s="159" t="n"/>
      <c r="AQ39" s="300" t="n"/>
      <c r="AR39" s="183" t="inlineStr"/>
      <c r="AS39" s="159" t="n"/>
      <c r="AT39" s="300" t="n"/>
      <c r="AU39" s="330" t="n">
        <v>66.90000000000001</v>
      </c>
      <c r="AV39" s="159" t="n"/>
      <c r="AW39" s="159" t="n"/>
      <c r="AX39" s="300" t="n"/>
      <c r="AY39" s="332" t="n">
        <v>0.1</v>
      </c>
      <c r="AZ39" s="159" t="n"/>
      <c r="BA39" s="159" t="n"/>
      <c r="BB39" s="159" t="n"/>
    </row>
    <row r="40" ht="15" customHeight="1" s="292">
      <c r="D40" s="69" t="inlineStr">
        <is>
          <t>내점/방문</t>
        </is>
      </c>
      <c r="E40" s="70" t="n"/>
      <c r="F40" s="71" t="n"/>
      <c r="G40" s="71" t="n"/>
      <c r="H40" s="71" t="n"/>
      <c r="I40" s="71" t="n"/>
      <c r="J40" s="12" t="n"/>
      <c r="K40" s="333" t="n">
        <v>9.5</v>
      </c>
      <c r="M40" s="306" t="n"/>
      <c r="N40" s="305" t="n">
        <v>10.1</v>
      </c>
      <c r="P40" s="306" t="n"/>
      <c r="Q40" s="307" t="inlineStr"/>
      <c r="S40" s="306" t="n"/>
      <c r="T40" s="307" t="inlineStr"/>
      <c r="V40" s="306" t="n"/>
      <c r="W40" s="307" t="inlineStr"/>
      <c r="Y40" s="306" t="n"/>
      <c r="Z40" s="307" t="inlineStr"/>
      <c r="AB40" s="306" t="n"/>
      <c r="AC40" s="307" t="inlineStr"/>
      <c r="AE40" s="306" t="n"/>
      <c r="AF40" s="307" t="inlineStr"/>
      <c r="AH40" s="306" t="n"/>
      <c r="AI40" s="307" t="inlineStr"/>
      <c r="AK40" s="306" t="n"/>
      <c r="AL40" s="307" t="inlineStr"/>
      <c r="AN40" s="306" t="n"/>
      <c r="AO40" s="307" t="inlineStr"/>
      <c r="AQ40" s="306" t="n"/>
      <c r="AR40" s="171" t="inlineStr"/>
      <c r="AT40" s="308" t="n"/>
      <c r="AU40" s="309" t="n">
        <v>9.5</v>
      </c>
      <c r="AX40" s="308" t="n"/>
      <c r="AY40" s="328" t="n">
        <v>0</v>
      </c>
    </row>
    <row r="41" ht="15" customHeight="1" s="292">
      <c r="D41" s="69" t="inlineStr">
        <is>
          <t>대기</t>
        </is>
      </c>
      <c r="E41" s="70" t="n"/>
      <c r="F41" s="71" t="n"/>
      <c r="G41" s="71" t="n"/>
      <c r="H41" s="71" t="n"/>
      <c r="I41" s="71" t="n"/>
      <c r="J41" s="12" t="n"/>
      <c r="K41" s="333" t="n">
        <v>-5.5</v>
      </c>
      <c r="M41" s="306" t="n"/>
      <c r="N41" s="305" t="n">
        <v>-6.6</v>
      </c>
      <c r="P41" s="306" t="n"/>
      <c r="Q41" s="307" t="inlineStr"/>
      <c r="S41" s="306" t="n"/>
      <c r="T41" s="307" t="inlineStr"/>
      <c r="V41" s="306" t="n"/>
      <c r="W41" s="307" t="inlineStr"/>
      <c r="Y41" s="306" t="n"/>
      <c r="Z41" s="307" t="inlineStr"/>
      <c r="AB41" s="306" t="n"/>
      <c r="AC41" s="307" t="inlineStr"/>
      <c r="AE41" s="306" t="n"/>
      <c r="AF41" s="307" t="inlineStr"/>
      <c r="AH41" s="306" t="n"/>
      <c r="AI41" s="307" t="inlineStr"/>
      <c r="AK41" s="306" t="n"/>
      <c r="AL41" s="307" t="inlineStr"/>
      <c r="AN41" s="306" t="n"/>
      <c r="AO41" s="307" t="inlineStr"/>
      <c r="AQ41" s="306" t="n"/>
      <c r="AR41" s="171" t="inlineStr"/>
      <c r="AT41" s="308" t="n"/>
      <c r="AU41" s="309" t="n">
        <v>-5.5</v>
      </c>
      <c r="AX41" s="308" t="n"/>
      <c r="AY41" s="328" t="n">
        <v>0</v>
      </c>
    </row>
    <row r="42" ht="15" customHeight="1" s="292">
      <c r="D42" s="69" t="inlineStr">
        <is>
          <t>맞이/의도파악</t>
        </is>
      </c>
      <c r="E42" s="70" t="n"/>
      <c r="F42" s="71" t="n"/>
      <c r="G42" s="71" t="n"/>
      <c r="H42" s="71" t="n"/>
      <c r="I42" s="71" t="n"/>
      <c r="J42" s="12" t="n"/>
      <c r="K42" s="333" t="n">
        <v>13</v>
      </c>
      <c r="M42" s="306" t="n"/>
      <c r="N42" s="305" t="n">
        <v>10.4</v>
      </c>
      <c r="P42" s="306" t="n"/>
      <c r="Q42" s="307" t="inlineStr"/>
      <c r="S42" s="306" t="n"/>
      <c r="T42" s="307" t="inlineStr"/>
      <c r="V42" s="306" t="n"/>
      <c r="W42" s="307" t="inlineStr"/>
      <c r="Y42" s="306" t="n"/>
      <c r="Z42" s="307" t="inlineStr"/>
      <c r="AB42" s="306" t="n"/>
      <c r="AC42" s="307" t="inlineStr"/>
      <c r="AE42" s="306" t="n"/>
      <c r="AF42" s="307" t="inlineStr"/>
      <c r="AH42" s="306" t="n"/>
      <c r="AI42" s="307" t="inlineStr"/>
      <c r="AK42" s="306" t="n"/>
      <c r="AL42" s="307" t="inlineStr"/>
      <c r="AN42" s="306" t="n"/>
      <c r="AO42" s="307" t="inlineStr"/>
      <c r="AQ42" s="306" t="n"/>
      <c r="AR42" s="171" t="inlineStr"/>
      <c r="AT42" s="308" t="n"/>
      <c r="AU42" s="309" t="n">
        <v>13</v>
      </c>
      <c r="AX42" s="308" t="n"/>
      <c r="AY42" s="328" t="n">
        <v>0</v>
      </c>
    </row>
    <row r="43" ht="15" customHeight="1" s="292">
      <c r="D43" s="69" t="inlineStr">
        <is>
          <t>직원상담</t>
        </is>
      </c>
      <c r="E43" s="70" t="n"/>
      <c r="F43" s="71" t="n"/>
      <c r="G43" s="71" t="n"/>
      <c r="H43" s="71" t="n"/>
      <c r="I43" s="71" t="n"/>
      <c r="J43" s="12" t="n"/>
      <c r="K43" s="333" t="n">
        <v>26.2</v>
      </c>
      <c r="M43" s="306" t="n"/>
      <c r="N43" s="305" t="n">
        <v>25.4</v>
      </c>
      <c r="P43" s="306" t="n"/>
      <c r="Q43" s="307" t="inlineStr"/>
      <c r="S43" s="306" t="n"/>
      <c r="T43" s="307" t="inlineStr"/>
      <c r="V43" s="306" t="n"/>
      <c r="W43" s="307" t="inlineStr"/>
      <c r="Y43" s="306" t="n"/>
      <c r="Z43" s="307" t="inlineStr"/>
      <c r="AB43" s="306" t="n"/>
      <c r="AC43" s="307" t="inlineStr"/>
      <c r="AE43" s="306" t="n"/>
      <c r="AF43" s="307" t="inlineStr"/>
      <c r="AH43" s="306" t="n"/>
      <c r="AI43" s="307" t="inlineStr"/>
      <c r="AK43" s="306" t="n"/>
      <c r="AL43" s="307" t="inlineStr"/>
      <c r="AN43" s="306" t="n"/>
      <c r="AO43" s="307" t="inlineStr"/>
      <c r="AQ43" s="306" t="n"/>
      <c r="AR43" s="171" t="inlineStr"/>
      <c r="AT43" s="308" t="n"/>
      <c r="AU43" s="309" t="n">
        <v>26.2</v>
      </c>
      <c r="AX43" s="308" t="n"/>
      <c r="AY43" s="328" t="n">
        <v>0</v>
      </c>
    </row>
    <row r="44" ht="15" customHeight="1" s="292">
      <c r="D44" s="27" t="inlineStr">
        <is>
          <t>업무처리/배웅</t>
        </is>
      </c>
      <c r="E44" s="72" t="n"/>
      <c r="F44" s="11" t="n"/>
      <c r="G44" s="11" t="n"/>
      <c r="H44" s="11" t="n"/>
      <c r="I44" s="11" t="n"/>
      <c r="J44" s="13" t="n"/>
      <c r="K44" s="339" t="n"/>
      <c r="L44" s="163" t="n"/>
      <c r="M44" s="312" t="n"/>
      <c r="N44" s="313" t="n"/>
      <c r="O44" s="163" t="n"/>
      <c r="P44" s="312" t="n"/>
      <c r="Q44" s="313" t="n"/>
      <c r="R44" s="163" t="n"/>
      <c r="S44" s="312" t="n"/>
      <c r="T44" s="313" t="n"/>
      <c r="U44" s="163" t="n"/>
      <c r="V44" s="312" t="n"/>
      <c r="W44" s="313" t="n"/>
      <c r="X44" s="163" t="n"/>
      <c r="Y44" s="312" t="n"/>
      <c r="Z44" s="313" t="n"/>
      <c r="AA44" s="163" t="n"/>
      <c r="AB44" s="312" t="n"/>
      <c r="AC44" s="313" t="n"/>
      <c r="AD44" s="163" t="n"/>
      <c r="AE44" s="312" t="n"/>
      <c r="AF44" s="313" t="n"/>
      <c r="AG44" s="163" t="n"/>
      <c r="AH44" s="312" t="n"/>
      <c r="AI44" s="313" t="n"/>
      <c r="AJ44" s="163" t="n"/>
      <c r="AK44" s="312" t="n"/>
      <c r="AL44" s="313" t="n"/>
      <c r="AM44" s="163" t="n"/>
      <c r="AN44" s="312" t="n"/>
      <c r="AO44" s="313" t="n"/>
      <c r="AP44" s="163" t="n"/>
      <c r="AQ44" s="312" t="n"/>
      <c r="AR44" s="176" t="n"/>
      <c r="AS44" s="163" t="n"/>
      <c r="AT44" s="314" t="n"/>
      <c r="AU44" s="177" t="n"/>
      <c r="AV44" s="163" t="n"/>
      <c r="AW44" s="163" t="n"/>
      <c r="AX44" s="314" t="n"/>
      <c r="AY44" s="182" t="n"/>
      <c r="AZ44" s="163" t="n"/>
      <c r="BA44" s="163" t="n"/>
      <c r="BB44" s="163" t="n"/>
    </row>
    <row r="45"/>
    <row r="46" ht="15" customHeight="1" s="292">
      <c r="D46" s="15" t="inlineStr">
        <is>
          <t>월별 비추천 이유 응답 비율</t>
        </is>
      </c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  <c r="AE46" s="66" t="n"/>
      <c r="AF46" s="66" t="n"/>
      <c r="AG46" s="66" t="n"/>
      <c r="AH46" s="66" t="n"/>
      <c r="AI46" s="66" t="n"/>
      <c r="AJ46" s="66" t="n"/>
      <c r="AK46" s="66" t="n"/>
      <c r="AL46" s="66" t="n"/>
      <c r="AM46" s="66" t="n"/>
      <c r="AN46" s="66" t="n"/>
      <c r="AO46" s="66" t="n"/>
      <c r="AP46" s="66" t="n"/>
      <c r="AQ46" s="66" t="n"/>
      <c r="AR46" s="66" t="n"/>
      <c r="AS46" s="66" t="n"/>
      <c r="AT46" s="66" t="n"/>
      <c r="AU46" s="66" t="n"/>
      <c r="AV46" s="66" t="n"/>
      <c r="AW46" s="66" t="n"/>
      <c r="AX46" s="66" t="n"/>
      <c r="AY46" s="66" t="n"/>
      <c r="AZ46" s="66" t="n"/>
      <c r="BA46" s="66" t="n"/>
      <c r="BB46" s="66" t="n"/>
      <c r="BC46" s="66" t="n"/>
      <c r="BD46" s="66" t="n"/>
    </row>
    <row r="47" ht="5.1" customHeight="1" s="292"/>
    <row r="48" ht="15" customHeight="1" s="292">
      <c r="D48" s="28" t="inlineStr">
        <is>
          <t>구분(%, %p)</t>
        </is>
      </c>
      <c r="E48" s="28" t="n"/>
      <c r="F48" s="28" t="n"/>
      <c r="G48" s="28" t="n"/>
      <c r="H48" s="28" t="n"/>
      <c r="I48" s="28" t="n"/>
      <c r="J48" s="28" t="n"/>
      <c r="K48" s="29" t="inlineStr">
        <is>
          <t>1월</t>
        </is>
      </c>
      <c r="L48" s="30" t="n"/>
      <c r="M48" s="32" t="n"/>
      <c r="N48" s="33" t="inlineStr">
        <is>
          <t>2월</t>
        </is>
      </c>
      <c r="O48" s="30" t="n"/>
      <c r="P48" s="32" t="n"/>
      <c r="Q48" s="33" t="inlineStr">
        <is>
          <t>3월</t>
        </is>
      </c>
      <c r="R48" s="30" t="n"/>
      <c r="S48" s="32" t="n"/>
      <c r="T48" s="33" t="inlineStr">
        <is>
          <t>4월</t>
        </is>
      </c>
      <c r="U48" s="30" t="n"/>
      <c r="V48" s="32" t="n"/>
      <c r="W48" s="33" t="inlineStr">
        <is>
          <t>5월</t>
        </is>
      </c>
      <c r="X48" s="30" t="n"/>
      <c r="Y48" s="32" t="n"/>
      <c r="Z48" s="33" t="inlineStr">
        <is>
          <t>6월</t>
        </is>
      </c>
      <c r="AA48" s="30" t="n"/>
      <c r="AB48" s="32" t="n"/>
      <c r="AC48" s="33" t="inlineStr">
        <is>
          <t>7월</t>
        </is>
      </c>
      <c r="AD48" s="30" t="n"/>
      <c r="AE48" s="32" t="n"/>
      <c r="AF48" s="33" t="inlineStr">
        <is>
          <t>8월</t>
        </is>
      </c>
      <c r="AG48" s="30" t="n"/>
      <c r="AH48" s="32" t="n"/>
      <c r="AI48" s="33" t="inlineStr">
        <is>
          <t>9월</t>
        </is>
      </c>
      <c r="AJ48" s="30" t="n"/>
      <c r="AK48" s="32" t="n"/>
      <c r="AL48" s="33" t="inlineStr">
        <is>
          <t>10월</t>
        </is>
      </c>
      <c r="AM48" s="30" t="n"/>
      <c r="AN48" s="32" t="n"/>
      <c r="AO48" s="33" t="inlineStr">
        <is>
          <t>11월</t>
        </is>
      </c>
      <c r="AP48" s="30" t="n"/>
      <c r="AQ48" s="32" t="n"/>
      <c r="AR48" s="33" t="inlineStr">
        <is>
          <t>12월</t>
        </is>
      </c>
      <c r="AS48" s="30" t="n"/>
      <c r="AT48" s="30" t="n"/>
      <c r="AU48" s="29" t="inlineStr">
        <is>
          <t>누적</t>
        </is>
      </c>
      <c r="AV48" s="30" t="n"/>
      <c r="AW48" s="30" t="n"/>
      <c r="AX48" s="31" t="n"/>
      <c r="AY48" s="29" t="inlineStr">
        <is>
          <t>1월 대비</t>
        </is>
      </c>
      <c r="AZ48" s="30" t="n"/>
      <c r="BA48" s="30" t="n"/>
      <c r="BB48" s="30" t="n"/>
    </row>
    <row r="49" ht="15" customHeight="1" s="292">
      <c r="D49" s="16" t="inlineStr">
        <is>
          <t>NPS</t>
        </is>
      </c>
      <c r="E49" s="16" t="n"/>
      <c r="F49" s="16" t="n"/>
      <c r="G49" s="16" t="n"/>
      <c r="H49" s="16" t="n"/>
      <c r="I49" s="16" t="n"/>
      <c r="J49" s="17" t="n"/>
      <c r="K49" s="335">
        <f>IF(K50="", "", 100)</f>
        <v/>
      </c>
      <c r="L49" s="159" t="n"/>
      <c r="M49" s="300" t="n"/>
      <c r="N49" s="336">
        <f>IF(N50="", "", 100)</f>
        <v/>
      </c>
      <c r="O49" s="159" t="n"/>
      <c r="P49" s="300" t="n"/>
      <c r="Q49" s="336">
        <f>IF(Q50="", "", 100)</f>
        <v/>
      </c>
      <c r="R49" s="159" t="n"/>
      <c r="S49" s="300" t="n"/>
      <c r="T49" s="336">
        <f>IF(T50="", "", 100)</f>
        <v/>
      </c>
      <c r="U49" s="159" t="n"/>
      <c r="V49" s="300" t="n"/>
      <c r="W49" s="336">
        <f>IF(W50="", "", 100)</f>
        <v/>
      </c>
      <c r="X49" s="159" t="n"/>
      <c r="Y49" s="300" t="n"/>
      <c r="Z49" s="336">
        <f>IF(Z50="", "", 100)</f>
        <v/>
      </c>
      <c r="AA49" s="159" t="n"/>
      <c r="AB49" s="300" t="n"/>
      <c r="AC49" s="336">
        <f>IF(AC50="", "", 100)</f>
        <v/>
      </c>
      <c r="AD49" s="159" t="n"/>
      <c r="AE49" s="300" t="n"/>
      <c r="AF49" s="336">
        <f>IF(AF50="", "", 100)</f>
        <v/>
      </c>
      <c r="AG49" s="159" t="n"/>
      <c r="AH49" s="300" t="n"/>
      <c r="AI49" s="336">
        <f>IF(AI50="", "", 100)</f>
        <v/>
      </c>
      <c r="AJ49" s="159" t="n"/>
      <c r="AK49" s="300" t="n"/>
      <c r="AL49" s="336">
        <f>IF(AL50="", "", 100)</f>
        <v/>
      </c>
      <c r="AM49" s="159" t="n"/>
      <c r="AN49" s="300" t="n"/>
      <c r="AO49" s="336">
        <f>IF(AO50="", "", 100)</f>
        <v/>
      </c>
      <c r="AP49" s="159" t="n"/>
      <c r="AQ49" s="300" t="n"/>
      <c r="AR49" s="336">
        <f>IF(AR50="", "", 100)</f>
        <v/>
      </c>
      <c r="AS49" s="159" t="n"/>
      <c r="AT49" s="300" t="n"/>
      <c r="AU49" s="337" t="n">
        <v>100</v>
      </c>
      <c r="AV49" s="159" t="n"/>
      <c r="AW49" s="159" t="n"/>
      <c r="AX49" s="302" t="n"/>
      <c r="AY49" s="338" t="inlineStr">
        <is>
          <t>-</t>
        </is>
      </c>
      <c r="AZ49" s="159" t="n"/>
      <c r="BA49" s="159" t="n"/>
      <c r="BB49" s="159" t="n"/>
    </row>
    <row r="50" ht="15" customHeight="1" s="292">
      <c r="D50" s="69" t="inlineStr">
        <is>
          <t>내점/방문</t>
        </is>
      </c>
      <c r="E50" s="70" t="n"/>
      <c r="F50" s="71" t="n"/>
      <c r="G50" s="71" t="n"/>
      <c r="H50" s="71" t="n"/>
      <c r="I50" s="71" t="n"/>
      <c r="J50" s="12" t="n"/>
      <c r="K50" s="333" t="n">
        <v>1.6</v>
      </c>
      <c r="M50" s="306" t="n"/>
      <c r="N50" s="305" t="n">
        <v>2.2</v>
      </c>
      <c r="P50" s="306" t="n"/>
      <c r="Q50" s="307" t="inlineStr"/>
      <c r="S50" s="306" t="n"/>
      <c r="T50" s="307" t="inlineStr"/>
      <c r="V50" s="306" t="n"/>
      <c r="W50" s="307" t="inlineStr"/>
      <c r="Y50" s="306" t="n"/>
      <c r="Z50" s="307" t="inlineStr"/>
      <c r="AB50" s="306" t="n"/>
      <c r="AC50" s="307" t="inlineStr"/>
      <c r="AE50" s="306" t="n"/>
      <c r="AF50" s="307" t="inlineStr"/>
      <c r="AH50" s="306" t="n"/>
      <c r="AI50" s="307" t="inlineStr"/>
      <c r="AK50" s="306" t="n"/>
      <c r="AL50" s="307" t="inlineStr"/>
      <c r="AN50" s="306" t="n"/>
      <c r="AO50" s="307" t="inlineStr"/>
      <c r="AQ50" s="306" t="n"/>
      <c r="AR50" s="171" t="inlineStr"/>
      <c r="AT50" s="308" t="n"/>
      <c r="AU50" s="309" t="n">
        <v>1.6</v>
      </c>
      <c r="AX50" s="308" t="n"/>
      <c r="AY50" s="328" t="n">
        <v>0</v>
      </c>
    </row>
    <row r="51" ht="15" customHeight="1" s="292">
      <c r="D51" s="69" t="inlineStr">
        <is>
          <t>대기</t>
        </is>
      </c>
      <c r="E51" s="70" t="n"/>
      <c r="F51" s="71" t="n"/>
      <c r="G51" s="71" t="n"/>
      <c r="H51" s="71" t="n"/>
      <c r="I51" s="71" t="n"/>
      <c r="J51" s="12" t="n"/>
      <c r="K51" s="333" t="n">
        <v>6.7</v>
      </c>
      <c r="M51" s="306" t="n"/>
      <c r="N51" s="305" t="n">
        <v>8</v>
      </c>
      <c r="P51" s="306" t="n"/>
      <c r="Q51" s="307" t="inlineStr"/>
      <c r="S51" s="306" t="n"/>
      <c r="T51" s="307" t="inlineStr"/>
      <c r="V51" s="306" t="n"/>
      <c r="W51" s="307" t="inlineStr"/>
      <c r="Y51" s="306" t="n"/>
      <c r="Z51" s="307" t="inlineStr"/>
      <c r="AB51" s="306" t="n"/>
      <c r="AC51" s="307" t="inlineStr"/>
      <c r="AE51" s="306" t="n"/>
      <c r="AF51" s="307" t="inlineStr"/>
      <c r="AH51" s="306" t="n"/>
      <c r="AI51" s="307" t="inlineStr"/>
      <c r="AK51" s="306" t="n"/>
      <c r="AL51" s="307" t="inlineStr"/>
      <c r="AN51" s="306" t="n"/>
      <c r="AO51" s="307" t="inlineStr"/>
      <c r="AQ51" s="306" t="n"/>
      <c r="AR51" s="171" t="inlineStr"/>
      <c r="AT51" s="308" t="n"/>
      <c r="AU51" s="309" t="n">
        <v>6.7</v>
      </c>
      <c r="AX51" s="308" t="n"/>
      <c r="AY51" s="328" t="n">
        <v>0</v>
      </c>
    </row>
    <row r="52" ht="15" customHeight="1" s="292">
      <c r="D52" s="69" t="inlineStr">
        <is>
          <t>맞이/의도파악</t>
        </is>
      </c>
      <c r="E52" s="70" t="n"/>
      <c r="F52" s="71" t="n"/>
      <c r="G52" s="71" t="n"/>
      <c r="H52" s="71" t="n"/>
      <c r="I52" s="71" t="n"/>
      <c r="J52" s="12" t="n"/>
      <c r="K52" s="333" t="n">
        <v>0.8</v>
      </c>
      <c r="M52" s="306" t="n"/>
      <c r="N52" s="305" t="n">
        <v>0.9</v>
      </c>
      <c r="P52" s="306" t="n"/>
      <c r="Q52" s="307" t="inlineStr"/>
      <c r="S52" s="306" t="n"/>
      <c r="T52" s="307" t="inlineStr"/>
      <c r="V52" s="306" t="n"/>
      <c r="W52" s="307" t="inlineStr"/>
      <c r="Y52" s="306" t="n"/>
      <c r="Z52" s="307" t="inlineStr"/>
      <c r="AB52" s="306" t="n"/>
      <c r="AC52" s="307" t="inlineStr"/>
      <c r="AE52" s="306" t="n"/>
      <c r="AF52" s="307" t="inlineStr"/>
      <c r="AH52" s="306" t="n"/>
      <c r="AI52" s="307" t="inlineStr"/>
      <c r="AK52" s="306" t="n"/>
      <c r="AL52" s="307" t="inlineStr"/>
      <c r="AN52" s="306" t="n"/>
      <c r="AO52" s="307" t="inlineStr"/>
      <c r="AQ52" s="306" t="n"/>
      <c r="AR52" s="171" t="inlineStr"/>
      <c r="AT52" s="308" t="n"/>
      <c r="AU52" s="309" t="n">
        <v>0.8</v>
      </c>
      <c r="AX52" s="308" t="n"/>
      <c r="AY52" s="328" t="n">
        <v>0</v>
      </c>
    </row>
    <row r="53" ht="15" customHeight="1" s="292">
      <c r="D53" s="69" t="inlineStr">
        <is>
          <t>직원상담</t>
        </is>
      </c>
      <c r="E53" s="70" t="n"/>
      <c r="F53" s="71" t="n"/>
      <c r="G53" s="71" t="n"/>
      <c r="H53" s="71" t="n"/>
      <c r="I53" s="71" t="n"/>
      <c r="J53" s="12" t="n"/>
      <c r="K53" s="333" t="n">
        <v>2.1</v>
      </c>
      <c r="M53" s="306" t="n"/>
      <c r="N53" s="305" t="n">
        <v>2.2</v>
      </c>
      <c r="P53" s="306" t="n"/>
      <c r="Q53" s="307" t="inlineStr"/>
      <c r="S53" s="306" t="n"/>
      <c r="T53" s="307" t="inlineStr"/>
      <c r="V53" s="306" t="n"/>
      <c r="W53" s="307" t="inlineStr"/>
      <c r="Y53" s="306" t="n"/>
      <c r="Z53" s="307" t="inlineStr"/>
      <c r="AB53" s="306" t="n"/>
      <c r="AC53" s="307" t="inlineStr"/>
      <c r="AE53" s="306" t="n"/>
      <c r="AF53" s="307" t="inlineStr"/>
      <c r="AH53" s="306" t="n"/>
      <c r="AI53" s="307" t="inlineStr"/>
      <c r="AK53" s="306" t="n"/>
      <c r="AL53" s="307" t="inlineStr"/>
      <c r="AN53" s="306" t="n"/>
      <c r="AO53" s="307" t="inlineStr"/>
      <c r="AQ53" s="306" t="n"/>
      <c r="AR53" s="171" t="inlineStr"/>
      <c r="AT53" s="308" t="n"/>
      <c r="AU53" s="309" t="n">
        <v>2.1</v>
      </c>
      <c r="AX53" s="308" t="n"/>
      <c r="AY53" s="328" t="n">
        <v>0</v>
      </c>
    </row>
    <row r="54" ht="15" customHeight="1" s="292">
      <c r="D54" s="27" t="inlineStr">
        <is>
          <t>업무처리/배웅</t>
        </is>
      </c>
      <c r="E54" s="72" t="n"/>
      <c r="F54" s="11" t="n"/>
      <c r="G54" s="11" t="n"/>
      <c r="H54" s="11" t="n"/>
      <c r="I54" s="11" t="n"/>
      <c r="J54" s="13" t="n"/>
      <c r="K54" s="339" t="n"/>
      <c r="L54" s="163" t="n"/>
      <c r="M54" s="312" t="n"/>
      <c r="N54" s="313" t="n"/>
      <c r="O54" s="163" t="n"/>
      <c r="P54" s="312" t="n"/>
      <c r="Q54" s="313" t="n"/>
      <c r="R54" s="163" t="n"/>
      <c r="S54" s="312" t="n"/>
      <c r="T54" s="313" t="n"/>
      <c r="U54" s="163" t="n"/>
      <c r="V54" s="312" t="n"/>
      <c r="W54" s="313" t="n"/>
      <c r="X54" s="163" t="n"/>
      <c r="Y54" s="312" t="n"/>
      <c r="Z54" s="313" t="n"/>
      <c r="AA54" s="163" t="n"/>
      <c r="AB54" s="312" t="n"/>
      <c r="AC54" s="313" t="n"/>
      <c r="AD54" s="163" t="n"/>
      <c r="AE54" s="312" t="n"/>
      <c r="AF54" s="313" t="n"/>
      <c r="AG54" s="163" t="n"/>
      <c r="AH54" s="312" t="n"/>
      <c r="AI54" s="313" t="n"/>
      <c r="AJ54" s="163" t="n"/>
      <c r="AK54" s="312" t="n"/>
      <c r="AL54" s="313" t="n"/>
      <c r="AM54" s="163" t="n"/>
      <c r="AN54" s="312" t="n"/>
      <c r="AO54" s="313" t="n"/>
      <c r="AP54" s="163" t="n"/>
      <c r="AQ54" s="312" t="n"/>
      <c r="AR54" s="176" t="n"/>
      <c r="AS54" s="163" t="n"/>
      <c r="AT54" s="314" t="n"/>
      <c r="AU54" s="177" t="n"/>
      <c r="AV54" s="163" t="n"/>
      <c r="AW54" s="163" t="n"/>
      <c r="AX54" s="314" t="n"/>
      <c r="AY54" s="182" t="n"/>
      <c r="AZ54" s="163" t="n"/>
      <c r="BA54" s="163" t="n"/>
      <c r="BB54" s="163" t="n"/>
    </row>
  </sheetData>
  <mergeCells count="169">
    <mergeCell ref="Z43:AB43"/>
    <mergeCell ref="AF54:AH54"/>
    <mergeCell ref="AC53:AE53"/>
    <mergeCell ref="N42:P42"/>
    <mergeCell ref="AO53:AQ53"/>
    <mergeCell ref="K40:M40"/>
    <mergeCell ref="N44:P44"/>
    <mergeCell ref="AI54:AK54"/>
    <mergeCell ref="AL42:AN42"/>
    <mergeCell ref="AF42:AH42"/>
    <mergeCell ref="AL43:AN43"/>
    <mergeCell ref="AC40:AE40"/>
    <mergeCell ref="AL52:AN52"/>
    <mergeCell ref="AL39:AN39"/>
    <mergeCell ref="AI43:AK43"/>
    <mergeCell ref="AY41:BB41"/>
    <mergeCell ref="Q41:S41"/>
    <mergeCell ref="AI42:AK42"/>
    <mergeCell ref="AR44:AT44"/>
    <mergeCell ref="AU40:AX40"/>
    <mergeCell ref="AC41:AE41"/>
    <mergeCell ref="AL44:AN44"/>
    <mergeCell ref="W53:Y53"/>
    <mergeCell ref="W44:Y44"/>
    <mergeCell ref="AY43:BB43"/>
    <mergeCell ref="AR42:AT42"/>
    <mergeCell ref="Q43:S43"/>
    <mergeCell ref="AF39:AH39"/>
    <mergeCell ref="AI44:AK44"/>
    <mergeCell ref="Q42:S42"/>
    <mergeCell ref="AY44:BB44"/>
    <mergeCell ref="T54:V54"/>
    <mergeCell ref="AC43:AE43"/>
    <mergeCell ref="K44:M44"/>
    <mergeCell ref="AL41:AN41"/>
    <mergeCell ref="AO43:AQ43"/>
    <mergeCell ref="AU53:AX53"/>
    <mergeCell ref="AC39:AE39"/>
    <mergeCell ref="AO39:AQ39"/>
    <mergeCell ref="AU50:AX50"/>
    <mergeCell ref="AC42:AE42"/>
    <mergeCell ref="T40:V40"/>
    <mergeCell ref="AO42:AQ42"/>
    <mergeCell ref="Q44:S44"/>
    <mergeCell ref="Z42:AB42"/>
    <mergeCell ref="Z51:AB51"/>
    <mergeCell ref="AU52:AX52"/>
    <mergeCell ref="AC44:AE44"/>
    <mergeCell ref="AF50:AH50"/>
    <mergeCell ref="AU39:AX39"/>
    <mergeCell ref="AO44:AQ44"/>
    <mergeCell ref="Z44:AB44"/>
    <mergeCell ref="AF52:AH52"/>
    <mergeCell ref="AC51:AE51"/>
    <mergeCell ref="N49:P49"/>
    <mergeCell ref="AU44:AX44"/>
    <mergeCell ref="AO51:AQ51"/>
    <mergeCell ref="AY42:BB42"/>
    <mergeCell ref="K49:M49"/>
    <mergeCell ref="T39:V39"/>
    <mergeCell ref="W40:Y40"/>
    <mergeCell ref="W49:Y49"/>
    <mergeCell ref="T49:V49"/>
    <mergeCell ref="AF49:AH49"/>
    <mergeCell ref="T42:V42"/>
    <mergeCell ref="AR39:AT39"/>
    <mergeCell ref="AY51:BB51"/>
    <mergeCell ref="AU54:AX54"/>
    <mergeCell ref="Q51:S51"/>
    <mergeCell ref="AU41:AX41"/>
    <mergeCell ref="T50:V50"/>
    <mergeCell ref="T44:V44"/>
    <mergeCell ref="AI49:AK49"/>
    <mergeCell ref="AF44:AH44"/>
    <mergeCell ref="Q50:S50"/>
    <mergeCell ref="AI50:AK50"/>
    <mergeCell ref="AU43:AX43"/>
    <mergeCell ref="AI51:AK51"/>
    <mergeCell ref="AR40:AT40"/>
    <mergeCell ref="T51:V51"/>
    <mergeCell ref="AR49:AT49"/>
    <mergeCell ref="AF51:AH51"/>
    <mergeCell ref="AU42:AX42"/>
    <mergeCell ref="Q49:S49"/>
    <mergeCell ref="T41:V41"/>
    <mergeCell ref="K39:M39"/>
    <mergeCell ref="AF41:AH41"/>
    <mergeCell ref="N40:P40"/>
    <mergeCell ref="W52:Y52"/>
    <mergeCell ref="W39:Y39"/>
    <mergeCell ref="T43:V43"/>
    <mergeCell ref="AL51:AN51"/>
    <mergeCell ref="T52:V52"/>
    <mergeCell ref="AO50:AQ50"/>
    <mergeCell ref="AL54:AN54"/>
    <mergeCell ref="AR50:AT50"/>
    <mergeCell ref="AC52:AE52"/>
    <mergeCell ref="AL50:AN50"/>
    <mergeCell ref="F12:L12"/>
    <mergeCell ref="AO52:AQ52"/>
    <mergeCell ref="Z49:AB49"/>
    <mergeCell ref="AI53:AK53"/>
    <mergeCell ref="AL49:AN49"/>
    <mergeCell ref="Q54:S54"/>
    <mergeCell ref="N53:P53"/>
    <mergeCell ref="AI40:AK40"/>
    <mergeCell ref="AR52:AT52"/>
    <mergeCell ref="AF53:AH53"/>
    <mergeCell ref="K51:M51"/>
    <mergeCell ref="Z53:AB53"/>
    <mergeCell ref="W51:Y51"/>
    <mergeCell ref="Z50:AB50"/>
    <mergeCell ref="K41:M41"/>
    <mergeCell ref="W54:Y54"/>
    <mergeCell ref="K50:M50"/>
    <mergeCell ref="W41:Y41"/>
    <mergeCell ref="N52:P52"/>
    <mergeCell ref="W50:Y50"/>
    <mergeCell ref="AL53:AN53"/>
    <mergeCell ref="AY40:BB40"/>
    <mergeCell ref="N39:P39"/>
    <mergeCell ref="AI41:AK41"/>
    <mergeCell ref="Q40:S40"/>
    <mergeCell ref="Z52:AB52"/>
    <mergeCell ref="K43:M43"/>
    <mergeCell ref="AY54:BB54"/>
    <mergeCell ref="K52:M52"/>
    <mergeCell ref="Z39:AB39"/>
    <mergeCell ref="AC54:AE54"/>
    <mergeCell ref="W43:Y43"/>
    <mergeCell ref="AR53:AT53"/>
    <mergeCell ref="K42:M42"/>
    <mergeCell ref="AO54:AQ54"/>
    <mergeCell ref="AC50:AE50"/>
    <mergeCell ref="AO41:AQ41"/>
    <mergeCell ref="W42:Y42"/>
    <mergeCell ref="AU51:AX51"/>
    <mergeCell ref="K53:M53"/>
    <mergeCell ref="AF40:AH40"/>
    <mergeCell ref="AR51:AT51"/>
    <mergeCell ref="AC49:AE49"/>
    <mergeCell ref="AR54:AT54"/>
    <mergeCell ref="AO40:AQ40"/>
    <mergeCell ref="AO49:AQ49"/>
    <mergeCell ref="AR41:AT41"/>
    <mergeCell ref="Z40:AB40"/>
    <mergeCell ref="AI52:AK52"/>
    <mergeCell ref="AY53:BB53"/>
    <mergeCell ref="Q53:S53"/>
    <mergeCell ref="AI39:AK39"/>
    <mergeCell ref="AL40:AN40"/>
    <mergeCell ref="AF43:AH43"/>
    <mergeCell ref="AY50:BB50"/>
    <mergeCell ref="N54:P54"/>
    <mergeCell ref="AR43:AT43"/>
    <mergeCell ref="AU49:AX49"/>
    <mergeCell ref="N41:P41"/>
    <mergeCell ref="Z54:AB54"/>
    <mergeCell ref="N50:P50"/>
    <mergeCell ref="K54:M54"/>
    <mergeCell ref="AY52:BB52"/>
    <mergeCell ref="Z41:AB41"/>
    <mergeCell ref="Q52:S52"/>
    <mergeCell ref="N51:P51"/>
    <mergeCell ref="AY39:BB39"/>
    <mergeCell ref="T53:V53"/>
    <mergeCell ref="Q39:S39"/>
    <mergeCell ref="N43:P43"/>
    <mergeCell ref="AY49:BB49"/>
  </mergeCells>
  <pageMargins left="0.25" right="0.25" top="0.75" bottom="0.75" header="0.3" footer="0.3"/>
  <pageSetup orientation="portrait" paperSize="9" scale="7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56"/>
  <sheetViews>
    <sheetView showGridLines="0" view="pageBreakPreview" zoomScaleNormal="100" zoomScaleSheetLayoutView="100" workbookViewId="0">
      <selection activeCell="A1" sqref="A1"/>
    </sheetView>
  </sheetViews>
  <sheetFormatPr baseColWidth="8" defaultColWidth="9.625" defaultRowHeight="15" customHeight="1"/>
  <cols>
    <col width="1.625" customWidth="1" style="161" min="1" max="57"/>
    <col width="9.625" customWidth="1" style="161" min="58" max="16384"/>
  </cols>
  <sheetData>
    <row r="1" ht="8.1" customHeight="1" s="292"/>
    <row r="2" ht="15" customHeight="1" s="292">
      <c r="B2" s="2" t="inlineStr">
        <is>
          <t>4. 고객센터</t>
        </is>
      </c>
      <c r="C2" s="64" t="n"/>
      <c r="D2" s="64" t="n"/>
      <c r="E2" s="64" t="n"/>
      <c r="F2" s="64" t="n"/>
      <c r="G2" s="64" t="n"/>
      <c r="H2" s="64" t="n"/>
      <c r="I2" s="64" t="n"/>
      <c r="J2" s="64" t="n"/>
      <c r="K2" s="64" t="n"/>
      <c r="L2" s="64" t="n"/>
      <c r="M2" s="64" t="n"/>
      <c r="N2" s="64" t="n"/>
      <c r="O2" s="64" t="n"/>
      <c r="P2" s="64" t="n"/>
      <c r="Q2" s="64" t="n"/>
      <c r="R2" s="64" t="n"/>
      <c r="S2" s="64" t="n"/>
      <c r="T2" s="64" t="n"/>
      <c r="U2" s="64" t="n"/>
      <c r="V2" s="64" t="n"/>
      <c r="W2" s="64" t="n"/>
      <c r="X2" s="64" t="n"/>
      <c r="Y2" s="64" t="n"/>
      <c r="Z2" s="64" t="n"/>
      <c r="AA2" s="64" t="n"/>
      <c r="AB2" s="64" t="n"/>
      <c r="AC2" s="64" t="n"/>
      <c r="AD2" s="64" t="n"/>
      <c r="AE2" s="64" t="n"/>
      <c r="AF2" s="64" t="n"/>
      <c r="AG2" s="64" t="n"/>
      <c r="AH2" s="64" t="n"/>
      <c r="AI2" s="64" t="n"/>
      <c r="AJ2" s="64" t="n"/>
      <c r="AK2" s="64" t="n"/>
      <c r="AL2" s="64" t="n"/>
      <c r="AM2" s="64" t="n"/>
      <c r="AN2" s="64" t="n"/>
      <c r="AO2" s="64" t="n"/>
      <c r="AP2" s="64" t="n"/>
      <c r="AQ2" s="64" t="n"/>
      <c r="AR2" s="64" t="n"/>
      <c r="AS2" s="64" t="n"/>
      <c r="AT2" s="64" t="n"/>
      <c r="AU2" s="64" t="n"/>
      <c r="AV2" s="64" t="n"/>
      <c r="AW2" s="64" t="n"/>
      <c r="AX2" s="64" t="n"/>
      <c r="AY2" s="64" t="n"/>
      <c r="AZ2" s="64" t="n"/>
      <c r="BA2" s="64" t="n"/>
      <c r="BB2" s="64" t="n"/>
      <c r="BC2" s="64" t="n"/>
      <c r="BD2" s="64" t="n"/>
    </row>
    <row r="3" ht="5.25" customHeight="1" s="292"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</row>
    <row r="4" ht="15" customHeight="1" s="292">
      <c r="B4" s="21" t="n"/>
      <c r="D4" s="5" t="inlineStr">
        <is>
          <t>【NPS】 25. 2월 고객센터 NPS는 15.3점으로 업계 평균 하단이며, 1월 36.2점 대비 -20.9점 하락해 개선이 필요함</t>
        </is>
      </c>
      <c r="E4" s="43" t="n"/>
      <c r="F4" s="43" t="n"/>
      <c r="H4" s="43" t="n"/>
    </row>
    <row r="5" ht="15" customHeight="1" s="292">
      <c r="D5" s="25" t="inlineStr">
        <is>
          <t>- 고객센터 추천 51.1%, 중립 13.0%, 비추천 35.8%로, 1월 대비 추천 -10.2%p 및 비추천 +10.6%p 악화됨</t>
        </is>
      </c>
      <c r="E5" s="25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</row>
    <row r="6" ht="15" customHeight="1" s="292">
      <c r="D6" s="15" t="inlineStr">
        <is>
          <t>고객센터 Bottom-Up NPS 현황</t>
        </is>
      </c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  <c r="AO6" s="66" t="n"/>
      <c r="AP6" s="66" t="n"/>
      <c r="AQ6" s="66" t="n"/>
      <c r="AR6" s="66" t="n"/>
      <c r="AS6" s="66" t="n"/>
      <c r="AT6" s="66" t="n"/>
      <c r="AU6" s="66" t="n"/>
      <c r="AV6" s="66" t="n"/>
      <c r="AW6" s="66" t="n"/>
      <c r="AX6" s="66" t="n"/>
      <c r="AY6" s="66" t="n"/>
      <c r="AZ6" s="66" t="n"/>
      <c r="BA6" s="66" t="n"/>
      <c r="BB6" s="66" t="n"/>
      <c r="BC6" s="66" t="n"/>
      <c r="BD6" s="66" t="n"/>
    </row>
    <row r="7" ht="15" customHeight="1" s="292">
      <c r="B7" s="43" t="n"/>
      <c r="C7" s="43" t="n"/>
      <c r="D7" s="43" t="n"/>
      <c r="E7" s="43" t="n"/>
      <c r="F7" s="43" t="n"/>
      <c r="G7" s="43" t="n"/>
      <c r="H7" s="43" t="n"/>
      <c r="I7" s="43" t="n"/>
      <c r="J7" s="43" t="n"/>
      <c r="K7" s="43" t="n"/>
      <c r="L7" s="43" t="n"/>
      <c r="M7" s="43" t="n"/>
      <c r="N7" s="43" t="n"/>
      <c r="BG7" s="161" t="inlineStr">
        <is>
          <t>기준월</t>
        </is>
      </c>
      <c r="BH7" s="161" t="inlineStr">
        <is>
          <t>추천</t>
        </is>
      </c>
      <c r="BI7" s="161" t="inlineStr">
        <is>
          <t>중립</t>
        </is>
      </c>
      <c r="BJ7" s="161" t="inlineStr">
        <is>
          <t>비추천</t>
        </is>
      </c>
      <c r="BK7" s="161" t="inlineStr">
        <is>
          <t>NPS</t>
        </is>
      </c>
      <c r="BL7" s="161" t="inlineStr">
        <is>
          <t>누적NPS</t>
        </is>
      </c>
    </row>
    <row r="8" ht="15" customHeight="1" s="292">
      <c r="B8" s="43" t="n"/>
      <c r="C8" s="43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  <c r="M8" s="43" t="n"/>
      <c r="N8" s="43" t="n"/>
      <c r="BG8" s="161" t="inlineStr">
        <is>
          <t>1월</t>
        </is>
      </c>
      <c r="BH8" s="320" t="n">
        <v>61.3</v>
      </c>
      <c r="BI8" s="320" t="n">
        <v>13.5</v>
      </c>
      <c r="BJ8" s="320" t="n">
        <v>25.2</v>
      </c>
      <c r="BK8" s="320" t="n">
        <v>36.2</v>
      </c>
      <c r="BL8" s="320" t="n">
        <v>36.8</v>
      </c>
    </row>
    <row r="9" ht="15" customHeight="1" s="292"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BG9" s="161" t="inlineStr">
        <is>
          <t>2월</t>
        </is>
      </c>
      <c r="BH9" s="320" t="n">
        <v>51.1</v>
      </c>
      <c r="BI9" s="320" t="n">
        <v>13</v>
      </c>
      <c r="BJ9" s="320" t="n">
        <v>35.8</v>
      </c>
      <c r="BK9" s="320" t="n">
        <v>15.3</v>
      </c>
      <c r="BL9" s="320" t="n">
        <v>36.8</v>
      </c>
    </row>
    <row r="10" ht="15" customHeight="1" s="292">
      <c r="B10" s="43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  <c r="M10" s="43" t="n"/>
      <c r="N10" s="43" t="n"/>
      <c r="BG10" s="161" t="inlineStr">
        <is>
          <t>3월</t>
        </is>
      </c>
      <c r="BH10" s="321" t="inlineStr"/>
      <c r="BI10" s="321" t="inlineStr"/>
      <c r="BJ10" s="321" t="inlineStr"/>
      <c r="BK10" s="161" t="inlineStr"/>
      <c r="BL10" s="161" t="inlineStr"/>
    </row>
    <row r="11" ht="15" customHeight="1" s="292">
      <c r="B11" s="43" t="n"/>
      <c r="C11" s="43" t="n"/>
      <c r="D11" s="43" t="n"/>
      <c r="E11" s="43" t="n"/>
      <c r="F11" s="43" t="n"/>
      <c r="G11" s="43" t="n"/>
      <c r="H11" s="43" t="n"/>
      <c r="I11" s="164" t="inlineStr">
        <is>
          <t>NPS</t>
        </is>
      </c>
      <c r="J11" s="43" t="n"/>
      <c r="K11" s="43" t="n"/>
      <c r="L11" s="43" t="n"/>
      <c r="M11" s="43" t="n"/>
      <c r="N11" s="43" t="n"/>
      <c r="BG11" s="161" t="inlineStr">
        <is>
          <t>4월</t>
        </is>
      </c>
      <c r="BH11" s="321" t="inlineStr"/>
      <c r="BI11" s="321" t="inlineStr"/>
      <c r="BJ11" s="321" t="inlineStr"/>
      <c r="BK11" s="161" t="inlineStr"/>
      <c r="BL11" s="161" t="inlineStr"/>
    </row>
    <row r="12" ht="15" customHeight="1" s="292">
      <c r="B12" s="43" t="n"/>
      <c r="C12" s="43" t="n"/>
      <c r="D12" s="43" t="n"/>
      <c r="E12" s="43" t="n"/>
      <c r="F12" s="322" t="n">
        <v>36.8</v>
      </c>
      <c r="M12" s="43" t="n"/>
      <c r="N12" s="43" t="n"/>
      <c r="BG12" s="161" t="inlineStr">
        <is>
          <t>5월</t>
        </is>
      </c>
      <c r="BH12" s="321" t="inlineStr"/>
      <c r="BI12" s="321" t="inlineStr"/>
      <c r="BJ12" s="321" t="inlineStr"/>
      <c r="BK12" s="161" t="inlineStr"/>
      <c r="BL12" s="161" t="inlineStr"/>
    </row>
    <row r="13" ht="15" customHeight="1" s="292">
      <c r="B13" s="43" t="n"/>
      <c r="C13" s="43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  <c r="M13" s="43" t="n"/>
      <c r="N13" s="43" t="n"/>
      <c r="BG13" s="161" t="inlineStr">
        <is>
          <t>6월</t>
        </is>
      </c>
      <c r="BH13" s="321" t="inlineStr"/>
      <c r="BI13" s="321" t="inlineStr"/>
      <c r="BJ13" s="321" t="inlineStr"/>
      <c r="BK13" s="161" t="inlineStr"/>
      <c r="BL13" s="161" t="inlineStr"/>
    </row>
    <row r="14" ht="15" customHeight="1" s="292">
      <c r="BG14" s="161" t="inlineStr">
        <is>
          <t>7월</t>
        </is>
      </c>
      <c r="BH14" s="321" t="inlineStr"/>
      <c r="BI14" s="321" t="inlineStr"/>
      <c r="BJ14" s="321" t="inlineStr"/>
      <c r="BK14" s="161" t="inlineStr"/>
      <c r="BL14" s="161" t="inlineStr"/>
    </row>
    <row r="15" ht="15" customHeight="1" s="292">
      <c r="BG15" s="161" t="inlineStr">
        <is>
          <t>8월</t>
        </is>
      </c>
      <c r="BH15" s="321" t="inlineStr"/>
      <c r="BI15" s="321" t="inlineStr"/>
      <c r="BJ15" s="321" t="inlineStr"/>
      <c r="BK15" s="161" t="inlineStr"/>
      <c r="BL15" s="161" t="inlineStr"/>
    </row>
    <row r="16" ht="15" customHeight="1" s="292">
      <c r="BG16" s="161" t="inlineStr">
        <is>
          <t>9월</t>
        </is>
      </c>
      <c r="BH16" s="321" t="inlineStr"/>
      <c r="BI16" s="321" t="inlineStr"/>
      <c r="BJ16" s="321" t="inlineStr"/>
      <c r="BK16" s="161" t="inlineStr"/>
      <c r="BL16" s="161" t="inlineStr"/>
    </row>
    <row r="17" ht="15" customHeight="1" s="292">
      <c r="BG17" s="161" t="inlineStr">
        <is>
          <t>10월</t>
        </is>
      </c>
      <c r="BH17" s="321" t="inlineStr"/>
      <c r="BI17" s="321" t="inlineStr"/>
      <c r="BJ17" s="321" t="inlineStr"/>
      <c r="BK17" s="161" t="inlineStr"/>
      <c r="BL17" s="161" t="inlineStr"/>
    </row>
    <row r="18" ht="15" customHeight="1" s="292">
      <c r="BG18" s="161" t="inlineStr">
        <is>
          <t>11월</t>
        </is>
      </c>
      <c r="BH18" s="321" t="inlineStr"/>
      <c r="BI18" s="321" t="inlineStr"/>
      <c r="BJ18" s="321" t="inlineStr"/>
      <c r="BK18" s="161" t="inlineStr"/>
      <c r="BL18" s="161" t="inlineStr"/>
    </row>
    <row r="19" ht="15" customHeight="1" s="292">
      <c r="D19" s="15" t="inlineStr">
        <is>
          <t>월별 고객 충성도 그룹</t>
        </is>
      </c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  <c r="AO19" s="66" t="n"/>
      <c r="AP19" s="66" t="n"/>
      <c r="AQ19" s="66" t="n"/>
      <c r="AR19" s="66" t="n"/>
      <c r="AS19" s="66" t="n"/>
      <c r="AT19" s="66" t="n"/>
      <c r="AU19" s="66" t="n"/>
      <c r="AV19" s="66" t="n"/>
      <c r="AW19" s="66" t="n"/>
      <c r="AX19" s="66" t="n"/>
      <c r="AY19" s="66" t="n"/>
      <c r="AZ19" s="66" t="n"/>
      <c r="BA19" s="66" t="n"/>
      <c r="BB19" s="66" t="n"/>
      <c r="BC19" s="66" t="n"/>
      <c r="BD19" s="66" t="n"/>
      <c r="BG19" s="161" t="inlineStr">
        <is>
          <t>12월</t>
        </is>
      </c>
      <c r="BH19" s="321" t="inlineStr"/>
      <c r="BI19" s="321" t="inlineStr"/>
      <c r="BJ19" s="321" t="inlineStr"/>
      <c r="BK19" s="161" t="inlineStr"/>
      <c r="BL19" s="161" t="inlineStr"/>
    </row>
    <row r="20" ht="15" customHeight="1" s="292">
      <c r="BG20" s="161" t="inlineStr">
        <is>
          <t>누적</t>
        </is>
      </c>
      <c r="BH20" s="320" t="n">
        <v>61.7</v>
      </c>
      <c r="BI20" s="320" t="n">
        <v>13.5</v>
      </c>
      <c r="BJ20" s="320" t="n">
        <v>24.8</v>
      </c>
      <c r="BK20" s="320" t="n">
        <v>36.8</v>
      </c>
      <c r="BL20" s="320" t="n">
        <v>36.8</v>
      </c>
    </row>
    <row r="21"/>
    <row r="22"/>
    <row r="23"/>
    <row r="24"/>
    <row r="25" ht="15" customHeight="1" s="292">
      <c r="G25" s="65" t="n"/>
    </row>
    <row r="26" ht="15" customHeight="1" s="292">
      <c r="T26" s="65" t="n"/>
    </row>
    <row r="27"/>
    <row r="28"/>
    <row r="29"/>
    <row r="30"/>
    <row r="31"/>
    <row r="32"/>
    <row r="33"/>
    <row r="34" ht="15" customHeight="1" s="292">
      <c r="D34" s="5" t="inlineStr">
        <is>
          <t>【NPS 영향도】 직원상담이 34.5점으로 핵심 강점이며 버튼식ARS·보이는ARS는 낮은 긍정 영향, 대기·콜봇·챗봇은 음의 영향으로 개선 필요함</t>
        </is>
      </c>
      <c r="K34" s="43" t="n"/>
    </row>
    <row r="35"/>
    <row r="36" ht="15" customHeight="1" s="292">
      <c r="D36" s="15" t="inlineStr">
        <is>
          <t>월별 NPS 영향도</t>
        </is>
      </c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  <c r="AO36" s="66" t="n"/>
      <c r="AP36" s="66" t="n"/>
      <c r="AQ36" s="66" t="n"/>
      <c r="AR36" s="66" t="n"/>
      <c r="AS36" s="66" t="n"/>
      <c r="AT36" s="66" t="n"/>
      <c r="AU36" s="66" t="n"/>
      <c r="AV36" s="66" t="n"/>
      <c r="AW36" s="66" t="n"/>
      <c r="AX36" s="66" t="n"/>
      <c r="AY36" s="66" t="n"/>
      <c r="AZ36" s="66" t="n"/>
      <c r="BA36" s="66" t="n"/>
      <c r="BB36" s="66" t="n"/>
      <c r="BC36" s="66" t="n"/>
      <c r="BD36" s="66" t="n"/>
    </row>
    <row r="37" ht="5.1" customHeight="1" s="292"/>
    <row r="38" ht="15" customHeight="1" s="292">
      <c r="D38" s="28" t="inlineStr">
        <is>
          <t>구분(점)</t>
        </is>
      </c>
      <c r="E38" s="28" t="n"/>
      <c r="F38" s="28" t="n"/>
      <c r="G38" s="28" t="n"/>
      <c r="H38" s="28" t="n"/>
      <c r="I38" s="28" t="n"/>
      <c r="J38" s="28" t="n"/>
      <c r="K38" s="29" t="inlineStr">
        <is>
          <t>1월</t>
        </is>
      </c>
      <c r="L38" s="30" t="n"/>
      <c r="M38" s="32" t="n"/>
      <c r="N38" s="33" t="inlineStr">
        <is>
          <t>2월</t>
        </is>
      </c>
      <c r="O38" s="30" t="n"/>
      <c r="P38" s="32" t="n"/>
      <c r="Q38" s="33" t="inlineStr">
        <is>
          <t>3월</t>
        </is>
      </c>
      <c r="R38" s="30" t="n"/>
      <c r="S38" s="32" t="n"/>
      <c r="T38" s="33" t="inlineStr">
        <is>
          <t>4월</t>
        </is>
      </c>
      <c r="U38" s="30" t="n"/>
      <c r="V38" s="32" t="n"/>
      <c r="W38" s="33" t="inlineStr">
        <is>
          <t>5월</t>
        </is>
      </c>
      <c r="X38" s="30" t="n"/>
      <c r="Y38" s="32" t="n"/>
      <c r="Z38" s="33" t="inlineStr">
        <is>
          <t>6월</t>
        </is>
      </c>
      <c r="AA38" s="30" t="n"/>
      <c r="AB38" s="32" t="n"/>
      <c r="AC38" s="33" t="inlineStr">
        <is>
          <t>7월</t>
        </is>
      </c>
      <c r="AD38" s="30" t="n"/>
      <c r="AE38" s="32" t="n"/>
      <c r="AF38" s="33" t="inlineStr">
        <is>
          <t>8월</t>
        </is>
      </c>
      <c r="AG38" s="30" t="n"/>
      <c r="AH38" s="32" t="n"/>
      <c r="AI38" s="33" t="inlineStr">
        <is>
          <t>9월</t>
        </is>
      </c>
      <c r="AJ38" s="30" t="n"/>
      <c r="AK38" s="32" t="n"/>
      <c r="AL38" s="33" t="inlineStr">
        <is>
          <t>10월</t>
        </is>
      </c>
      <c r="AM38" s="30" t="n"/>
      <c r="AN38" s="32" t="n"/>
      <c r="AO38" s="33" t="inlineStr">
        <is>
          <t>11월</t>
        </is>
      </c>
      <c r="AP38" s="30" t="n"/>
      <c r="AQ38" s="32" t="n"/>
      <c r="AR38" s="33" t="inlineStr">
        <is>
          <t>12월</t>
        </is>
      </c>
      <c r="AS38" s="30" t="n"/>
      <c r="AT38" s="30" t="n"/>
      <c r="AU38" s="29" t="inlineStr">
        <is>
          <t>누적</t>
        </is>
      </c>
      <c r="AV38" s="30" t="n"/>
      <c r="AW38" s="30" t="n"/>
      <c r="AX38" s="31" t="n"/>
      <c r="AY38" s="29" t="inlineStr">
        <is>
          <t>1월 대비</t>
        </is>
      </c>
      <c r="AZ38" s="30" t="n"/>
      <c r="BA38" s="30" t="n"/>
      <c r="BB38" s="30" t="n"/>
    </row>
    <row r="39" ht="15" customHeight="1" s="292">
      <c r="D39" s="16" t="inlineStr">
        <is>
          <t>NPS</t>
        </is>
      </c>
      <c r="E39" s="16" t="n"/>
      <c r="F39" s="16" t="n"/>
      <c r="G39" s="16" t="n"/>
      <c r="H39" s="16" t="n"/>
      <c r="I39" s="16" t="n"/>
      <c r="J39" s="17" t="n"/>
      <c r="K39" s="330" t="n">
        <v>36.2</v>
      </c>
      <c r="L39" s="159" t="n"/>
      <c r="M39" s="300" t="n"/>
      <c r="N39" s="331" t="n">
        <v>15.3</v>
      </c>
      <c r="O39" s="159" t="n"/>
      <c r="P39" s="300" t="n"/>
      <c r="Q39" s="183" t="inlineStr"/>
      <c r="R39" s="159" t="n"/>
      <c r="S39" s="300" t="n"/>
      <c r="T39" s="183" t="inlineStr"/>
      <c r="U39" s="159" t="n"/>
      <c r="V39" s="300" t="n"/>
      <c r="W39" s="183" t="inlineStr"/>
      <c r="X39" s="159" t="n"/>
      <c r="Y39" s="300" t="n"/>
      <c r="Z39" s="183" t="inlineStr"/>
      <c r="AA39" s="159" t="n"/>
      <c r="AB39" s="300" t="n"/>
      <c r="AC39" s="183" t="inlineStr"/>
      <c r="AD39" s="159" t="n"/>
      <c r="AE39" s="300" t="n"/>
      <c r="AF39" s="183" t="inlineStr"/>
      <c r="AG39" s="159" t="n"/>
      <c r="AH39" s="300" t="n"/>
      <c r="AI39" s="183" t="inlineStr"/>
      <c r="AJ39" s="159" t="n"/>
      <c r="AK39" s="300" t="n"/>
      <c r="AL39" s="183" t="inlineStr"/>
      <c r="AM39" s="159" t="n"/>
      <c r="AN39" s="300" t="n"/>
      <c r="AO39" s="183" t="inlineStr"/>
      <c r="AP39" s="159" t="n"/>
      <c r="AQ39" s="300" t="n"/>
      <c r="AR39" s="183" t="inlineStr"/>
      <c r="AS39" s="159" t="n"/>
      <c r="AT39" s="300" t="n"/>
      <c r="AU39" s="330" t="n">
        <v>36.8</v>
      </c>
      <c r="AV39" s="159" t="n"/>
      <c r="AW39" s="159" t="n"/>
      <c r="AX39" s="300" t="n"/>
      <c r="AY39" s="332" t="n">
        <v>0.6</v>
      </c>
      <c r="AZ39" s="159" t="n"/>
      <c r="BA39" s="159" t="n"/>
      <c r="BB39" s="159" t="n"/>
    </row>
    <row r="40" ht="15" customHeight="1" s="292">
      <c r="D40" s="69" t="inlineStr">
        <is>
          <t>버튼식 ARS</t>
        </is>
      </c>
      <c r="E40" s="70" t="n"/>
      <c r="F40" s="71" t="n"/>
      <c r="G40" s="71" t="n"/>
      <c r="H40" s="71" t="n"/>
      <c r="I40" s="71" t="n"/>
      <c r="J40" s="12" t="n"/>
      <c r="K40" s="333" t="n">
        <v>8.199999999999999</v>
      </c>
      <c r="M40" s="306" t="n"/>
      <c r="N40" s="305" t="n">
        <v>3.6</v>
      </c>
      <c r="P40" s="306" t="n"/>
      <c r="Q40" s="307" t="inlineStr"/>
      <c r="S40" s="306" t="n"/>
      <c r="T40" s="307" t="inlineStr"/>
      <c r="V40" s="306" t="n"/>
      <c r="W40" s="307" t="inlineStr"/>
      <c r="Y40" s="306" t="n"/>
      <c r="Z40" s="307" t="inlineStr"/>
      <c r="AB40" s="306" t="n"/>
      <c r="AC40" s="307" t="inlineStr"/>
      <c r="AE40" s="306" t="n"/>
      <c r="AF40" s="307" t="inlineStr"/>
      <c r="AH40" s="306" t="n"/>
      <c r="AI40" s="307" t="inlineStr"/>
      <c r="AK40" s="306" t="n"/>
      <c r="AL40" s="307" t="inlineStr"/>
      <c r="AN40" s="306" t="n"/>
      <c r="AO40" s="307" t="inlineStr"/>
      <c r="AQ40" s="306" t="n"/>
      <c r="AR40" s="171" t="inlineStr"/>
      <c r="AT40" s="308" t="n"/>
      <c r="AU40" s="309" t="n">
        <v>8.199999999999999</v>
      </c>
      <c r="AX40" s="308" t="n"/>
      <c r="AY40" s="328" t="n">
        <v>0</v>
      </c>
    </row>
    <row r="41" ht="15" customHeight="1" s="292">
      <c r="D41" s="69" t="inlineStr">
        <is>
          <t>보이는 ARS</t>
        </is>
      </c>
      <c r="E41" s="70" t="n"/>
      <c r="F41" s="71" t="n"/>
      <c r="G41" s="71" t="n"/>
      <c r="H41" s="71" t="n"/>
      <c r="I41" s="71" t="n"/>
      <c r="J41" s="12" t="n"/>
      <c r="K41" s="333" t="n">
        <v>2.3</v>
      </c>
      <c r="M41" s="306" t="n"/>
      <c r="N41" s="305" t="n">
        <v>1.1</v>
      </c>
      <c r="P41" s="306" t="n"/>
      <c r="Q41" s="307" t="inlineStr"/>
      <c r="S41" s="306" t="n"/>
      <c r="T41" s="307" t="inlineStr"/>
      <c r="V41" s="306" t="n"/>
      <c r="W41" s="307" t="inlineStr"/>
      <c r="Y41" s="306" t="n"/>
      <c r="Z41" s="307" t="inlineStr"/>
      <c r="AB41" s="306" t="n"/>
      <c r="AC41" s="307" t="inlineStr"/>
      <c r="AE41" s="306" t="n"/>
      <c r="AF41" s="307" t="inlineStr"/>
      <c r="AH41" s="306" t="n"/>
      <c r="AI41" s="307" t="inlineStr"/>
      <c r="AK41" s="306" t="n"/>
      <c r="AL41" s="307" t="inlineStr"/>
      <c r="AN41" s="306" t="n"/>
      <c r="AO41" s="307" t="inlineStr"/>
      <c r="AQ41" s="306" t="n"/>
      <c r="AR41" s="171" t="inlineStr"/>
      <c r="AT41" s="308" t="n"/>
      <c r="AU41" s="309" t="n">
        <v>2.3</v>
      </c>
      <c r="AX41" s="308" t="n"/>
      <c r="AY41" s="328" t="n">
        <v>0</v>
      </c>
    </row>
    <row r="42" ht="15" customHeight="1" s="292">
      <c r="D42" s="69" t="inlineStr">
        <is>
          <t>대기</t>
        </is>
      </c>
      <c r="E42" s="70" t="n"/>
      <c r="F42" s="71" t="n"/>
      <c r="G42" s="71" t="n"/>
      <c r="H42" s="71" t="n"/>
      <c r="I42" s="71" t="n"/>
      <c r="J42" s="12" t="n"/>
      <c r="K42" s="333" t="n">
        <v>-5.1</v>
      </c>
      <c r="M42" s="306" t="n"/>
      <c r="N42" s="305" t="n">
        <v>-15.3</v>
      </c>
      <c r="P42" s="306" t="n"/>
      <c r="Q42" s="307" t="inlineStr"/>
      <c r="S42" s="306" t="n"/>
      <c r="T42" s="307" t="inlineStr"/>
      <c r="V42" s="306" t="n"/>
      <c r="W42" s="307" t="inlineStr"/>
      <c r="Y42" s="306" t="n"/>
      <c r="Z42" s="307" t="inlineStr"/>
      <c r="AB42" s="306" t="n"/>
      <c r="AC42" s="307" t="inlineStr"/>
      <c r="AE42" s="306" t="n"/>
      <c r="AF42" s="307" t="inlineStr"/>
      <c r="AH42" s="306" t="n"/>
      <c r="AI42" s="307" t="inlineStr"/>
      <c r="AK42" s="306" t="n"/>
      <c r="AL42" s="307" t="inlineStr"/>
      <c r="AN42" s="306" t="n"/>
      <c r="AO42" s="307" t="inlineStr"/>
      <c r="AQ42" s="306" t="n"/>
      <c r="AR42" s="171" t="inlineStr"/>
      <c r="AT42" s="308" t="n"/>
      <c r="AU42" s="309" t="n">
        <v>-5.1</v>
      </c>
      <c r="AX42" s="308" t="n"/>
      <c r="AY42" s="328" t="n">
        <v>0</v>
      </c>
    </row>
    <row r="43" ht="15" customHeight="1" s="292">
      <c r="D43" s="69" t="inlineStr">
        <is>
          <t>챗봇상담</t>
        </is>
      </c>
      <c r="E43" s="70" t="n"/>
      <c r="F43" s="71" t="n"/>
      <c r="G43" s="71" t="n"/>
      <c r="H43" s="71" t="n"/>
      <c r="I43" s="71" t="n"/>
      <c r="J43" s="12" t="n"/>
      <c r="K43" s="333" t="n">
        <v>-0.9</v>
      </c>
      <c r="M43" s="306" t="n"/>
      <c r="N43" s="305" t="n">
        <v>-1</v>
      </c>
      <c r="P43" s="306" t="n"/>
      <c r="Q43" s="307" t="inlineStr"/>
      <c r="S43" s="306" t="n"/>
      <c r="T43" s="307" t="inlineStr"/>
      <c r="V43" s="306" t="n"/>
      <c r="W43" s="307" t="inlineStr"/>
      <c r="Y43" s="306" t="n"/>
      <c r="Z43" s="307" t="inlineStr"/>
      <c r="AB43" s="306" t="n"/>
      <c r="AC43" s="307" t="inlineStr"/>
      <c r="AE43" s="306" t="n"/>
      <c r="AF43" s="307" t="inlineStr"/>
      <c r="AH43" s="306" t="n"/>
      <c r="AI43" s="307" t="inlineStr"/>
      <c r="AK43" s="306" t="n"/>
      <c r="AL43" s="307" t="inlineStr"/>
      <c r="AN43" s="306" t="n"/>
      <c r="AO43" s="307" t="inlineStr"/>
      <c r="AQ43" s="306" t="n"/>
      <c r="AR43" s="171" t="inlineStr"/>
      <c r="AT43" s="308" t="n"/>
      <c r="AU43" s="309" t="n">
        <v>-0.9</v>
      </c>
      <c r="AX43" s="308" t="n"/>
      <c r="AY43" s="328" t="n">
        <v>0</v>
      </c>
    </row>
    <row r="44" ht="15" customHeight="1" s="292">
      <c r="D44" s="69" t="inlineStr">
        <is>
          <t>콜봇상담</t>
        </is>
      </c>
      <c r="E44" s="70" t="n"/>
      <c r="F44" s="71" t="n"/>
      <c r="G44" s="71" t="n"/>
      <c r="H44" s="71" t="n"/>
      <c r="I44" s="71" t="n"/>
      <c r="J44" s="12" t="n"/>
      <c r="K44" s="333" t="n">
        <v>-2.3</v>
      </c>
      <c r="M44" s="306" t="n"/>
      <c r="N44" s="305" t="n">
        <v>-1.9</v>
      </c>
      <c r="P44" s="306" t="n"/>
      <c r="Q44" s="307" t="inlineStr"/>
      <c r="S44" s="306" t="n"/>
      <c r="T44" s="307" t="inlineStr"/>
      <c r="V44" s="306" t="n"/>
      <c r="W44" s="307" t="inlineStr"/>
      <c r="Y44" s="306" t="n"/>
      <c r="Z44" s="307" t="inlineStr"/>
      <c r="AB44" s="306" t="n"/>
      <c r="AC44" s="307" t="inlineStr"/>
      <c r="AE44" s="306" t="n"/>
      <c r="AF44" s="307" t="inlineStr"/>
      <c r="AH44" s="306" t="n"/>
      <c r="AI44" s="307" t="inlineStr"/>
      <c r="AK44" s="306" t="n"/>
      <c r="AL44" s="307" t="inlineStr"/>
      <c r="AN44" s="306" t="n"/>
      <c r="AO44" s="307" t="inlineStr"/>
      <c r="AQ44" s="306" t="n"/>
      <c r="AR44" s="171" t="inlineStr"/>
      <c r="AT44" s="308" t="n"/>
      <c r="AU44" s="309" t="n">
        <v>-2.3</v>
      </c>
      <c r="AX44" s="308" t="n"/>
      <c r="AY44" s="328" t="n">
        <v>0</v>
      </c>
    </row>
    <row r="45" ht="15" customHeight="1" s="292">
      <c r="D45" s="27" t="inlineStr">
        <is>
          <t>직원상담</t>
        </is>
      </c>
      <c r="E45" s="72" t="n"/>
      <c r="F45" s="11" t="n"/>
      <c r="G45" s="11" t="n"/>
      <c r="H45" s="11" t="n"/>
      <c r="I45" s="11" t="n"/>
      <c r="J45" s="13" t="n"/>
      <c r="K45" s="334" t="n">
        <v>34.5</v>
      </c>
      <c r="L45" s="163" t="n"/>
      <c r="M45" s="312" t="n"/>
      <c r="N45" s="311" t="n">
        <v>28.9</v>
      </c>
      <c r="O45" s="163" t="n"/>
      <c r="P45" s="312" t="n"/>
      <c r="Q45" s="313" t="inlineStr"/>
      <c r="R45" s="163" t="n"/>
      <c r="S45" s="312" t="n"/>
      <c r="T45" s="313" t="inlineStr"/>
      <c r="U45" s="163" t="n"/>
      <c r="V45" s="312" t="n"/>
      <c r="W45" s="313" t="inlineStr"/>
      <c r="X45" s="163" t="n"/>
      <c r="Y45" s="312" t="n"/>
      <c r="Z45" s="313" t="inlineStr"/>
      <c r="AA45" s="163" t="n"/>
      <c r="AB45" s="312" t="n"/>
      <c r="AC45" s="313" t="inlineStr"/>
      <c r="AD45" s="163" t="n"/>
      <c r="AE45" s="312" t="n"/>
      <c r="AF45" s="313" t="inlineStr"/>
      <c r="AG45" s="163" t="n"/>
      <c r="AH45" s="312" t="n"/>
      <c r="AI45" s="313" t="inlineStr"/>
      <c r="AJ45" s="163" t="n"/>
      <c r="AK45" s="312" t="n"/>
      <c r="AL45" s="313" t="inlineStr"/>
      <c r="AM45" s="163" t="n"/>
      <c r="AN45" s="312" t="n"/>
      <c r="AO45" s="313" t="inlineStr"/>
      <c r="AP45" s="163" t="n"/>
      <c r="AQ45" s="312" t="n"/>
      <c r="AR45" s="176" t="inlineStr"/>
      <c r="AS45" s="163" t="n"/>
      <c r="AT45" s="314" t="n"/>
      <c r="AU45" s="315" t="n">
        <v>34.5</v>
      </c>
      <c r="AV45" s="163" t="n"/>
      <c r="AW45" s="163" t="n"/>
      <c r="AX45" s="314" t="n"/>
      <c r="AY45" s="329" t="n">
        <v>0</v>
      </c>
      <c r="AZ45" s="163" t="n"/>
      <c r="BA45" s="163" t="n"/>
      <c r="BB45" s="163" t="n"/>
    </row>
    <row r="46"/>
    <row r="47" ht="15" customHeight="1" s="292">
      <c r="D47" s="15" t="inlineStr">
        <is>
          <t>월별 비추천 이유 응답 비율</t>
        </is>
      </c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  <c r="AG47" s="66" t="n"/>
      <c r="AH47" s="66" t="n"/>
      <c r="AI47" s="66" t="n"/>
      <c r="AJ47" s="66" t="n"/>
      <c r="AK47" s="66" t="n"/>
      <c r="AL47" s="66" t="n"/>
      <c r="AM47" s="66" t="n"/>
      <c r="AN47" s="66" t="n"/>
      <c r="AO47" s="66" t="n"/>
      <c r="AP47" s="66" t="n"/>
      <c r="AQ47" s="66" t="n"/>
      <c r="AR47" s="66" t="n"/>
      <c r="AS47" s="66" t="n"/>
      <c r="AT47" s="66" t="n"/>
      <c r="AU47" s="66" t="n"/>
      <c r="AV47" s="66" t="n"/>
      <c r="AW47" s="66" t="n"/>
      <c r="AX47" s="66" t="n"/>
      <c r="AY47" s="66" t="n"/>
      <c r="AZ47" s="66" t="n"/>
      <c r="BA47" s="66" t="n"/>
      <c r="BB47" s="66" t="n"/>
      <c r="BC47" s="66" t="n"/>
      <c r="BD47" s="66" t="n"/>
    </row>
    <row r="48" ht="5.1" customHeight="1" s="292"/>
    <row r="49" ht="15" customHeight="1" s="292">
      <c r="D49" s="28" t="inlineStr">
        <is>
          <t>구분(%, %p)</t>
        </is>
      </c>
      <c r="E49" s="28" t="n"/>
      <c r="F49" s="28" t="n"/>
      <c r="G49" s="28" t="n"/>
      <c r="H49" s="28" t="n"/>
      <c r="I49" s="28" t="n"/>
      <c r="J49" s="28" t="n"/>
      <c r="K49" s="29" t="inlineStr">
        <is>
          <t>1월</t>
        </is>
      </c>
      <c r="L49" s="30" t="n"/>
      <c r="M49" s="32" t="n"/>
      <c r="N49" s="33" t="inlineStr">
        <is>
          <t>2월</t>
        </is>
      </c>
      <c r="O49" s="30" t="n"/>
      <c r="P49" s="32" t="n"/>
      <c r="Q49" s="33" t="inlineStr">
        <is>
          <t>3월</t>
        </is>
      </c>
      <c r="R49" s="30" t="n"/>
      <c r="S49" s="32" t="n"/>
      <c r="T49" s="33" t="inlineStr">
        <is>
          <t>4월</t>
        </is>
      </c>
      <c r="U49" s="30" t="n"/>
      <c r="V49" s="32" t="n"/>
      <c r="W49" s="33" t="inlineStr">
        <is>
          <t>5월</t>
        </is>
      </c>
      <c r="X49" s="30" t="n"/>
      <c r="Y49" s="32" t="n"/>
      <c r="Z49" s="33" t="inlineStr">
        <is>
          <t>6월</t>
        </is>
      </c>
      <c r="AA49" s="30" t="n"/>
      <c r="AB49" s="32" t="n"/>
      <c r="AC49" s="33" t="inlineStr">
        <is>
          <t>7월</t>
        </is>
      </c>
      <c r="AD49" s="30" t="n"/>
      <c r="AE49" s="32" t="n"/>
      <c r="AF49" s="33" t="inlineStr">
        <is>
          <t>8월</t>
        </is>
      </c>
      <c r="AG49" s="30" t="n"/>
      <c r="AH49" s="32" t="n"/>
      <c r="AI49" s="33" t="inlineStr">
        <is>
          <t>9월</t>
        </is>
      </c>
      <c r="AJ49" s="30" t="n"/>
      <c r="AK49" s="32" t="n"/>
      <c r="AL49" s="33" t="inlineStr">
        <is>
          <t>10월</t>
        </is>
      </c>
      <c r="AM49" s="30" t="n"/>
      <c r="AN49" s="32" t="n"/>
      <c r="AO49" s="33" t="inlineStr">
        <is>
          <t>11월</t>
        </is>
      </c>
      <c r="AP49" s="30" t="n"/>
      <c r="AQ49" s="32" t="n"/>
      <c r="AR49" s="33" t="inlineStr">
        <is>
          <t>12월</t>
        </is>
      </c>
      <c r="AS49" s="30" t="n"/>
      <c r="AT49" s="30" t="n"/>
      <c r="AU49" s="29" t="inlineStr">
        <is>
          <t>누적</t>
        </is>
      </c>
      <c r="AV49" s="30" t="n"/>
      <c r="AW49" s="30" t="n"/>
      <c r="AX49" s="31" t="n"/>
      <c r="AY49" s="29" t="inlineStr">
        <is>
          <t>1월 대비</t>
        </is>
      </c>
      <c r="AZ49" s="30" t="n"/>
      <c r="BA49" s="30" t="n"/>
      <c r="BB49" s="30" t="n"/>
    </row>
    <row r="50" ht="15" customHeight="1" s="292">
      <c r="D50" s="16" t="inlineStr">
        <is>
          <t>NPS</t>
        </is>
      </c>
      <c r="E50" s="16" t="n"/>
      <c r="F50" s="16" t="n"/>
      <c r="G50" s="16" t="n"/>
      <c r="H50" s="16" t="n"/>
      <c r="I50" s="16" t="n"/>
      <c r="J50" s="17" t="n"/>
      <c r="K50" s="335">
        <f>IF(K51="", "", 100)</f>
        <v/>
      </c>
      <c r="L50" s="159" t="n"/>
      <c r="M50" s="300" t="n"/>
      <c r="N50" s="336">
        <f>IF(N51="", "", 100)</f>
        <v/>
      </c>
      <c r="O50" s="159" t="n"/>
      <c r="P50" s="300" t="n"/>
      <c r="Q50" s="336">
        <f>IF(Q51="", "", 100)</f>
        <v/>
      </c>
      <c r="R50" s="159" t="n"/>
      <c r="S50" s="300" t="n"/>
      <c r="T50" s="336">
        <f>IF(T51="", "", 100)</f>
        <v/>
      </c>
      <c r="U50" s="159" t="n"/>
      <c r="V50" s="300" t="n"/>
      <c r="W50" s="336">
        <f>IF(W51="", "", 100)</f>
        <v/>
      </c>
      <c r="X50" s="159" t="n"/>
      <c r="Y50" s="300" t="n"/>
      <c r="Z50" s="336">
        <f>IF(Z51="", "", 100)</f>
        <v/>
      </c>
      <c r="AA50" s="159" t="n"/>
      <c r="AB50" s="300" t="n"/>
      <c r="AC50" s="336">
        <f>IF(AC51="", "", 100)</f>
        <v/>
      </c>
      <c r="AD50" s="159" t="n"/>
      <c r="AE50" s="300" t="n"/>
      <c r="AF50" s="336">
        <f>IF(AF51="", "", 100)</f>
        <v/>
      </c>
      <c r="AG50" s="159" t="n"/>
      <c r="AH50" s="300" t="n"/>
      <c r="AI50" s="336">
        <f>IF(AI51="", "", 100)</f>
        <v/>
      </c>
      <c r="AJ50" s="159" t="n"/>
      <c r="AK50" s="300" t="n"/>
      <c r="AL50" s="336">
        <f>IF(AL51="", "", 100)</f>
        <v/>
      </c>
      <c r="AM50" s="159" t="n"/>
      <c r="AN50" s="300" t="n"/>
      <c r="AO50" s="336">
        <f>IF(AO51="", "", 100)</f>
        <v/>
      </c>
      <c r="AP50" s="159" t="n"/>
      <c r="AQ50" s="300" t="n"/>
      <c r="AR50" s="336">
        <f>IF(AR51="", "", 100)</f>
        <v/>
      </c>
      <c r="AS50" s="159" t="n"/>
      <c r="AT50" s="300" t="n"/>
      <c r="AU50" s="337" t="n">
        <v>100</v>
      </c>
      <c r="AV50" s="159" t="n"/>
      <c r="AW50" s="159" t="n"/>
      <c r="AX50" s="302" t="n"/>
      <c r="AY50" s="338" t="inlineStr">
        <is>
          <t>-</t>
        </is>
      </c>
      <c r="AZ50" s="159" t="n"/>
      <c r="BA50" s="159" t="n"/>
      <c r="BB50" s="159" t="n"/>
    </row>
    <row r="51" ht="15" customHeight="1" s="292">
      <c r="D51" s="69" t="inlineStr">
        <is>
          <t>버튼식 ARS</t>
        </is>
      </c>
      <c r="E51" s="70" t="n"/>
      <c r="F51" s="71" t="n"/>
      <c r="G51" s="71" t="n"/>
      <c r="H51" s="71" t="n"/>
      <c r="I51" s="71" t="n"/>
      <c r="J51" s="12" t="n"/>
      <c r="K51" s="333" t="n">
        <v>2.3</v>
      </c>
      <c r="M51" s="306" t="n"/>
      <c r="N51" s="305" t="n">
        <v>3.3</v>
      </c>
      <c r="P51" s="306" t="n"/>
      <c r="Q51" s="307" t="inlineStr"/>
      <c r="S51" s="306" t="n"/>
      <c r="T51" s="307" t="inlineStr"/>
      <c r="V51" s="306" t="n"/>
      <c r="W51" s="307" t="inlineStr"/>
      <c r="Y51" s="306" t="n"/>
      <c r="Z51" s="307" t="inlineStr"/>
      <c r="AB51" s="306" t="n"/>
      <c r="AC51" s="307" t="inlineStr"/>
      <c r="AE51" s="306" t="n"/>
      <c r="AF51" s="307" t="inlineStr"/>
      <c r="AH51" s="306" t="n"/>
      <c r="AI51" s="307" t="inlineStr"/>
      <c r="AK51" s="306" t="n"/>
      <c r="AL51" s="307" t="inlineStr"/>
      <c r="AN51" s="306" t="n"/>
      <c r="AO51" s="307" t="inlineStr"/>
      <c r="AQ51" s="306" t="n"/>
      <c r="AR51" s="171" t="inlineStr"/>
      <c r="AT51" s="308" t="n"/>
      <c r="AU51" s="309" t="n">
        <v>2.3</v>
      </c>
      <c r="AX51" s="308" t="n"/>
      <c r="AY51" s="328" t="n">
        <v>0</v>
      </c>
    </row>
    <row r="52" ht="15" customHeight="1" s="292">
      <c r="D52" s="69" t="inlineStr">
        <is>
          <t>보이는 ARS</t>
        </is>
      </c>
      <c r="E52" s="70" t="n"/>
      <c r="F52" s="71" t="n"/>
      <c r="G52" s="71" t="n"/>
      <c r="H52" s="71" t="n"/>
      <c r="I52" s="71" t="n"/>
      <c r="J52" s="12" t="n"/>
      <c r="K52" s="333" t="n">
        <v>1.3</v>
      </c>
      <c r="M52" s="306" t="n"/>
      <c r="N52" s="305" t="n">
        <v>1.9</v>
      </c>
      <c r="P52" s="306" t="n"/>
      <c r="Q52" s="307" t="inlineStr"/>
      <c r="S52" s="306" t="n"/>
      <c r="T52" s="307" t="inlineStr"/>
      <c r="V52" s="306" t="n"/>
      <c r="W52" s="307" t="inlineStr"/>
      <c r="Y52" s="306" t="n"/>
      <c r="Z52" s="307" t="inlineStr"/>
      <c r="AB52" s="306" t="n"/>
      <c r="AC52" s="307" t="inlineStr"/>
      <c r="AE52" s="306" t="n"/>
      <c r="AF52" s="307" t="inlineStr"/>
      <c r="AH52" s="306" t="n"/>
      <c r="AI52" s="307" t="inlineStr"/>
      <c r="AK52" s="306" t="n"/>
      <c r="AL52" s="307" t="inlineStr"/>
      <c r="AN52" s="306" t="n"/>
      <c r="AO52" s="307" t="inlineStr"/>
      <c r="AQ52" s="306" t="n"/>
      <c r="AR52" s="171" t="inlineStr"/>
      <c r="AT52" s="308" t="n"/>
      <c r="AU52" s="309" t="n">
        <v>1.3</v>
      </c>
      <c r="AX52" s="308" t="n"/>
      <c r="AY52" s="328" t="n">
        <v>0</v>
      </c>
    </row>
    <row r="53" ht="15" customHeight="1" s="292">
      <c r="D53" s="69" t="inlineStr">
        <is>
          <t>대기</t>
        </is>
      </c>
      <c r="E53" s="70" t="n"/>
      <c r="F53" s="71" t="n"/>
      <c r="G53" s="71" t="n"/>
      <c r="H53" s="71" t="n"/>
      <c r="I53" s="71" t="n"/>
      <c r="J53" s="12" t="n"/>
      <c r="K53" s="333" t="n">
        <v>6.8</v>
      </c>
      <c r="M53" s="306" t="n"/>
      <c r="N53" s="305" t="n">
        <v>16.6</v>
      </c>
      <c r="P53" s="306" t="n"/>
      <c r="Q53" s="307" t="inlineStr"/>
      <c r="S53" s="306" t="n"/>
      <c r="T53" s="307" t="inlineStr"/>
      <c r="V53" s="306" t="n"/>
      <c r="W53" s="307" t="inlineStr"/>
      <c r="Y53" s="306" t="n"/>
      <c r="Z53" s="307" t="inlineStr"/>
      <c r="AB53" s="306" t="n"/>
      <c r="AC53" s="307" t="inlineStr"/>
      <c r="AE53" s="306" t="n"/>
      <c r="AF53" s="307" t="inlineStr"/>
      <c r="AH53" s="306" t="n"/>
      <c r="AI53" s="307" t="inlineStr"/>
      <c r="AK53" s="306" t="n"/>
      <c r="AL53" s="307" t="inlineStr"/>
      <c r="AN53" s="306" t="n"/>
      <c r="AO53" s="307" t="inlineStr"/>
      <c r="AQ53" s="306" t="n"/>
      <c r="AR53" s="171" t="inlineStr"/>
      <c r="AT53" s="308" t="n"/>
      <c r="AU53" s="309" t="n">
        <v>6.8</v>
      </c>
      <c r="AX53" s="308" t="n"/>
      <c r="AY53" s="328" t="n">
        <v>0</v>
      </c>
    </row>
    <row r="54" ht="15" customHeight="1" s="292">
      <c r="D54" s="69" t="inlineStr">
        <is>
          <t>챗봇상담</t>
        </is>
      </c>
      <c r="E54" s="70" t="n"/>
      <c r="F54" s="71" t="n"/>
      <c r="G54" s="71" t="n"/>
      <c r="H54" s="71" t="n"/>
      <c r="I54" s="71" t="n"/>
      <c r="J54" s="12" t="n"/>
      <c r="K54" s="333" t="n">
        <v>2</v>
      </c>
      <c r="M54" s="306" t="n"/>
      <c r="N54" s="305" t="n">
        <v>2</v>
      </c>
      <c r="P54" s="306" t="n"/>
      <c r="Q54" s="307" t="inlineStr"/>
      <c r="S54" s="306" t="n"/>
      <c r="T54" s="307" t="inlineStr"/>
      <c r="V54" s="306" t="n"/>
      <c r="W54" s="307" t="inlineStr"/>
      <c r="Y54" s="306" t="n"/>
      <c r="Z54" s="307" t="inlineStr"/>
      <c r="AB54" s="306" t="n"/>
      <c r="AC54" s="307" t="inlineStr"/>
      <c r="AE54" s="306" t="n"/>
      <c r="AF54" s="307" t="inlineStr"/>
      <c r="AH54" s="306" t="n"/>
      <c r="AI54" s="307" t="inlineStr"/>
      <c r="AK54" s="306" t="n"/>
      <c r="AL54" s="307" t="inlineStr"/>
      <c r="AN54" s="306" t="n"/>
      <c r="AO54" s="307" t="inlineStr"/>
      <c r="AQ54" s="306" t="n"/>
      <c r="AR54" s="171" t="inlineStr"/>
      <c r="AT54" s="308" t="n"/>
      <c r="AU54" s="309" t="n">
        <v>2</v>
      </c>
      <c r="AX54" s="308" t="n"/>
      <c r="AY54" s="328" t="n">
        <v>0</v>
      </c>
    </row>
    <row r="55" ht="15" customHeight="1" s="292">
      <c r="D55" s="69" t="inlineStr">
        <is>
          <t>콜봇상담</t>
        </is>
      </c>
      <c r="E55" s="70" t="n"/>
      <c r="F55" s="71" t="n"/>
      <c r="G55" s="71" t="n"/>
      <c r="H55" s="71" t="n"/>
      <c r="I55" s="71" t="n"/>
      <c r="J55" s="12" t="n"/>
      <c r="K55" s="333" t="n">
        <v>5.2</v>
      </c>
      <c r="M55" s="306" t="n"/>
      <c r="N55" s="305" t="n">
        <v>3.8</v>
      </c>
      <c r="P55" s="306" t="n"/>
      <c r="Q55" s="307" t="inlineStr"/>
      <c r="S55" s="306" t="n"/>
      <c r="T55" s="307" t="inlineStr"/>
      <c r="V55" s="306" t="n"/>
      <c r="W55" s="307" t="inlineStr"/>
      <c r="Y55" s="306" t="n"/>
      <c r="Z55" s="307" t="inlineStr"/>
      <c r="AB55" s="306" t="n"/>
      <c r="AC55" s="307" t="inlineStr"/>
      <c r="AE55" s="306" t="n"/>
      <c r="AF55" s="307" t="inlineStr"/>
      <c r="AH55" s="306" t="n"/>
      <c r="AI55" s="307" t="inlineStr"/>
      <c r="AK55" s="306" t="n"/>
      <c r="AL55" s="307" t="inlineStr"/>
      <c r="AN55" s="306" t="n"/>
      <c r="AO55" s="307" t="inlineStr"/>
      <c r="AQ55" s="306" t="n"/>
      <c r="AR55" s="171" t="inlineStr"/>
      <c r="AT55" s="308" t="n"/>
      <c r="AU55" s="309" t="n">
        <v>5.2</v>
      </c>
      <c r="AX55" s="308" t="n"/>
      <c r="AY55" s="328" t="n">
        <v>0</v>
      </c>
    </row>
    <row r="56" ht="15" customHeight="1" s="292">
      <c r="D56" s="27" t="inlineStr">
        <is>
          <t>직원상담</t>
        </is>
      </c>
      <c r="E56" s="72" t="n"/>
      <c r="F56" s="11" t="n"/>
      <c r="G56" s="11" t="n"/>
      <c r="H56" s="11" t="n"/>
      <c r="I56" s="11" t="n"/>
      <c r="J56" s="13" t="n"/>
      <c r="K56" s="334" t="n">
        <v>6.8</v>
      </c>
      <c r="L56" s="163" t="n"/>
      <c r="M56" s="312" t="n"/>
      <c r="N56" s="311" t="n">
        <v>8.1</v>
      </c>
      <c r="O56" s="163" t="n"/>
      <c r="P56" s="312" t="n"/>
      <c r="Q56" s="313" t="inlineStr"/>
      <c r="R56" s="163" t="n"/>
      <c r="S56" s="312" t="n"/>
      <c r="T56" s="313" t="inlineStr"/>
      <c r="U56" s="163" t="n"/>
      <c r="V56" s="312" t="n"/>
      <c r="W56" s="313" t="inlineStr"/>
      <c r="X56" s="163" t="n"/>
      <c r="Y56" s="312" t="n"/>
      <c r="Z56" s="313" t="inlineStr"/>
      <c r="AA56" s="163" t="n"/>
      <c r="AB56" s="312" t="n"/>
      <c r="AC56" s="313" t="inlineStr"/>
      <c r="AD56" s="163" t="n"/>
      <c r="AE56" s="312" t="n"/>
      <c r="AF56" s="313" t="inlineStr"/>
      <c r="AG56" s="163" t="n"/>
      <c r="AH56" s="312" t="n"/>
      <c r="AI56" s="313" t="inlineStr"/>
      <c r="AJ56" s="163" t="n"/>
      <c r="AK56" s="312" t="n"/>
      <c r="AL56" s="313" t="inlineStr"/>
      <c r="AM56" s="163" t="n"/>
      <c r="AN56" s="312" t="n"/>
      <c r="AO56" s="313" t="inlineStr"/>
      <c r="AP56" s="163" t="n"/>
      <c r="AQ56" s="312" t="n"/>
      <c r="AR56" s="176" t="inlineStr"/>
      <c r="AS56" s="163" t="n"/>
      <c r="AT56" s="314" t="n"/>
      <c r="AU56" s="315" t="n">
        <v>6.8</v>
      </c>
      <c r="AV56" s="163" t="n"/>
      <c r="AW56" s="163" t="n"/>
      <c r="AX56" s="314" t="n"/>
      <c r="AY56" s="329" t="n">
        <v>0</v>
      </c>
      <c r="AZ56" s="163" t="n"/>
      <c r="BA56" s="163" t="n"/>
      <c r="BB56" s="163" t="n"/>
    </row>
  </sheetData>
  <mergeCells count="197">
    <mergeCell ref="Z43:AB43"/>
    <mergeCell ref="AF54:AH54"/>
    <mergeCell ref="AC53:AE53"/>
    <mergeCell ref="T55:V55"/>
    <mergeCell ref="N42:P42"/>
    <mergeCell ref="AO53:AQ53"/>
    <mergeCell ref="K40:M40"/>
    <mergeCell ref="AO45:AQ45"/>
    <mergeCell ref="AC55:AE55"/>
    <mergeCell ref="K56:M56"/>
    <mergeCell ref="N44:P44"/>
    <mergeCell ref="AI54:AK54"/>
    <mergeCell ref="AL42:AN42"/>
    <mergeCell ref="AF42:AH42"/>
    <mergeCell ref="AL43:AN43"/>
    <mergeCell ref="AC40:AE40"/>
    <mergeCell ref="AL52:AN52"/>
    <mergeCell ref="AR45:AT45"/>
    <mergeCell ref="AI56:AK56"/>
    <mergeCell ref="AL39:AN39"/>
    <mergeCell ref="AI43:AK43"/>
    <mergeCell ref="AY41:BB41"/>
    <mergeCell ref="Q41:S41"/>
    <mergeCell ref="AI42:AK42"/>
    <mergeCell ref="AR44:AT44"/>
    <mergeCell ref="AU40:AX40"/>
    <mergeCell ref="AC41:AE41"/>
    <mergeCell ref="AY56:BB56"/>
    <mergeCell ref="Z45:AB45"/>
    <mergeCell ref="AL44:AN44"/>
    <mergeCell ref="N55:P55"/>
    <mergeCell ref="Q56:S56"/>
    <mergeCell ref="W53:Y53"/>
    <mergeCell ref="AY43:BB43"/>
    <mergeCell ref="W44:Y44"/>
    <mergeCell ref="AR42:AT42"/>
    <mergeCell ref="Q43:S43"/>
    <mergeCell ref="AF39:AH39"/>
    <mergeCell ref="Z55:AB55"/>
    <mergeCell ref="AI44:AK44"/>
    <mergeCell ref="Q42:S42"/>
    <mergeCell ref="K45:M45"/>
    <mergeCell ref="AY44:BB44"/>
    <mergeCell ref="T54:V54"/>
    <mergeCell ref="AC43:AE43"/>
    <mergeCell ref="K44:M44"/>
    <mergeCell ref="AL41:AN41"/>
    <mergeCell ref="AI45:AK45"/>
    <mergeCell ref="Z56:AB56"/>
    <mergeCell ref="AO43:AQ43"/>
    <mergeCell ref="AU53:AX53"/>
    <mergeCell ref="AC39:AE39"/>
    <mergeCell ref="AO39:AQ39"/>
    <mergeCell ref="AI55:AK55"/>
    <mergeCell ref="AL56:AN56"/>
    <mergeCell ref="AU50:AX50"/>
    <mergeCell ref="AC42:AE42"/>
    <mergeCell ref="T40:V40"/>
    <mergeCell ref="AO42:AQ42"/>
    <mergeCell ref="Q44:S44"/>
    <mergeCell ref="Z51:AB51"/>
    <mergeCell ref="Z42:AB42"/>
    <mergeCell ref="AU52:AX52"/>
    <mergeCell ref="AC44:AE44"/>
    <mergeCell ref="AF50:AH50"/>
    <mergeCell ref="AU39:AX39"/>
    <mergeCell ref="AO44:AQ44"/>
    <mergeCell ref="Z44:AB44"/>
    <mergeCell ref="AF52:AH52"/>
    <mergeCell ref="AC51:AE51"/>
    <mergeCell ref="Q45:S45"/>
    <mergeCell ref="AU44:AX44"/>
    <mergeCell ref="AO51:AQ51"/>
    <mergeCell ref="AY42:BB42"/>
    <mergeCell ref="N45:P45"/>
    <mergeCell ref="W40:Y40"/>
    <mergeCell ref="T39:V39"/>
    <mergeCell ref="T45:V45"/>
    <mergeCell ref="T42:V42"/>
    <mergeCell ref="AR39:AT39"/>
    <mergeCell ref="AY51:BB51"/>
    <mergeCell ref="AU54:AX54"/>
    <mergeCell ref="Q51:S51"/>
    <mergeCell ref="T50:V50"/>
    <mergeCell ref="AU41:AX41"/>
    <mergeCell ref="T44:V44"/>
    <mergeCell ref="AL45:AN45"/>
    <mergeCell ref="AF44:AH44"/>
    <mergeCell ref="Q50:S50"/>
    <mergeCell ref="AU56:AX56"/>
    <mergeCell ref="AI50:AK50"/>
    <mergeCell ref="AU43:AX43"/>
    <mergeCell ref="AI51:AK51"/>
    <mergeCell ref="AR40:AT40"/>
    <mergeCell ref="AF55:AH55"/>
    <mergeCell ref="T51:V51"/>
    <mergeCell ref="AF51:AH51"/>
    <mergeCell ref="AU42:AX42"/>
    <mergeCell ref="T41:V41"/>
    <mergeCell ref="AY45:BB45"/>
    <mergeCell ref="N40:P40"/>
    <mergeCell ref="AF41:AH41"/>
    <mergeCell ref="K39:M39"/>
    <mergeCell ref="W52:Y52"/>
    <mergeCell ref="T56:V56"/>
    <mergeCell ref="W39:Y39"/>
    <mergeCell ref="T43:V43"/>
    <mergeCell ref="AL51:AN51"/>
    <mergeCell ref="T52:V52"/>
    <mergeCell ref="AO50:AQ50"/>
    <mergeCell ref="AL54:AN54"/>
    <mergeCell ref="AR50:AT50"/>
    <mergeCell ref="AC52:AE52"/>
    <mergeCell ref="AL50:AN50"/>
    <mergeCell ref="F12:L12"/>
    <mergeCell ref="AO52:AQ52"/>
    <mergeCell ref="AC45:AE45"/>
    <mergeCell ref="AI53:AK53"/>
    <mergeCell ref="AU55:AX55"/>
    <mergeCell ref="Q54:S54"/>
    <mergeCell ref="N53:P53"/>
    <mergeCell ref="K51:M51"/>
    <mergeCell ref="AR52:AT52"/>
    <mergeCell ref="AF53:AH53"/>
    <mergeCell ref="AI40:AK40"/>
    <mergeCell ref="Q55:S55"/>
    <mergeCell ref="Z53:AB53"/>
    <mergeCell ref="W51:Y51"/>
    <mergeCell ref="Z50:AB50"/>
    <mergeCell ref="K41:M41"/>
    <mergeCell ref="W54:Y54"/>
    <mergeCell ref="K50:M50"/>
    <mergeCell ref="W41:Y41"/>
    <mergeCell ref="N52:P52"/>
    <mergeCell ref="W50:Y50"/>
    <mergeCell ref="AL53:AN53"/>
    <mergeCell ref="AY40:BB40"/>
    <mergeCell ref="N39:P39"/>
    <mergeCell ref="AI41:AK41"/>
    <mergeCell ref="Q40:S40"/>
    <mergeCell ref="Z52:AB52"/>
    <mergeCell ref="AF45:AH45"/>
    <mergeCell ref="K43:M43"/>
    <mergeCell ref="W56:Y56"/>
    <mergeCell ref="AY54:BB54"/>
    <mergeCell ref="K52:M52"/>
    <mergeCell ref="Z39:AB39"/>
    <mergeCell ref="AC54:AE54"/>
    <mergeCell ref="W43:Y43"/>
    <mergeCell ref="AR53:AT53"/>
    <mergeCell ref="K42:M42"/>
    <mergeCell ref="AO54:AQ54"/>
    <mergeCell ref="AC50:AE50"/>
    <mergeCell ref="AO41:AQ41"/>
    <mergeCell ref="W42:Y42"/>
    <mergeCell ref="AC56:AE56"/>
    <mergeCell ref="AR55:AT55"/>
    <mergeCell ref="AU51:AX51"/>
    <mergeCell ref="K53:M53"/>
    <mergeCell ref="AO56:AQ56"/>
    <mergeCell ref="AL55:AN55"/>
    <mergeCell ref="AF40:AH40"/>
    <mergeCell ref="AR51:AT51"/>
    <mergeCell ref="AO55:AQ55"/>
    <mergeCell ref="AR54:AT54"/>
    <mergeCell ref="AO40:AQ40"/>
    <mergeCell ref="Z40:AB40"/>
    <mergeCell ref="AR41:AT41"/>
    <mergeCell ref="AI52:AK52"/>
    <mergeCell ref="AF56:AH56"/>
    <mergeCell ref="AY53:BB53"/>
    <mergeCell ref="Q53:S53"/>
    <mergeCell ref="AL40:AN40"/>
    <mergeCell ref="AI39:AK39"/>
    <mergeCell ref="AY50:BB50"/>
    <mergeCell ref="AF43:AH43"/>
    <mergeCell ref="AR56:AT56"/>
    <mergeCell ref="N54:P54"/>
    <mergeCell ref="AR43:AT43"/>
    <mergeCell ref="N41:P41"/>
    <mergeCell ref="AY55:BB55"/>
    <mergeCell ref="Z54:AB54"/>
    <mergeCell ref="N50:P50"/>
    <mergeCell ref="K54:M54"/>
    <mergeCell ref="AY52:BB52"/>
    <mergeCell ref="AU45:AX45"/>
    <mergeCell ref="Z41:AB41"/>
    <mergeCell ref="Q52:S52"/>
    <mergeCell ref="N51:P51"/>
    <mergeCell ref="W45:Y45"/>
    <mergeCell ref="K55:M55"/>
    <mergeCell ref="N56:P56"/>
    <mergeCell ref="T53:V53"/>
    <mergeCell ref="Q39:S39"/>
    <mergeCell ref="AY39:BB39"/>
    <mergeCell ref="N43:P43"/>
    <mergeCell ref="W55:Y55"/>
  </mergeCells>
  <pageMargins left="0.25" right="0.25" top="0.75" bottom="0.75" header="0.3" footer="0.3"/>
  <pageSetup orientation="portrait" paperSize="9" scale="79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56"/>
  <sheetViews>
    <sheetView showGridLines="0" view="pageBreakPreview" zoomScaleNormal="100" zoomScaleSheetLayoutView="100" workbookViewId="0">
      <selection activeCell="A1" sqref="A1"/>
    </sheetView>
  </sheetViews>
  <sheetFormatPr baseColWidth="8" defaultColWidth="9.625" defaultRowHeight="15" customHeight="1"/>
  <cols>
    <col width="1.625" customWidth="1" style="161" min="1" max="57"/>
    <col width="9.625" customWidth="1" style="161" min="58" max="16384"/>
  </cols>
  <sheetData>
    <row r="1" ht="8.1" customHeight="1" s="292"/>
    <row r="2" ht="15" customHeight="1" s="292">
      <c r="B2" s="2" t="inlineStr">
        <is>
          <t>5. 상품</t>
        </is>
      </c>
      <c r="C2" s="64" t="n"/>
      <c r="D2" s="64" t="n"/>
      <c r="E2" s="64" t="n"/>
      <c r="F2" s="64" t="n"/>
      <c r="G2" s="64" t="n"/>
      <c r="H2" s="64" t="n"/>
      <c r="I2" s="64" t="n"/>
      <c r="J2" s="64" t="n"/>
      <c r="K2" s="64" t="n"/>
      <c r="L2" s="64" t="n"/>
      <c r="M2" s="64" t="n"/>
      <c r="N2" s="64" t="n"/>
      <c r="O2" s="64" t="n"/>
      <c r="P2" s="64" t="n"/>
      <c r="Q2" s="64" t="n"/>
      <c r="R2" s="64" t="n"/>
      <c r="S2" s="64" t="n"/>
      <c r="T2" s="64" t="n"/>
      <c r="U2" s="64" t="n"/>
      <c r="V2" s="64" t="n"/>
      <c r="W2" s="64" t="n"/>
      <c r="X2" s="64" t="n"/>
      <c r="Y2" s="64" t="n"/>
      <c r="Z2" s="64" t="n"/>
      <c r="AA2" s="64" t="n"/>
      <c r="AB2" s="64" t="n"/>
      <c r="AC2" s="64" t="n"/>
      <c r="AD2" s="64" t="n"/>
      <c r="AE2" s="64" t="n"/>
      <c r="AF2" s="64" t="n"/>
      <c r="AG2" s="64" t="n"/>
      <c r="AH2" s="64" t="n"/>
      <c r="AI2" s="64" t="n"/>
      <c r="AJ2" s="64" t="n"/>
      <c r="AK2" s="64" t="n"/>
      <c r="AL2" s="64" t="n"/>
      <c r="AM2" s="64" t="n"/>
      <c r="AN2" s="64" t="n"/>
      <c r="AO2" s="64" t="n"/>
      <c r="AP2" s="64" t="n"/>
      <c r="AQ2" s="64" t="n"/>
      <c r="AR2" s="64" t="n"/>
      <c r="AS2" s="64" t="n"/>
      <c r="AT2" s="64" t="n"/>
      <c r="AU2" s="64" t="n"/>
      <c r="AV2" s="64" t="n"/>
      <c r="AW2" s="64" t="n"/>
      <c r="AX2" s="64" t="n"/>
      <c r="AY2" s="64" t="n"/>
      <c r="AZ2" s="64" t="n"/>
      <c r="BA2" s="64" t="n"/>
      <c r="BB2" s="64" t="n"/>
      <c r="BC2" s="64" t="n"/>
      <c r="BD2" s="64" t="n"/>
    </row>
    <row r="3" ht="5.25" customHeight="1" s="292"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</row>
    <row r="4" ht="15" customHeight="1" s="292">
      <c r="B4" s="21" t="n"/>
      <c r="D4" s="5" t="inlineStr">
        <is>
          <t>【NPS】 2월 상품 채널 NPS는 56.8점으로 업계 평균을 상회했으나 1월 대비 -12.4점 하락했으며, 누적 NPS 69.7점으로 높은 충성도를 유지함.</t>
        </is>
      </c>
      <c r="E4" s="43" t="n"/>
      <c r="F4" s="43" t="n"/>
      <c r="H4" s="43" t="n"/>
    </row>
    <row r="5" ht="15" customHeight="1" s="292">
      <c r="D5" s="25" t="inlineStr">
        <is>
          <t>- 상품 채널에서 2월 추천 72.1%, 중립 12.6%, 비추천 15.3%로, 1월 대비 추천 -8.0%p·중립 +3.5%p·비추천 +4.4%p 악화이며, 누적 기준 추천 80.4%·중립 8.9%·비추천 10.7%로 양호 수준 유지</t>
        </is>
      </c>
      <c r="E5" s="25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</row>
    <row r="6" ht="15" customHeight="1" s="292">
      <c r="D6" s="15" t="inlineStr">
        <is>
          <t>상품 Bottom-Up NPS 현황</t>
        </is>
      </c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  <c r="AO6" s="66" t="n"/>
      <c r="AP6" s="66" t="n"/>
      <c r="AQ6" s="66" t="n"/>
      <c r="AR6" s="66" t="n"/>
      <c r="AS6" s="66" t="n"/>
      <c r="AT6" s="66" t="n"/>
      <c r="AU6" s="66" t="n"/>
      <c r="AV6" s="66" t="n"/>
      <c r="AW6" s="66" t="n"/>
      <c r="AX6" s="66" t="n"/>
      <c r="AY6" s="66" t="n"/>
      <c r="AZ6" s="66" t="n"/>
      <c r="BA6" s="66" t="n"/>
      <c r="BB6" s="66" t="n"/>
      <c r="BC6" s="66" t="n"/>
      <c r="BD6" s="66" t="n"/>
    </row>
    <row r="7" ht="15" customHeight="1" s="292">
      <c r="B7" s="43" t="n"/>
      <c r="C7" s="43" t="n"/>
      <c r="D7" s="43" t="n"/>
      <c r="E7" s="43" t="n"/>
      <c r="F7" s="43" t="n"/>
      <c r="G7" s="43" t="n"/>
      <c r="H7" s="43" t="n"/>
      <c r="I7" s="43" t="n"/>
      <c r="J7" s="43" t="n"/>
      <c r="K7" s="43" t="n"/>
      <c r="L7" s="43" t="n"/>
      <c r="M7" s="43" t="n"/>
      <c r="N7" s="43" t="n"/>
      <c r="BG7" s="161" t="inlineStr">
        <is>
          <t>기준월</t>
        </is>
      </c>
      <c r="BH7" s="161" t="inlineStr">
        <is>
          <t>추천</t>
        </is>
      </c>
      <c r="BI7" s="161" t="inlineStr">
        <is>
          <t>중립</t>
        </is>
      </c>
      <c r="BJ7" s="161" t="inlineStr">
        <is>
          <t>비추천</t>
        </is>
      </c>
      <c r="BK7" s="161" t="inlineStr">
        <is>
          <t>NPS</t>
        </is>
      </c>
      <c r="BL7" s="161" t="inlineStr">
        <is>
          <t>누적NPS</t>
        </is>
      </c>
    </row>
    <row r="8" ht="15" customHeight="1" s="292">
      <c r="B8" s="43" t="n"/>
      <c r="C8" s="43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  <c r="M8" s="43" t="n"/>
      <c r="N8" s="43" t="n"/>
      <c r="BG8" s="161" t="inlineStr">
        <is>
          <t>1월</t>
        </is>
      </c>
      <c r="BH8" s="320" t="n">
        <v>80.09999999999999</v>
      </c>
      <c r="BI8" s="320" t="n">
        <v>9.1</v>
      </c>
      <c r="BJ8" s="320" t="n">
        <v>10.9</v>
      </c>
      <c r="BK8" s="320" t="n">
        <v>69.2</v>
      </c>
      <c r="BL8" s="320" t="n">
        <v>69.7</v>
      </c>
    </row>
    <row r="9" ht="15" customHeight="1" s="292"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BG9" s="161" t="inlineStr">
        <is>
          <t>2월</t>
        </is>
      </c>
      <c r="BH9" s="320" t="n">
        <v>72.09999999999999</v>
      </c>
      <c r="BI9" s="320" t="n">
        <v>12.6</v>
      </c>
      <c r="BJ9" s="320" t="n">
        <v>15.3</v>
      </c>
      <c r="BK9" s="320" t="n">
        <v>56.8</v>
      </c>
      <c r="BL9" s="320" t="n">
        <v>69.7</v>
      </c>
    </row>
    <row r="10" ht="15" customHeight="1" s="292">
      <c r="B10" s="43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  <c r="M10" s="43" t="n"/>
      <c r="N10" s="43" t="n"/>
      <c r="BG10" s="161" t="inlineStr">
        <is>
          <t>3월</t>
        </is>
      </c>
      <c r="BH10" s="321" t="inlineStr"/>
      <c r="BI10" s="321" t="inlineStr"/>
      <c r="BJ10" s="321" t="inlineStr"/>
      <c r="BK10" s="161" t="inlineStr"/>
      <c r="BL10" s="161" t="inlineStr"/>
    </row>
    <row r="11" ht="15" customHeight="1" s="292">
      <c r="B11" s="43" t="n"/>
      <c r="C11" s="43" t="n"/>
      <c r="D11" s="43" t="n"/>
      <c r="E11" s="43" t="n"/>
      <c r="F11" s="43" t="n"/>
      <c r="G11" s="43" t="n"/>
      <c r="H11" s="43" t="n"/>
      <c r="I11" s="164" t="inlineStr">
        <is>
          <t>NPS</t>
        </is>
      </c>
      <c r="J11" s="43" t="n"/>
      <c r="K11" s="43" t="n"/>
      <c r="L11" s="43" t="n"/>
      <c r="M11" s="43" t="n"/>
      <c r="N11" s="43" t="n"/>
      <c r="BG11" s="161" t="inlineStr">
        <is>
          <t>4월</t>
        </is>
      </c>
      <c r="BH11" s="321" t="inlineStr"/>
      <c r="BI11" s="321" t="inlineStr"/>
      <c r="BJ11" s="321" t="inlineStr"/>
      <c r="BK11" s="161" t="inlineStr"/>
      <c r="BL11" s="161" t="inlineStr"/>
    </row>
    <row r="12" ht="15" customHeight="1" s="292">
      <c r="B12" s="43" t="n"/>
      <c r="C12" s="43" t="n"/>
      <c r="D12" s="43" t="n"/>
      <c r="E12" s="43" t="n"/>
      <c r="F12" s="322" t="n">
        <v>69.7</v>
      </c>
      <c r="M12" s="43" t="n"/>
      <c r="N12" s="43" t="n"/>
      <c r="BG12" s="161" t="inlineStr">
        <is>
          <t>5월</t>
        </is>
      </c>
      <c r="BH12" s="321" t="inlineStr"/>
      <c r="BI12" s="321" t="inlineStr"/>
      <c r="BJ12" s="321" t="inlineStr"/>
      <c r="BK12" s="161" t="inlineStr"/>
      <c r="BL12" s="161" t="inlineStr"/>
    </row>
    <row r="13" ht="15" customHeight="1" s="292">
      <c r="B13" s="43" t="n"/>
      <c r="C13" s="43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  <c r="M13" s="43" t="n"/>
      <c r="N13" s="43" t="n"/>
      <c r="BG13" s="161" t="inlineStr">
        <is>
          <t>6월</t>
        </is>
      </c>
      <c r="BH13" s="321" t="inlineStr"/>
      <c r="BI13" s="321" t="inlineStr"/>
      <c r="BJ13" s="321" t="inlineStr"/>
      <c r="BK13" s="161" t="inlineStr"/>
      <c r="BL13" s="161" t="inlineStr"/>
    </row>
    <row r="14" ht="15" customHeight="1" s="292">
      <c r="BG14" s="161" t="inlineStr">
        <is>
          <t>7월</t>
        </is>
      </c>
      <c r="BH14" s="321" t="inlineStr"/>
      <c r="BI14" s="321" t="inlineStr"/>
      <c r="BJ14" s="321" t="inlineStr"/>
      <c r="BK14" s="161" t="inlineStr"/>
      <c r="BL14" s="161" t="inlineStr"/>
    </row>
    <row r="15" ht="15" customHeight="1" s="292">
      <c r="BG15" s="161" t="inlineStr">
        <is>
          <t>8월</t>
        </is>
      </c>
      <c r="BH15" s="321" t="inlineStr"/>
      <c r="BI15" s="321" t="inlineStr"/>
      <c r="BJ15" s="321" t="inlineStr"/>
      <c r="BK15" s="161" t="inlineStr"/>
      <c r="BL15" s="161" t="inlineStr"/>
    </row>
    <row r="16" ht="15" customHeight="1" s="292">
      <c r="BG16" s="161" t="inlineStr">
        <is>
          <t>9월</t>
        </is>
      </c>
      <c r="BH16" s="321" t="inlineStr"/>
      <c r="BI16" s="321" t="inlineStr"/>
      <c r="BJ16" s="321" t="inlineStr"/>
      <c r="BK16" s="161" t="inlineStr"/>
      <c r="BL16" s="161" t="inlineStr"/>
    </row>
    <row r="17" ht="15" customHeight="1" s="292">
      <c r="BG17" s="161" t="inlineStr">
        <is>
          <t>10월</t>
        </is>
      </c>
      <c r="BH17" s="321" t="inlineStr"/>
      <c r="BI17" s="321" t="inlineStr"/>
      <c r="BJ17" s="321" t="inlineStr"/>
      <c r="BK17" s="161" t="inlineStr"/>
      <c r="BL17" s="161" t="inlineStr"/>
    </row>
    <row r="18" ht="15" customHeight="1" s="292">
      <c r="BG18" s="161" t="inlineStr">
        <is>
          <t>11월</t>
        </is>
      </c>
      <c r="BH18" s="321" t="inlineStr"/>
      <c r="BI18" s="321" t="inlineStr"/>
      <c r="BJ18" s="321" t="inlineStr"/>
      <c r="BK18" s="161" t="inlineStr"/>
      <c r="BL18" s="161" t="inlineStr"/>
    </row>
    <row r="19" ht="15" customHeight="1" s="292">
      <c r="D19" s="15" t="inlineStr">
        <is>
          <t>월별 고객 충성도 그룹</t>
        </is>
      </c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  <c r="AO19" s="66" t="n"/>
      <c r="AP19" s="66" t="n"/>
      <c r="AQ19" s="66" t="n"/>
      <c r="AR19" s="66" t="n"/>
      <c r="AS19" s="66" t="n"/>
      <c r="AT19" s="66" t="n"/>
      <c r="AU19" s="66" t="n"/>
      <c r="AV19" s="66" t="n"/>
      <c r="AW19" s="66" t="n"/>
      <c r="AX19" s="66" t="n"/>
      <c r="AY19" s="66" t="n"/>
      <c r="AZ19" s="66" t="n"/>
      <c r="BA19" s="66" t="n"/>
      <c r="BB19" s="66" t="n"/>
      <c r="BC19" s="66" t="n"/>
      <c r="BD19" s="66" t="n"/>
      <c r="BG19" s="161" t="inlineStr">
        <is>
          <t>12월</t>
        </is>
      </c>
      <c r="BH19" s="321" t="inlineStr"/>
      <c r="BI19" s="321" t="inlineStr"/>
      <c r="BJ19" s="321" t="inlineStr"/>
      <c r="BK19" s="161" t="inlineStr"/>
      <c r="BL19" s="161" t="inlineStr"/>
    </row>
    <row r="20" ht="15" customHeight="1" s="292">
      <c r="BG20" s="161" t="inlineStr">
        <is>
          <t>누적</t>
        </is>
      </c>
      <c r="BH20" s="320" t="n">
        <v>80.40000000000001</v>
      </c>
      <c r="BI20" s="320" t="n">
        <v>8.9</v>
      </c>
      <c r="BJ20" s="320" t="n">
        <v>10.7</v>
      </c>
      <c r="BK20" s="320" t="n">
        <v>69.7</v>
      </c>
      <c r="BL20" s="320" t="n">
        <v>69.7</v>
      </c>
    </row>
    <row r="21"/>
    <row r="22"/>
    <row r="23"/>
    <row r="24"/>
    <row r="25" ht="15" customHeight="1" s="292">
      <c r="G25" s="65" t="n"/>
    </row>
    <row r="26" ht="15" customHeight="1" s="292">
      <c r="T26" s="65" t="n"/>
    </row>
    <row r="27"/>
    <row r="28"/>
    <row r="29"/>
    <row r="30"/>
    <row r="31"/>
    <row r="32"/>
    <row r="33"/>
    <row r="34" ht="15" customHeight="1" s="292">
      <c r="D34" s="5" t="inlineStr">
        <is>
          <t>【NPS 영향도】 ‘저축성’이 42.2점으로 뚜렷한 강점이며, ‘여신성’·‘투자성’은 한 자릿수~10점대 초반으로 개선 필요하고, ‘보장성’·‘외화환전’·‘해외송금’은 5점 이하로 저조함</t>
        </is>
      </c>
      <c r="K34" s="43" t="n"/>
    </row>
    <row r="35"/>
    <row r="36" ht="15" customHeight="1" s="292">
      <c r="D36" s="15" t="inlineStr">
        <is>
          <t>월별 NPS 영향도</t>
        </is>
      </c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  <c r="AO36" s="66" t="n"/>
      <c r="AP36" s="66" t="n"/>
      <c r="AQ36" s="66" t="n"/>
      <c r="AR36" s="66" t="n"/>
      <c r="AS36" s="66" t="n"/>
      <c r="AT36" s="66" t="n"/>
      <c r="AU36" s="66" t="n"/>
      <c r="AV36" s="66" t="n"/>
      <c r="AW36" s="66" t="n"/>
      <c r="AX36" s="66" t="n"/>
      <c r="AY36" s="66" t="n"/>
      <c r="AZ36" s="66" t="n"/>
      <c r="BA36" s="66" t="n"/>
      <c r="BB36" s="66" t="n"/>
      <c r="BC36" s="66" t="n"/>
      <c r="BD36" s="66" t="n"/>
    </row>
    <row r="37" ht="5.1" customHeight="1" s="292"/>
    <row r="38" ht="15" customHeight="1" s="292">
      <c r="D38" s="28" t="inlineStr">
        <is>
          <t>구분(점)</t>
        </is>
      </c>
      <c r="E38" s="28" t="n"/>
      <c r="F38" s="28" t="n"/>
      <c r="G38" s="28" t="n"/>
      <c r="H38" s="28" t="n"/>
      <c r="I38" s="28" t="n"/>
      <c r="J38" s="28" t="n"/>
      <c r="K38" s="29" t="inlineStr">
        <is>
          <t>1월</t>
        </is>
      </c>
      <c r="L38" s="30" t="n"/>
      <c r="M38" s="32" t="n"/>
      <c r="N38" s="33" t="inlineStr">
        <is>
          <t>2월</t>
        </is>
      </c>
      <c r="O38" s="30" t="n"/>
      <c r="P38" s="32" t="n"/>
      <c r="Q38" s="33" t="inlineStr">
        <is>
          <t>3월</t>
        </is>
      </c>
      <c r="R38" s="30" t="n"/>
      <c r="S38" s="32" t="n"/>
      <c r="T38" s="33" t="inlineStr">
        <is>
          <t>4월</t>
        </is>
      </c>
      <c r="U38" s="30" t="n"/>
      <c r="V38" s="32" t="n"/>
      <c r="W38" s="33" t="inlineStr">
        <is>
          <t>5월</t>
        </is>
      </c>
      <c r="X38" s="30" t="n"/>
      <c r="Y38" s="32" t="n"/>
      <c r="Z38" s="33" t="inlineStr">
        <is>
          <t>6월</t>
        </is>
      </c>
      <c r="AA38" s="30" t="n"/>
      <c r="AB38" s="32" t="n"/>
      <c r="AC38" s="33" t="inlineStr">
        <is>
          <t>7월</t>
        </is>
      </c>
      <c r="AD38" s="30" t="n"/>
      <c r="AE38" s="32" t="n"/>
      <c r="AF38" s="33" t="inlineStr">
        <is>
          <t>8월</t>
        </is>
      </c>
      <c r="AG38" s="30" t="n"/>
      <c r="AH38" s="32" t="n"/>
      <c r="AI38" s="33" t="inlineStr">
        <is>
          <t>9월</t>
        </is>
      </c>
      <c r="AJ38" s="30" t="n"/>
      <c r="AK38" s="32" t="n"/>
      <c r="AL38" s="33" t="inlineStr">
        <is>
          <t>10월</t>
        </is>
      </c>
      <c r="AM38" s="30" t="n"/>
      <c r="AN38" s="32" t="n"/>
      <c r="AO38" s="33" t="inlineStr">
        <is>
          <t>11월</t>
        </is>
      </c>
      <c r="AP38" s="30" t="n"/>
      <c r="AQ38" s="32" t="n"/>
      <c r="AR38" s="33" t="inlineStr">
        <is>
          <t>12월</t>
        </is>
      </c>
      <c r="AS38" s="30" t="n"/>
      <c r="AT38" s="30" t="n"/>
      <c r="AU38" s="29" t="inlineStr">
        <is>
          <t>누적</t>
        </is>
      </c>
      <c r="AV38" s="30" t="n"/>
      <c r="AW38" s="30" t="n"/>
      <c r="AX38" s="31" t="n"/>
      <c r="AY38" s="29" t="inlineStr">
        <is>
          <t>1월 대비</t>
        </is>
      </c>
      <c r="AZ38" s="30" t="n"/>
      <c r="BA38" s="30" t="n"/>
      <c r="BB38" s="30" t="n"/>
    </row>
    <row r="39" ht="15" customHeight="1" s="292">
      <c r="D39" s="16" t="inlineStr">
        <is>
          <t>NPS</t>
        </is>
      </c>
      <c r="E39" s="16" t="n"/>
      <c r="F39" s="16" t="n"/>
      <c r="G39" s="16" t="n"/>
      <c r="H39" s="16" t="n"/>
      <c r="I39" s="16" t="n"/>
      <c r="J39" s="17" t="n"/>
      <c r="K39" s="330" t="n">
        <v>69.2</v>
      </c>
      <c r="L39" s="159" t="n"/>
      <c r="M39" s="300" t="n"/>
      <c r="N39" s="331" t="n">
        <v>56.8</v>
      </c>
      <c r="O39" s="159" t="n"/>
      <c r="P39" s="300" t="n"/>
      <c r="Q39" s="183" t="inlineStr"/>
      <c r="R39" s="159" t="n"/>
      <c r="S39" s="300" t="n"/>
      <c r="T39" s="183" t="inlineStr"/>
      <c r="U39" s="159" t="n"/>
      <c r="V39" s="300" t="n"/>
      <c r="W39" s="183" t="inlineStr"/>
      <c r="X39" s="159" t="n"/>
      <c r="Y39" s="300" t="n"/>
      <c r="Z39" s="183" t="inlineStr"/>
      <c r="AA39" s="159" t="n"/>
      <c r="AB39" s="300" t="n"/>
      <c r="AC39" s="183" t="inlineStr"/>
      <c r="AD39" s="159" t="n"/>
      <c r="AE39" s="300" t="n"/>
      <c r="AF39" s="183" t="inlineStr"/>
      <c r="AG39" s="159" t="n"/>
      <c r="AH39" s="300" t="n"/>
      <c r="AI39" s="183" t="inlineStr"/>
      <c r="AJ39" s="159" t="n"/>
      <c r="AK39" s="300" t="n"/>
      <c r="AL39" s="183" t="inlineStr"/>
      <c r="AM39" s="159" t="n"/>
      <c r="AN39" s="300" t="n"/>
      <c r="AO39" s="183" t="inlineStr"/>
      <c r="AP39" s="159" t="n"/>
      <c r="AQ39" s="300" t="n"/>
      <c r="AR39" s="183" t="inlineStr"/>
      <c r="AS39" s="159" t="n"/>
      <c r="AT39" s="300" t="n"/>
      <c r="AU39" s="330" t="n">
        <v>69.7</v>
      </c>
      <c r="AV39" s="159" t="n"/>
      <c r="AW39" s="159" t="n"/>
      <c r="AX39" s="300" t="n"/>
      <c r="AY39" s="332" t="n">
        <v>0.5</v>
      </c>
      <c r="AZ39" s="159" t="n"/>
      <c r="BA39" s="159" t="n"/>
      <c r="BB39" s="159" t="n"/>
    </row>
    <row r="40" ht="15" customHeight="1" s="292">
      <c r="D40" s="69" t="inlineStr">
        <is>
          <t>로그인/인증</t>
        </is>
      </c>
      <c r="E40" s="70" t="n"/>
      <c r="F40" s="71" t="n"/>
      <c r="G40" s="71" t="n"/>
      <c r="H40" s="71" t="n"/>
      <c r="I40" s="71" t="n"/>
      <c r="J40" s="12" t="n"/>
      <c r="K40" s="333" t="n">
        <v>42.2</v>
      </c>
      <c r="M40" s="306" t="n"/>
      <c r="N40" s="305" t="n">
        <v>34.8</v>
      </c>
      <c r="P40" s="306" t="n"/>
      <c r="Q40" s="307" t="inlineStr"/>
      <c r="S40" s="306" t="n"/>
      <c r="T40" s="307" t="inlineStr"/>
      <c r="V40" s="306" t="n"/>
      <c r="W40" s="307" t="inlineStr"/>
      <c r="Y40" s="306" t="n"/>
      <c r="Z40" s="307" t="inlineStr"/>
      <c r="AB40" s="306" t="n"/>
      <c r="AC40" s="307" t="inlineStr"/>
      <c r="AE40" s="306" t="n"/>
      <c r="AF40" s="307" t="inlineStr"/>
      <c r="AH40" s="306" t="n"/>
      <c r="AI40" s="307" t="inlineStr"/>
      <c r="AK40" s="306" t="n"/>
      <c r="AL40" s="307" t="inlineStr"/>
      <c r="AN40" s="306" t="n"/>
      <c r="AO40" s="307" t="inlineStr"/>
      <c r="AQ40" s="306" t="n"/>
      <c r="AR40" s="171" t="inlineStr"/>
      <c r="AT40" s="308" t="n"/>
      <c r="AU40" s="309" t="n">
        <v>42.2</v>
      </c>
      <c r="AX40" s="308" t="n"/>
      <c r="AY40" s="328" t="n">
        <v>0</v>
      </c>
    </row>
    <row r="41" ht="15" customHeight="1" s="292">
      <c r="D41" s="69" t="inlineStr">
        <is>
          <t>홈화면</t>
        </is>
      </c>
      <c r="E41" s="70" t="n"/>
      <c r="F41" s="71" t="n"/>
      <c r="G41" s="71" t="n"/>
      <c r="H41" s="71" t="n"/>
      <c r="I41" s="71" t="n"/>
      <c r="J41" s="12" t="n"/>
      <c r="K41" s="333" t="n">
        <v>9.199999999999999</v>
      </c>
      <c r="M41" s="306" t="n"/>
      <c r="N41" s="305" t="n">
        <v>5.7</v>
      </c>
      <c r="P41" s="306" t="n"/>
      <c r="Q41" s="307" t="inlineStr"/>
      <c r="S41" s="306" t="n"/>
      <c r="T41" s="307" t="inlineStr"/>
      <c r="V41" s="306" t="n"/>
      <c r="W41" s="307" t="inlineStr"/>
      <c r="Y41" s="306" t="n"/>
      <c r="Z41" s="307" t="inlineStr"/>
      <c r="AB41" s="306" t="n"/>
      <c r="AC41" s="307" t="inlineStr"/>
      <c r="AE41" s="306" t="n"/>
      <c r="AF41" s="307" t="inlineStr"/>
      <c r="AH41" s="306" t="n"/>
      <c r="AI41" s="307" t="inlineStr"/>
      <c r="AK41" s="306" t="n"/>
      <c r="AL41" s="307" t="inlineStr"/>
      <c r="AN41" s="306" t="n"/>
      <c r="AO41" s="307" t="inlineStr"/>
      <c r="AQ41" s="306" t="n"/>
      <c r="AR41" s="171" t="inlineStr"/>
      <c r="AT41" s="308" t="n"/>
      <c r="AU41" s="309" t="n">
        <v>9.199999999999999</v>
      </c>
      <c r="AX41" s="308" t="n"/>
      <c r="AY41" s="328" t="n">
        <v>0</v>
      </c>
    </row>
    <row r="42" ht="15" customHeight="1" s="292">
      <c r="D42" s="69" t="inlineStr">
        <is>
          <t>계좌조회/이체</t>
        </is>
      </c>
      <c r="E42" s="70" t="n"/>
      <c r="F42" s="71" t="n"/>
      <c r="G42" s="71" t="n"/>
      <c r="H42" s="71" t="n"/>
      <c r="I42" s="71" t="n"/>
      <c r="J42" s="12" t="n"/>
      <c r="K42" s="333" t="n">
        <v>8.5</v>
      </c>
      <c r="M42" s="306" t="n"/>
      <c r="N42" s="305" t="n">
        <v>13.4</v>
      </c>
      <c r="P42" s="306" t="n"/>
      <c r="Q42" s="307" t="inlineStr"/>
      <c r="S42" s="306" t="n"/>
      <c r="T42" s="307" t="inlineStr"/>
      <c r="V42" s="306" t="n"/>
      <c r="W42" s="307" t="inlineStr"/>
      <c r="Y42" s="306" t="n"/>
      <c r="Z42" s="307" t="inlineStr"/>
      <c r="AB42" s="306" t="n"/>
      <c r="AC42" s="307" t="inlineStr"/>
      <c r="AE42" s="306" t="n"/>
      <c r="AF42" s="307" t="inlineStr"/>
      <c r="AH42" s="306" t="n"/>
      <c r="AI42" s="307" t="inlineStr"/>
      <c r="AK42" s="306" t="n"/>
      <c r="AL42" s="307" t="inlineStr"/>
      <c r="AN42" s="306" t="n"/>
      <c r="AO42" s="307" t="inlineStr"/>
      <c r="AQ42" s="306" t="n"/>
      <c r="AR42" s="171" t="inlineStr"/>
      <c r="AT42" s="308" t="n"/>
      <c r="AU42" s="309" t="n">
        <v>8.5</v>
      </c>
      <c r="AX42" s="308" t="n"/>
      <c r="AY42" s="328" t="n">
        <v>0</v>
      </c>
    </row>
    <row r="43" ht="15" customHeight="1" s="292">
      <c r="D43" s="69" t="inlineStr">
        <is>
          <t>통합검색</t>
        </is>
      </c>
      <c r="E43" s="70" t="n"/>
      <c r="F43" s="71" t="n"/>
      <c r="G43" s="71" t="n"/>
      <c r="H43" s="71" t="n"/>
      <c r="I43" s="71" t="n"/>
      <c r="J43" s="12" t="n"/>
      <c r="K43" s="333" t="n">
        <v>2.3</v>
      </c>
      <c r="M43" s="306" t="n"/>
      <c r="N43" s="305" t="n">
        <v>0.6</v>
      </c>
      <c r="P43" s="306" t="n"/>
      <c r="Q43" s="307" t="inlineStr"/>
      <c r="S43" s="306" t="n"/>
      <c r="T43" s="307" t="inlineStr"/>
      <c r="V43" s="306" t="n"/>
      <c r="W43" s="307" t="inlineStr"/>
      <c r="Y43" s="306" t="n"/>
      <c r="Z43" s="307" t="inlineStr"/>
      <c r="AB43" s="306" t="n"/>
      <c r="AC43" s="307" t="inlineStr"/>
      <c r="AE43" s="306" t="n"/>
      <c r="AF43" s="307" t="inlineStr"/>
      <c r="AH43" s="306" t="n"/>
      <c r="AI43" s="307" t="inlineStr"/>
      <c r="AK43" s="306" t="n"/>
      <c r="AL43" s="307" t="inlineStr"/>
      <c r="AN43" s="306" t="n"/>
      <c r="AO43" s="307" t="inlineStr"/>
      <c r="AQ43" s="306" t="n"/>
      <c r="AR43" s="171" t="inlineStr"/>
      <c r="AT43" s="308" t="n"/>
      <c r="AU43" s="309" t="n">
        <v>2.3</v>
      </c>
      <c r="AX43" s="308" t="n"/>
      <c r="AY43" s="328" t="n">
        <v>0</v>
      </c>
    </row>
    <row r="44" ht="15" customHeight="1" s="292">
      <c r="D44" s="69" t="inlineStr">
        <is>
          <t>금융상품몰</t>
        </is>
      </c>
      <c r="E44" s="70" t="n"/>
      <c r="F44" s="71" t="n"/>
      <c r="G44" s="71" t="n"/>
      <c r="H44" s="71" t="n"/>
      <c r="I44" s="71" t="n"/>
      <c r="J44" s="12" t="n"/>
      <c r="K44" s="333" t="n">
        <v>5</v>
      </c>
      <c r="M44" s="306" t="n"/>
      <c r="N44" s="305" t="n">
        <v>1</v>
      </c>
      <c r="P44" s="306" t="n"/>
      <c r="Q44" s="307" t="inlineStr"/>
      <c r="S44" s="306" t="n"/>
      <c r="T44" s="307" t="inlineStr"/>
      <c r="V44" s="306" t="n"/>
      <c r="W44" s="307" t="inlineStr"/>
      <c r="Y44" s="306" t="n"/>
      <c r="Z44" s="307" t="inlineStr"/>
      <c r="AB44" s="306" t="n"/>
      <c r="AC44" s="307" t="inlineStr"/>
      <c r="AE44" s="306" t="n"/>
      <c r="AF44" s="307" t="inlineStr"/>
      <c r="AH44" s="306" t="n"/>
      <c r="AI44" s="307" t="inlineStr"/>
      <c r="AK44" s="306" t="n"/>
      <c r="AL44" s="307" t="inlineStr"/>
      <c r="AN44" s="306" t="n"/>
      <c r="AO44" s="307" t="inlineStr"/>
      <c r="AQ44" s="306" t="n"/>
      <c r="AR44" s="171" t="inlineStr"/>
      <c r="AT44" s="308" t="n"/>
      <c r="AU44" s="309" t="n">
        <v>5</v>
      </c>
      <c r="AX44" s="308" t="n"/>
      <c r="AY44" s="328" t="n">
        <v>0</v>
      </c>
    </row>
    <row r="45" ht="15" customHeight="1" s="292">
      <c r="D45" s="27" t="inlineStr">
        <is>
          <t>콘텐츠/서비스</t>
        </is>
      </c>
      <c r="E45" s="72" t="n"/>
      <c r="F45" s="11" t="n"/>
      <c r="G45" s="11" t="n"/>
      <c r="H45" s="11" t="n"/>
      <c r="I45" s="11" t="n"/>
      <c r="J45" s="13" t="n"/>
      <c r="K45" s="334" t="n">
        <v>1.2</v>
      </c>
      <c r="L45" s="163" t="n"/>
      <c r="M45" s="312" t="n"/>
      <c r="N45" s="311" t="n">
        <v>0.2</v>
      </c>
      <c r="O45" s="163" t="n"/>
      <c r="P45" s="312" t="n"/>
      <c r="Q45" s="313" t="inlineStr"/>
      <c r="R45" s="163" t="n"/>
      <c r="S45" s="312" t="n"/>
      <c r="T45" s="313" t="inlineStr"/>
      <c r="U45" s="163" t="n"/>
      <c r="V45" s="312" t="n"/>
      <c r="W45" s="313" t="inlineStr"/>
      <c r="X45" s="163" t="n"/>
      <c r="Y45" s="312" t="n"/>
      <c r="Z45" s="313" t="inlineStr"/>
      <c r="AA45" s="163" t="n"/>
      <c r="AB45" s="312" t="n"/>
      <c r="AC45" s="313" t="inlineStr"/>
      <c r="AD45" s="163" t="n"/>
      <c r="AE45" s="312" t="n"/>
      <c r="AF45" s="313" t="inlineStr"/>
      <c r="AG45" s="163" t="n"/>
      <c r="AH45" s="312" t="n"/>
      <c r="AI45" s="313" t="inlineStr"/>
      <c r="AJ45" s="163" t="n"/>
      <c r="AK45" s="312" t="n"/>
      <c r="AL45" s="313" t="inlineStr"/>
      <c r="AM45" s="163" t="n"/>
      <c r="AN45" s="312" t="n"/>
      <c r="AO45" s="313" t="inlineStr"/>
      <c r="AP45" s="163" t="n"/>
      <c r="AQ45" s="312" t="n"/>
      <c r="AR45" s="176" t="inlineStr"/>
      <c r="AS45" s="163" t="n"/>
      <c r="AT45" s="314" t="n"/>
      <c r="AU45" s="315" t="n">
        <v>1.2</v>
      </c>
      <c r="AV45" s="163" t="n"/>
      <c r="AW45" s="163" t="n"/>
      <c r="AX45" s="314" t="n"/>
      <c r="AY45" s="329" t="n">
        <v>0</v>
      </c>
      <c r="AZ45" s="163" t="n"/>
      <c r="BA45" s="163" t="n"/>
      <c r="BB45" s="163" t="n"/>
    </row>
    <row r="46"/>
    <row r="47" ht="15" customHeight="1" s="292">
      <c r="D47" s="15" t="inlineStr">
        <is>
          <t>월별 비추천 이유 응답 비율</t>
        </is>
      </c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  <c r="AG47" s="66" t="n"/>
      <c r="AH47" s="66" t="n"/>
      <c r="AI47" s="66" t="n"/>
      <c r="AJ47" s="66" t="n"/>
      <c r="AK47" s="66" t="n"/>
      <c r="AL47" s="66" t="n"/>
      <c r="AM47" s="66" t="n"/>
      <c r="AN47" s="66" t="n"/>
      <c r="AO47" s="66" t="n"/>
      <c r="AP47" s="66" t="n"/>
      <c r="AQ47" s="66" t="n"/>
      <c r="AR47" s="66" t="n"/>
      <c r="AS47" s="66" t="n"/>
      <c r="AT47" s="66" t="n"/>
      <c r="AU47" s="66" t="n"/>
      <c r="AV47" s="66" t="n"/>
      <c r="AW47" s="66" t="n"/>
      <c r="AX47" s="66" t="n"/>
      <c r="AY47" s="66" t="n"/>
      <c r="AZ47" s="66" t="n"/>
      <c r="BA47" s="66" t="n"/>
      <c r="BB47" s="66" t="n"/>
      <c r="BC47" s="66" t="n"/>
      <c r="BD47" s="66" t="n"/>
    </row>
    <row r="48" ht="5.1" customHeight="1" s="292"/>
    <row r="49" ht="15" customHeight="1" s="292">
      <c r="D49" s="28" t="inlineStr">
        <is>
          <t>구분(%, %p)</t>
        </is>
      </c>
      <c r="E49" s="28" t="n"/>
      <c r="F49" s="28" t="n"/>
      <c r="G49" s="28" t="n"/>
      <c r="H49" s="28" t="n"/>
      <c r="I49" s="28" t="n"/>
      <c r="J49" s="28" t="n"/>
      <c r="K49" s="29" t="inlineStr">
        <is>
          <t>1월</t>
        </is>
      </c>
      <c r="L49" s="30" t="n"/>
      <c r="M49" s="32" t="n"/>
      <c r="N49" s="33" t="inlineStr">
        <is>
          <t>2월</t>
        </is>
      </c>
      <c r="O49" s="30" t="n"/>
      <c r="P49" s="32" t="n"/>
      <c r="Q49" s="33" t="inlineStr">
        <is>
          <t>3월</t>
        </is>
      </c>
      <c r="R49" s="30" t="n"/>
      <c r="S49" s="32" t="n"/>
      <c r="T49" s="33" t="inlineStr">
        <is>
          <t>4월</t>
        </is>
      </c>
      <c r="U49" s="30" t="n"/>
      <c r="V49" s="32" t="n"/>
      <c r="W49" s="33" t="inlineStr">
        <is>
          <t>5월</t>
        </is>
      </c>
      <c r="X49" s="30" t="n"/>
      <c r="Y49" s="32" t="n"/>
      <c r="Z49" s="33" t="inlineStr">
        <is>
          <t>6월</t>
        </is>
      </c>
      <c r="AA49" s="30" t="n"/>
      <c r="AB49" s="32" t="n"/>
      <c r="AC49" s="33" t="inlineStr">
        <is>
          <t>7월</t>
        </is>
      </c>
      <c r="AD49" s="30" t="n"/>
      <c r="AE49" s="32" t="n"/>
      <c r="AF49" s="33" t="inlineStr">
        <is>
          <t>8월</t>
        </is>
      </c>
      <c r="AG49" s="30" t="n"/>
      <c r="AH49" s="32" t="n"/>
      <c r="AI49" s="33" t="inlineStr">
        <is>
          <t>9월</t>
        </is>
      </c>
      <c r="AJ49" s="30" t="n"/>
      <c r="AK49" s="32" t="n"/>
      <c r="AL49" s="33" t="inlineStr">
        <is>
          <t>10월</t>
        </is>
      </c>
      <c r="AM49" s="30" t="n"/>
      <c r="AN49" s="32" t="n"/>
      <c r="AO49" s="33" t="inlineStr">
        <is>
          <t>11월</t>
        </is>
      </c>
      <c r="AP49" s="30" t="n"/>
      <c r="AQ49" s="32" t="n"/>
      <c r="AR49" s="33" t="inlineStr">
        <is>
          <t>12월</t>
        </is>
      </c>
      <c r="AS49" s="30" t="n"/>
      <c r="AT49" s="30" t="n"/>
      <c r="AU49" s="29" t="inlineStr">
        <is>
          <t>누적</t>
        </is>
      </c>
      <c r="AV49" s="30" t="n"/>
      <c r="AW49" s="30" t="n"/>
      <c r="AX49" s="31" t="n"/>
      <c r="AY49" s="29" t="inlineStr">
        <is>
          <t>1월 대비</t>
        </is>
      </c>
      <c r="AZ49" s="30" t="n"/>
      <c r="BA49" s="30" t="n"/>
      <c r="BB49" s="30" t="n"/>
    </row>
    <row r="50" ht="15" customHeight="1" s="292">
      <c r="D50" s="16" t="inlineStr">
        <is>
          <t>NPS</t>
        </is>
      </c>
      <c r="E50" s="16" t="n"/>
      <c r="F50" s="16" t="n"/>
      <c r="G50" s="16" t="n"/>
      <c r="H50" s="16" t="n"/>
      <c r="I50" s="16" t="n"/>
      <c r="J50" s="17" t="n"/>
      <c r="K50" s="335">
        <f>IF(K51="", "", 100)</f>
        <v/>
      </c>
      <c r="L50" s="159" t="n"/>
      <c r="M50" s="300" t="n"/>
      <c r="N50" s="336">
        <f>IF(N51="", "", 100)</f>
        <v/>
      </c>
      <c r="O50" s="159" t="n"/>
      <c r="P50" s="300" t="n"/>
      <c r="Q50" s="336">
        <f>IF(Q51="", "", 100)</f>
        <v/>
      </c>
      <c r="R50" s="159" t="n"/>
      <c r="S50" s="300" t="n"/>
      <c r="T50" s="336">
        <f>IF(T51="", "", 100)</f>
        <v/>
      </c>
      <c r="U50" s="159" t="n"/>
      <c r="V50" s="300" t="n"/>
      <c r="W50" s="336">
        <f>IF(W51="", "", 100)</f>
        <v/>
      </c>
      <c r="X50" s="159" t="n"/>
      <c r="Y50" s="300" t="n"/>
      <c r="Z50" s="336">
        <f>IF(Z51="", "", 100)</f>
        <v/>
      </c>
      <c r="AA50" s="159" t="n"/>
      <c r="AB50" s="300" t="n"/>
      <c r="AC50" s="336">
        <f>IF(AC51="", "", 100)</f>
        <v/>
      </c>
      <c r="AD50" s="159" t="n"/>
      <c r="AE50" s="300" t="n"/>
      <c r="AF50" s="336">
        <f>IF(AF51="", "", 100)</f>
        <v/>
      </c>
      <c r="AG50" s="159" t="n"/>
      <c r="AH50" s="300" t="n"/>
      <c r="AI50" s="336">
        <f>IF(AI51="", "", 100)</f>
        <v/>
      </c>
      <c r="AJ50" s="159" t="n"/>
      <c r="AK50" s="300" t="n"/>
      <c r="AL50" s="336">
        <f>IF(AL51="", "", 100)</f>
        <v/>
      </c>
      <c r="AM50" s="159" t="n"/>
      <c r="AN50" s="300" t="n"/>
      <c r="AO50" s="336">
        <f>IF(AO51="", "", 100)</f>
        <v/>
      </c>
      <c r="AP50" s="159" t="n"/>
      <c r="AQ50" s="300" t="n"/>
      <c r="AR50" s="336">
        <f>IF(AR51="", "", 100)</f>
        <v/>
      </c>
      <c r="AS50" s="159" t="n"/>
      <c r="AT50" s="300" t="n"/>
      <c r="AU50" s="337" t="n">
        <v>100</v>
      </c>
      <c r="AV50" s="159" t="n"/>
      <c r="AW50" s="159" t="n"/>
      <c r="AX50" s="302" t="n"/>
      <c r="AY50" s="338" t="inlineStr">
        <is>
          <t>-</t>
        </is>
      </c>
      <c r="AZ50" s="159" t="n"/>
      <c r="BA50" s="159" t="n"/>
      <c r="BB50" s="159" t="n"/>
    </row>
    <row r="51" ht="15" customHeight="1" s="292">
      <c r="D51" s="69" t="inlineStr">
        <is>
          <t>로그인/인증</t>
        </is>
      </c>
      <c r="E51" s="70" t="n"/>
      <c r="F51" s="71" t="n"/>
      <c r="G51" s="71" t="n"/>
      <c r="H51" s="71" t="n"/>
      <c r="I51" s="71" t="n"/>
      <c r="J51" s="12" t="n"/>
      <c r="K51" s="333" t="n">
        <v>8.199999999999999</v>
      </c>
      <c r="M51" s="306" t="n"/>
      <c r="N51" s="305" t="n">
        <v>11.8</v>
      </c>
      <c r="P51" s="306" t="n"/>
      <c r="Q51" s="307" t="inlineStr"/>
      <c r="S51" s="306" t="n"/>
      <c r="T51" s="307" t="inlineStr"/>
      <c r="V51" s="306" t="n"/>
      <c r="W51" s="307" t="inlineStr"/>
      <c r="Y51" s="306" t="n"/>
      <c r="Z51" s="307" t="inlineStr"/>
      <c r="AB51" s="306" t="n"/>
      <c r="AC51" s="307" t="inlineStr"/>
      <c r="AE51" s="306" t="n"/>
      <c r="AF51" s="307" t="inlineStr"/>
      <c r="AH51" s="306" t="n"/>
      <c r="AI51" s="307" t="inlineStr"/>
      <c r="AK51" s="306" t="n"/>
      <c r="AL51" s="307" t="inlineStr"/>
      <c r="AN51" s="306" t="n"/>
      <c r="AO51" s="307" t="inlineStr"/>
      <c r="AQ51" s="306" t="n"/>
      <c r="AR51" s="171" t="inlineStr"/>
      <c r="AT51" s="308" t="n"/>
      <c r="AU51" s="309" t="n">
        <v>8.199999999999999</v>
      </c>
      <c r="AX51" s="308" t="n"/>
      <c r="AY51" s="328" t="n">
        <v>0</v>
      </c>
    </row>
    <row r="52" ht="15" customHeight="1" s="292">
      <c r="D52" s="69" t="inlineStr">
        <is>
          <t>홈화면</t>
        </is>
      </c>
      <c r="E52" s="70" t="n"/>
      <c r="F52" s="71" t="n"/>
      <c r="G52" s="71" t="n"/>
      <c r="H52" s="71" t="n"/>
      <c r="I52" s="71" t="n"/>
      <c r="J52" s="12" t="n"/>
      <c r="K52" s="333" t="n">
        <v>0.8</v>
      </c>
      <c r="M52" s="306" t="n"/>
      <c r="N52" s="305" t="n">
        <v>1</v>
      </c>
      <c r="P52" s="306" t="n"/>
      <c r="Q52" s="307" t="inlineStr"/>
      <c r="S52" s="306" t="n"/>
      <c r="T52" s="307" t="inlineStr"/>
      <c r="V52" s="306" t="n"/>
      <c r="W52" s="307" t="inlineStr"/>
      <c r="Y52" s="306" t="n"/>
      <c r="Z52" s="307" t="inlineStr"/>
      <c r="AB52" s="306" t="n"/>
      <c r="AC52" s="307" t="inlineStr"/>
      <c r="AE52" s="306" t="n"/>
      <c r="AF52" s="307" t="inlineStr"/>
      <c r="AH52" s="306" t="n"/>
      <c r="AI52" s="307" t="inlineStr"/>
      <c r="AK52" s="306" t="n"/>
      <c r="AL52" s="307" t="inlineStr"/>
      <c r="AN52" s="306" t="n"/>
      <c r="AO52" s="307" t="inlineStr"/>
      <c r="AQ52" s="306" t="n"/>
      <c r="AR52" s="171" t="inlineStr"/>
      <c r="AT52" s="308" t="n"/>
      <c r="AU52" s="309" t="n">
        <v>0.8</v>
      </c>
      <c r="AX52" s="308" t="n"/>
      <c r="AY52" s="328" t="n">
        <v>0</v>
      </c>
    </row>
    <row r="53" ht="15" customHeight="1" s="292">
      <c r="D53" s="69" t="inlineStr">
        <is>
          <t>계좌조회/이체</t>
        </is>
      </c>
      <c r="E53" s="70" t="n"/>
      <c r="F53" s="71" t="n"/>
      <c r="G53" s="71" t="n"/>
      <c r="H53" s="71" t="n"/>
      <c r="I53" s="71" t="n"/>
      <c r="J53" s="12" t="n"/>
      <c r="K53" s="333" t="n">
        <v>0.8</v>
      </c>
      <c r="M53" s="306" t="n"/>
      <c r="N53" s="305" t="n">
        <v>1.9</v>
      </c>
      <c r="P53" s="306" t="n"/>
      <c r="Q53" s="307" t="inlineStr"/>
      <c r="S53" s="306" t="n"/>
      <c r="T53" s="307" t="inlineStr"/>
      <c r="V53" s="306" t="n"/>
      <c r="W53" s="307" t="inlineStr"/>
      <c r="Y53" s="306" t="n"/>
      <c r="Z53" s="307" t="inlineStr"/>
      <c r="AB53" s="306" t="n"/>
      <c r="AC53" s="307" t="inlineStr"/>
      <c r="AE53" s="306" t="n"/>
      <c r="AF53" s="307" t="inlineStr"/>
      <c r="AH53" s="306" t="n"/>
      <c r="AI53" s="307" t="inlineStr"/>
      <c r="AK53" s="306" t="n"/>
      <c r="AL53" s="307" t="inlineStr"/>
      <c r="AN53" s="306" t="n"/>
      <c r="AO53" s="307" t="inlineStr"/>
      <c r="AQ53" s="306" t="n"/>
      <c r="AR53" s="171" t="inlineStr"/>
      <c r="AT53" s="308" t="n"/>
      <c r="AU53" s="309" t="n">
        <v>0.8</v>
      </c>
      <c r="AX53" s="308" t="n"/>
      <c r="AY53" s="328" t="n">
        <v>0</v>
      </c>
    </row>
    <row r="54" ht="15" customHeight="1" s="292">
      <c r="D54" s="69" t="inlineStr">
        <is>
          <t>통합검색</t>
        </is>
      </c>
      <c r="E54" s="70" t="n"/>
      <c r="F54" s="71" t="n"/>
      <c r="G54" s="71" t="n"/>
      <c r="H54" s="71" t="n"/>
      <c r="I54" s="71" t="n"/>
      <c r="J54" s="12" t="n"/>
      <c r="K54" s="333" t="n">
        <v>0.2</v>
      </c>
      <c r="M54" s="306" t="n"/>
      <c r="N54" s="305" t="n">
        <v>0</v>
      </c>
      <c r="P54" s="306" t="n"/>
      <c r="Q54" s="307" t="inlineStr"/>
      <c r="S54" s="306" t="n"/>
      <c r="T54" s="307" t="inlineStr"/>
      <c r="V54" s="306" t="n"/>
      <c r="W54" s="307" t="inlineStr"/>
      <c r="Y54" s="306" t="n"/>
      <c r="Z54" s="307" t="inlineStr"/>
      <c r="AB54" s="306" t="n"/>
      <c r="AC54" s="307" t="inlineStr"/>
      <c r="AE54" s="306" t="n"/>
      <c r="AF54" s="307" t="inlineStr"/>
      <c r="AH54" s="306" t="n"/>
      <c r="AI54" s="307" t="inlineStr"/>
      <c r="AK54" s="306" t="n"/>
      <c r="AL54" s="307" t="inlineStr"/>
      <c r="AN54" s="306" t="n"/>
      <c r="AO54" s="307" t="inlineStr"/>
      <c r="AQ54" s="306" t="n"/>
      <c r="AR54" s="171" t="inlineStr"/>
      <c r="AT54" s="308" t="n"/>
      <c r="AU54" s="309" t="n">
        <v>0.2</v>
      </c>
      <c r="AX54" s="308" t="n"/>
      <c r="AY54" s="328" t="n">
        <v>0</v>
      </c>
    </row>
    <row r="55" ht="15" customHeight="1" s="292">
      <c r="D55" s="69" t="inlineStr">
        <is>
          <t>금융상품몰</t>
        </is>
      </c>
      <c r="E55" s="70" t="n"/>
      <c r="F55" s="71" t="n"/>
      <c r="G55" s="71" t="n"/>
      <c r="H55" s="71" t="n"/>
      <c r="I55" s="71" t="n"/>
      <c r="J55" s="12" t="n"/>
      <c r="K55" s="333" t="n">
        <v>0.6</v>
      </c>
      <c r="M55" s="306" t="n"/>
      <c r="N55" s="305" t="n">
        <v>0.2</v>
      </c>
      <c r="P55" s="306" t="n"/>
      <c r="Q55" s="307" t="inlineStr"/>
      <c r="S55" s="306" t="n"/>
      <c r="T55" s="307" t="inlineStr"/>
      <c r="V55" s="306" t="n"/>
      <c r="W55" s="307" t="inlineStr"/>
      <c r="Y55" s="306" t="n"/>
      <c r="Z55" s="307" t="inlineStr"/>
      <c r="AB55" s="306" t="n"/>
      <c r="AC55" s="307" t="inlineStr"/>
      <c r="AE55" s="306" t="n"/>
      <c r="AF55" s="307" t="inlineStr"/>
      <c r="AH55" s="306" t="n"/>
      <c r="AI55" s="307" t="inlineStr"/>
      <c r="AK55" s="306" t="n"/>
      <c r="AL55" s="307" t="inlineStr"/>
      <c r="AN55" s="306" t="n"/>
      <c r="AO55" s="307" t="inlineStr"/>
      <c r="AQ55" s="306" t="n"/>
      <c r="AR55" s="171" t="inlineStr"/>
      <c r="AT55" s="308" t="n"/>
      <c r="AU55" s="309" t="n">
        <v>0.6</v>
      </c>
      <c r="AX55" s="308" t="n"/>
      <c r="AY55" s="328" t="n">
        <v>0</v>
      </c>
    </row>
    <row r="56" ht="15" customHeight="1" s="292">
      <c r="D56" s="27" t="inlineStr">
        <is>
          <t>콘텐츠/서비스</t>
        </is>
      </c>
      <c r="E56" s="72" t="n"/>
      <c r="F56" s="11" t="n"/>
      <c r="G56" s="11" t="n"/>
      <c r="H56" s="11" t="n"/>
      <c r="I56" s="11" t="n"/>
      <c r="J56" s="13" t="n"/>
      <c r="K56" s="334" t="n">
        <v>0.1</v>
      </c>
      <c r="L56" s="163" t="n"/>
      <c r="M56" s="312" t="n"/>
      <c r="N56" s="311" t="n">
        <v>0.3</v>
      </c>
      <c r="O56" s="163" t="n"/>
      <c r="P56" s="312" t="n"/>
      <c r="Q56" s="313" t="inlineStr"/>
      <c r="R56" s="163" t="n"/>
      <c r="S56" s="312" t="n"/>
      <c r="T56" s="313" t="inlineStr"/>
      <c r="U56" s="163" t="n"/>
      <c r="V56" s="312" t="n"/>
      <c r="W56" s="313" t="inlineStr"/>
      <c r="X56" s="163" t="n"/>
      <c r="Y56" s="312" t="n"/>
      <c r="Z56" s="313" t="inlineStr"/>
      <c r="AA56" s="163" t="n"/>
      <c r="AB56" s="312" t="n"/>
      <c r="AC56" s="313" t="inlineStr"/>
      <c r="AD56" s="163" t="n"/>
      <c r="AE56" s="312" t="n"/>
      <c r="AF56" s="313" t="inlineStr"/>
      <c r="AG56" s="163" t="n"/>
      <c r="AH56" s="312" t="n"/>
      <c r="AI56" s="313" t="inlineStr"/>
      <c r="AJ56" s="163" t="n"/>
      <c r="AK56" s="312" t="n"/>
      <c r="AL56" s="313" t="inlineStr"/>
      <c r="AM56" s="163" t="n"/>
      <c r="AN56" s="312" t="n"/>
      <c r="AO56" s="313" t="inlineStr"/>
      <c r="AP56" s="163" t="n"/>
      <c r="AQ56" s="312" t="n"/>
      <c r="AR56" s="176" t="inlineStr"/>
      <c r="AS56" s="163" t="n"/>
      <c r="AT56" s="314" t="n"/>
      <c r="AU56" s="315" t="n">
        <v>0.1</v>
      </c>
      <c r="AV56" s="163" t="n"/>
      <c r="AW56" s="163" t="n"/>
      <c r="AX56" s="314" t="n"/>
      <c r="AY56" s="329" t="n">
        <v>0</v>
      </c>
      <c r="AZ56" s="163" t="n"/>
      <c r="BA56" s="163" t="n"/>
      <c r="BB56" s="163" t="n"/>
    </row>
  </sheetData>
  <mergeCells count="197">
    <mergeCell ref="Z43:AB43"/>
    <mergeCell ref="AF54:AH54"/>
    <mergeCell ref="AC53:AE53"/>
    <mergeCell ref="T55:V55"/>
    <mergeCell ref="N42:P42"/>
    <mergeCell ref="AO53:AQ53"/>
    <mergeCell ref="K40:M40"/>
    <mergeCell ref="AO45:AQ45"/>
    <mergeCell ref="AC55:AE55"/>
    <mergeCell ref="K56:M56"/>
    <mergeCell ref="N44:P44"/>
    <mergeCell ref="AI54:AK54"/>
    <mergeCell ref="AL42:AN42"/>
    <mergeCell ref="AF42:AH42"/>
    <mergeCell ref="AL43:AN43"/>
    <mergeCell ref="AC40:AE40"/>
    <mergeCell ref="AL52:AN52"/>
    <mergeCell ref="AR45:AT45"/>
    <mergeCell ref="AI56:AK56"/>
    <mergeCell ref="AL39:AN39"/>
    <mergeCell ref="AI43:AK43"/>
    <mergeCell ref="AY41:BB41"/>
    <mergeCell ref="Q41:S41"/>
    <mergeCell ref="AI42:AK42"/>
    <mergeCell ref="AR44:AT44"/>
    <mergeCell ref="AU40:AX40"/>
    <mergeCell ref="AC41:AE41"/>
    <mergeCell ref="AY56:BB56"/>
    <mergeCell ref="Z45:AB45"/>
    <mergeCell ref="AL44:AN44"/>
    <mergeCell ref="N55:P55"/>
    <mergeCell ref="Q56:S56"/>
    <mergeCell ref="W53:Y53"/>
    <mergeCell ref="AY43:BB43"/>
    <mergeCell ref="W44:Y44"/>
    <mergeCell ref="AR42:AT42"/>
    <mergeCell ref="Q43:S43"/>
    <mergeCell ref="AF39:AH39"/>
    <mergeCell ref="Z55:AB55"/>
    <mergeCell ref="AI44:AK44"/>
    <mergeCell ref="Q42:S42"/>
    <mergeCell ref="K45:M45"/>
    <mergeCell ref="AY44:BB44"/>
    <mergeCell ref="T54:V54"/>
    <mergeCell ref="AC43:AE43"/>
    <mergeCell ref="K44:M44"/>
    <mergeCell ref="AL41:AN41"/>
    <mergeCell ref="AI45:AK45"/>
    <mergeCell ref="Z56:AB56"/>
    <mergeCell ref="AO43:AQ43"/>
    <mergeCell ref="AU53:AX53"/>
    <mergeCell ref="AC39:AE39"/>
    <mergeCell ref="AO39:AQ39"/>
    <mergeCell ref="AI55:AK55"/>
    <mergeCell ref="AL56:AN56"/>
    <mergeCell ref="AU50:AX50"/>
    <mergeCell ref="AC42:AE42"/>
    <mergeCell ref="T40:V40"/>
    <mergeCell ref="AO42:AQ42"/>
    <mergeCell ref="Q44:S44"/>
    <mergeCell ref="Z51:AB51"/>
    <mergeCell ref="Z42:AB42"/>
    <mergeCell ref="AU52:AX52"/>
    <mergeCell ref="AC44:AE44"/>
    <mergeCell ref="AF50:AH50"/>
    <mergeCell ref="AU39:AX39"/>
    <mergeCell ref="AO44:AQ44"/>
    <mergeCell ref="Z44:AB44"/>
    <mergeCell ref="AF52:AH52"/>
    <mergeCell ref="AC51:AE51"/>
    <mergeCell ref="Q45:S45"/>
    <mergeCell ref="AU44:AX44"/>
    <mergeCell ref="AO51:AQ51"/>
    <mergeCell ref="AY42:BB42"/>
    <mergeCell ref="N45:P45"/>
    <mergeCell ref="W40:Y40"/>
    <mergeCell ref="T39:V39"/>
    <mergeCell ref="T45:V45"/>
    <mergeCell ref="T42:V42"/>
    <mergeCell ref="AR39:AT39"/>
    <mergeCell ref="AY51:BB51"/>
    <mergeCell ref="AU54:AX54"/>
    <mergeCell ref="Q51:S51"/>
    <mergeCell ref="T50:V50"/>
    <mergeCell ref="AU41:AX41"/>
    <mergeCell ref="T44:V44"/>
    <mergeCell ref="AL45:AN45"/>
    <mergeCell ref="AF44:AH44"/>
    <mergeCell ref="Q50:S50"/>
    <mergeCell ref="AU56:AX56"/>
    <mergeCell ref="AI50:AK50"/>
    <mergeCell ref="AU43:AX43"/>
    <mergeCell ref="AI51:AK51"/>
    <mergeCell ref="AR40:AT40"/>
    <mergeCell ref="AF55:AH55"/>
    <mergeCell ref="T51:V51"/>
    <mergeCell ref="AF51:AH51"/>
    <mergeCell ref="AU42:AX42"/>
    <mergeCell ref="T41:V41"/>
    <mergeCell ref="AY45:BB45"/>
    <mergeCell ref="N40:P40"/>
    <mergeCell ref="AF41:AH41"/>
    <mergeCell ref="K39:M39"/>
    <mergeCell ref="W52:Y52"/>
    <mergeCell ref="T56:V56"/>
    <mergeCell ref="W39:Y39"/>
    <mergeCell ref="T43:V43"/>
    <mergeCell ref="AL51:AN51"/>
    <mergeCell ref="T52:V52"/>
    <mergeCell ref="AO50:AQ50"/>
    <mergeCell ref="AL54:AN54"/>
    <mergeCell ref="AR50:AT50"/>
    <mergeCell ref="AC52:AE52"/>
    <mergeCell ref="AL50:AN50"/>
    <mergeCell ref="F12:L12"/>
    <mergeCell ref="AO52:AQ52"/>
    <mergeCell ref="AC45:AE45"/>
    <mergeCell ref="AI53:AK53"/>
    <mergeCell ref="AU55:AX55"/>
    <mergeCell ref="Q54:S54"/>
    <mergeCell ref="N53:P53"/>
    <mergeCell ref="K51:M51"/>
    <mergeCell ref="AR52:AT52"/>
    <mergeCell ref="AF53:AH53"/>
    <mergeCell ref="AI40:AK40"/>
    <mergeCell ref="Q55:S55"/>
    <mergeCell ref="Z53:AB53"/>
    <mergeCell ref="W51:Y51"/>
    <mergeCell ref="Z50:AB50"/>
    <mergeCell ref="K41:M41"/>
    <mergeCell ref="W54:Y54"/>
    <mergeCell ref="K50:M50"/>
    <mergeCell ref="W41:Y41"/>
    <mergeCell ref="N52:P52"/>
    <mergeCell ref="W50:Y50"/>
    <mergeCell ref="AL53:AN53"/>
    <mergeCell ref="AY40:BB40"/>
    <mergeCell ref="N39:P39"/>
    <mergeCell ref="AI41:AK41"/>
    <mergeCell ref="Q40:S40"/>
    <mergeCell ref="Z52:AB52"/>
    <mergeCell ref="AF45:AH45"/>
    <mergeCell ref="K43:M43"/>
    <mergeCell ref="W56:Y56"/>
    <mergeCell ref="AY54:BB54"/>
    <mergeCell ref="K52:M52"/>
    <mergeCell ref="Z39:AB39"/>
    <mergeCell ref="AC54:AE54"/>
    <mergeCell ref="W43:Y43"/>
    <mergeCell ref="AR53:AT53"/>
    <mergeCell ref="K42:M42"/>
    <mergeCell ref="AO54:AQ54"/>
    <mergeCell ref="AC50:AE50"/>
    <mergeCell ref="AO41:AQ41"/>
    <mergeCell ref="W42:Y42"/>
    <mergeCell ref="AC56:AE56"/>
    <mergeCell ref="AR55:AT55"/>
    <mergeCell ref="AU51:AX51"/>
    <mergeCell ref="K53:M53"/>
    <mergeCell ref="AO56:AQ56"/>
    <mergeCell ref="AL55:AN55"/>
    <mergeCell ref="AF40:AH40"/>
    <mergeCell ref="AR51:AT51"/>
    <mergeCell ref="AO55:AQ55"/>
    <mergeCell ref="AR54:AT54"/>
    <mergeCell ref="AO40:AQ40"/>
    <mergeCell ref="Z40:AB40"/>
    <mergeCell ref="AR41:AT41"/>
    <mergeCell ref="AI52:AK52"/>
    <mergeCell ref="AF56:AH56"/>
    <mergeCell ref="AY53:BB53"/>
    <mergeCell ref="Q53:S53"/>
    <mergeCell ref="AL40:AN40"/>
    <mergeCell ref="AI39:AK39"/>
    <mergeCell ref="AY50:BB50"/>
    <mergeCell ref="AF43:AH43"/>
    <mergeCell ref="AR56:AT56"/>
    <mergeCell ref="N54:P54"/>
    <mergeCell ref="AR43:AT43"/>
    <mergeCell ref="N41:P41"/>
    <mergeCell ref="AY55:BB55"/>
    <mergeCell ref="Z54:AB54"/>
    <mergeCell ref="N50:P50"/>
    <mergeCell ref="K54:M54"/>
    <mergeCell ref="AY52:BB52"/>
    <mergeCell ref="AU45:AX45"/>
    <mergeCell ref="Z41:AB41"/>
    <mergeCell ref="Q52:S52"/>
    <mergeCell ref="N51:P51"/>
    <mergeCell ref="W45:Y45"/>
    <mergeCell ref="K55:M55"/>
    <mergeCell ref="N56:P56"/>
    <mergeCell ref="T53:V53"/>
    <mergeCell ref="Q39:S39"/>
    <mergeCell ref="AY39:BB39"/>
    <mergeCell ref="N43:P43"/>
    <mergeCell ref="W55:Y55"/>
  </mergeCells>
  <pageMargins left="0.25" right="0.25" top="0.75" bottom="0.75" header="0.3" footer="0.3"/>
  <pageSetup orientation="portrait" paperSize="9" scale="79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M43"/>
  <sheetViews>
    <sheetView showGridLines="0" view="pageBreakPreview" zoomScaleNormal="100" zoomScaleSheetLayoutView="100" workbookViewId="0">
      <selection activeCell="A1" sqref="A1"/>
    </sheetView>
  </sheetViews>
  <sheetFormatPr baseColWidth="8" defaultColWidth="9.625" defaultRowHeight="15" customHeight="1"/>
  <cols>
    <col width="1.625" customWidth="1" style="161" min="1" max="57"/>
    <col width="9.625" customWidth="1" style="161" min="58" max="16384"/>
  </cols>
  <sheetData>
    <row r="1" ht="8.1" customHeight="1" s="292"/>
    <row r="2" ht="15" customHeight="1" s="292">
      <c r="B2" s="1" t="inlineStr">
        <is>
          <t>Ⅲ. 고객감정지수(NSS) 및 고객불만지수(CCI) 현황</t>
        </is>
      </c>
      <c r="C2" s="75" t="n"/>
      <c r="D2" s="75" t="n"/>
      <c r="E2" s="75" t="n"/>
      <c r="F2" s="75" t="n"/>
      <c r="G2" s="75" t="n"/>
      <c r="H2" s="75" t="n"/>
      <c r="I2" s="75" t="n"/>
      <c r="J2" s="75" t="n"/>
      <c r="K2" s="75" t="n"/>
      <c r="L2" s="75" t="n"/>
      <c r="M2" s="75" t="n"/>
      <c r="N2" s="75" t="n"/>
      <c r="O2" s="75" t="n"/>
      <c r="P2" s="75" t="n"/>
      <c r="Q2" s="75" t="n"/>
      <c r="R2" s="75" t="n"/>
      <c r="S2" s="75" t="n"/>
      <c r="T2" s="75" t="n"/>
      <c r="U2" s="75" t="n"/>
      <c r="V2" s="75" t="n"/>
      <c r="W2" s="75" t="n"/>
      <c r="X2" s="75" t="n"/>
      <c r="Y2" s="75" t="n"/>
      <c r="Z2" s="75" t="n"/>
      <c r="AA2" s="75" t="n"/>
      <c r="AB2" s="75" t="n"/>
      <c r="AC2" s="75" t="n"/>
      <c r="AD2" s="75" t="n"/>
      <c r="AE2" s="75" t="n"/>
      <c r="AF2" s="75" t="n"/>
      <c r="AG2" s="75" t="n"/>
      <c r="AH2" s="75" t="n"/>
      <c r="AI2" s="75" t="n"/>
      <c r="AJ2" s="75" t="n"/>
      <c r="AK2" s="75" t="n"/>
      <c r="AL2" s="75" t="n"/>
      <c r="AM2" s="75" t="n"/>
      <c r="AN2" s="75" t="n"/>
      <c r="AO2" s="75" t="n"/>
      <c r="AP2" s="75" t="n"/>
      <c r="AQ2" s="75" t="n"/>
      <c r="AR2" s="75" t="n"/>
      <c r="AS2" s="75" t="n"/>
      <c r="AT2" s="75" t="n"/>
      <c r="AU2" s="75" t="n"/>
      <c r="AV2" s="75" t="n"/>
      <c r="AW2" s="75" t="n"/>
      <c r="AX2" s="75" t="n"/>
      <c r="AY2" s="75" t="n"/>
      <c r="AZ2" s="75" t="n"/>
      <c r="BA2" s="75" t="n"/>
      <c r="BB2" s="75" t="n"/>
      <c r="BC2" s="75" t="n"/>
      <c r="BD2" s="75" t="n"/>
    </row>
    <row r="3" ht="5.1" customHeight="1" s="292">
      <c r="B3" s="0" t="n"/>
      <c r="C3" s="0" t="n"/>
      <c r="D3" s="0" t="n"/>
      <c r="E3" s="0" t="n"/>
      <c r="F3" s="0" t="n"/>
      <c r="G3" s="0" t="n"/>
      <c r="H3" s="0" t="n"/>
      <c r="I3" s="0" t="n"/>
      <c r="J3" s="0" t="n"/>
      <c r="K3" s="0" t="n"/>
      <c r="L3" s="0" t="n"/>
      <c r="M3" s="0" t="n"/>
      <c r="N3" s="76" t="n"/>
      <c r="O3" s="0" t="n"/>
      <c r="P3" s="0" t="n"/>
      <c r="Q3" s="0" t="n"/>
      <c r="R3" s="0" t="n"/>
      <c r="S3" s="0" t="n"/>
      <c r="T3" s="0" t="n"/>
      <c r="U3" s="0" t="n"/>
      <c r="V3" s="0" t="n"/>
      <c r="W3" s="0" t="n"/>
      <c r="X3" s="0" t="n"/>
      <c r="Y3" s="0" t="n"/>
      <c r="Z3" s="0" t="n"/>
      <c r="AA3" s="0" t="n"/>
      <c r="AB3" s="0" t="n"/>
      <c r="AC3" s="0" t="n"/>
      <c r="AD3" s="0" t="n"/>
      <c r="AE3" s="0" t="n"/>
      <c r="AF3" s="0" t="n"/>
      <c r="AG3" s="0" t="n"/>
      <c r="AH3" s="0" t="n"/>
      <c r="AI3" s="0" t="n"/>
      <c r="AJ3" s="0" t="n"/>
      <c r="AK3" s="0" t="n"/>
      <c r="AL3" s="0" t="n"/>
      <c r="AM3" s="0" t="n"/>
      <c r="AN3" s="0" t="n"/>
      <c r="AO3" s="0" t="n"/>
      <c r="AP3" s="0" t="n"/>
      <c r="AQ3" s="0" t="n"/>
      <c r="AR3" s="0" t="n"/>
      <c r="AS3" s="0" t="n"/>
      <c r="AT3" s="0" t="n"/>
      <c r="AU3" s="0" t="n"/>
      <c r="AV3" s="0" t="n"/>
      <c r="AW3" s="0" t="n"/>
      <c r="AX3" s="0" t="n"/>
      <c r="AY3" s="0" t="n"/>
      <c r="AZ3" s="0" t="n"/>
      <c r="BA3" s="0" t="n"/>
      <c r="BB3" s="0" t="n"/>
      <c r="BC3" s="0" t="n"/>
      <c r="BD3" s="0" t="n"/>
    </row>
    <row r="4" ht="15" customHeight="1" s="292">
      <c r="B4" s="2" t="inlineStr">
        <is>
          <t>1. 고객감정지수(NSS)</t>
        </is>
      </c>
      <c r="C4" s="77" t="n"/>
      <c r="D4" s="77" t="n"/>
      <c r="E4" s="77" t="n"/>
      <c r="F4" s="77" t="n"/>
      <c r="G4" s="77" t="n"/>
      <c r="H4" s="77" t="n"/>
      <c r="I4" s="77" t="n"/>
      <c r="J4" s="77" t="n"/>
      <c r="K4" s="77" t="n"/>
      <c r="L4" s="77" t="n"/>
      <c r="M4" s="77" t="n"/>
      <c r="N4" s="77" t="n"/>
      <c r="O4" s="77" t="n"/>
      <c r="P4" s="77" t="n"/>
      <c r="Q4" s="77" t="n"/>
      <c r="R4" s="77" t="n"/>
      <c r="S4" s="77" t="n"/>
      <c r="T4" s="77" t="n"/>
      <c r="U4" s="77" t="n"/>
      <c r="V4" s="77" t="n"/>
      <c r="W4" s="77" t="n"/>
      <c r="X4" s="77" t="n"/>
      <c r="Y4" s="77" t="n"/>
      <c r="Z4" s="77" t="n"/>
      <c r="AA4" s="77" t="n"/>
      <c r="AB4" s="77" t="n"/>
      <c r="AC4" s="77" t="n"/>
      <c r="AD4" s="77" t="n"/>
      <c r="AE4" s="77" t="n"/>
      <c r="AF4" s="77" t="n"/>
      <c r="AG4" s="77" t="n"/>
      <c r="AH4" s="77" t="n"/>
      <c r="AI4" s="77" t="n"/>
      <c r="AJ4" s="77" t="n"/>
      <c r="AK4" s="77" t="n"/>
      <c r="AL4" s="77" t="n"/>
      <c r="AM4" s="77" t="n"/>
      <c r="AN4" s="77" t="n"/>
      <c r="AO4" s="77" t="n"/>
      <c r="AP4" s="77" t="n"/>
      <c r="AQ4" s="77" t="n"/>
      <c r="AR4" s="77" t="n"/>
      <c r="AS4" s="77" t="n"/>
      <c r="AT4" s="77" t="n"/>
      <c r="AU4" s="77" t="n"/>
      <c r="AV4" s="77" t="n"/>
      <c r="AW4" s="77" t="n"/>
      <c r="AX4" s="77" t="n"/>
      <c r="AY4" s="77" t="n"/>
      <c r="AZ4" s="77" t="n"/>
      <c r="BA4" s="77" t="n"/>
      <c r="BB4" s="77" t="n"/>
      <c r="BC4" s="77" t="n"/>
      <c r="BD4" s="77" t="n"/>
    </row>
    <row r="5" ht="5.25" customHeight="1" s="292">
      <c r="B5" s="0" t="n"/>
      <c r="C5" s="0" t="n"/>
      <c r="D5" s="76" t="n"/>
      <c r="E5" s="76" t="n"/>
      <c r="F5" s="76" t="n"/>
      <c r="G5" s="76" t="n"/>
      <c r="H5" s="76" t="n"/>
      <c r="I5" s="76" t="n"/>
      <c r="J5" s="76" t="n"/>
      <c r="K5" s="76" t="n"/>
      <c r="L5" s="76" t="n"/>
      <c r="M5" s="76" t="n"/>
      <c r="N5" s="76" t="n"/>
      <c r="O5" s="0" t="n"/>
      <c r="P5" s="0" t="n"/>
      <c r="Q5" s="0" t="n"/>
      <c r="R5" s="0" t="n"/>
      <c r="S5" s="0" t="n"/>
      <c r="T5" s="0" t="n"/>
      <c r="U5" s="0" t="n"/>
      <c r="V5" s="0" t="n"/>
      <c r="W5" s="0" t="n"/>
      <c r="X5" s="0" t="n"/>
      <c r="Y5" s="0" t="n"/>
      <c r="Z5" s="0" t="n"/>
      <c r="AA5" s="0" t="n"/>
      <c r="AB5" s="0" t="n"/>
      <c r="AC5" s="0" t="n"/>
      <c r="AD5" s="0" t="n"/>
      <c r="AE5" s="0" t="n"/>
      <c r="AF5" s="0" t="n"/>
      <c r="AG5" s="0" t="n"/>
      <c r="AH5" s="0" t="n"/>
      <c r="AI5" s="0" t="n"/>
      <c r="AJ5" s="0" t="n"/>
      <c r="AK5" s="0" t="n"/>
      <c r="AL5" s="0" t="n"/>
      <c r="AM5" s="0" t="n"/>
      <c r="AN5" s="0" t="n"/>
      <c r="AO5" s="0" t="n"/>
      <c r="AP5" s="0" t="n"/>
      <c r="AQ5" s="0" t="n"/>
      <c r="AR5" s="0" t="n"/>
      <c r="AS5" s="0" t="n"/>
      <c r="AT5" s="0" t="n"/>
      <c r="AU5" s="0" t="n"/>
      <c r="AV5" s="0" t="n"/>
      <c r="AW5" s="0" t="n"/>
      <c r="AX5" s="0" t="n"/>
      <c r="AY5" s="0" t="n"/>
      <c r="AZ5" s="0" t="n"/>
      <c r="BA5" s="0" t="n"/>
      <c r="BB5" s="0" t="n"/>
      <c r="BC5" s="0" t="n"/>
      <c r="BD5" s="0" t="n"/>
    </row>
    <row r="6" ht="15" customHeight="1" s="292">
      <c r="B6" s="21" t="n"/>
      <c r="C6" s="0" t="n"/>
      <c r="D6" s="5" t="inlineStr">
        <is>
          <t>【NSS】 25. 2월 NSS는 27.6점으로 전월 대비 +8.2점 상승, 누적 NSS는 -27.3점 유지</t>
        </is>
      </c>
      <c r="E6" s="76" t="n"/>
      <c r="F6" s="76" t="n"/>
      <c r="G6" s="0" t="n"/>
      <c r="H6" s="78" t="n"/>
      <c r="I6" s="0" t="n"/>
      <c r="J6" s="0" t="n"/>
      <c r="K6" s="0" t="n"/>
      <c r="L6" s="0" t="n"/>
      <c r="M6" s="0" t="n"/>
      <c r="N6" s="0" t="n"/>
      <c r="O6" s="0" t="n"/>
      <c r="P6" s="0" t="n"/>
      <c r="Q6" s="0" t="n"/>
      <c r="R6" s="0" t="n"/>
      <c r="S6" s="0" t="n"/>
      <c r="T6" s="0" t="n"/>
      <c r="U6" s="0" t="n"/>
      <c r="V6" s="0" t="n"/>
      <c r="W6" s="0" t="n"/>
      <c r="X6" s="0" t="n"/>
      <c r="Y6" s="0" t="n"/>
      <c r="Z6" s="0" t="n"/>
      <c r="AA6" s="0" t="n"/>
      <c r="AB6" s="0" t="n"/>
      <c r="AC6" s="0" t="n"/>
      <c r="AD6" s="0" t="n"/>
      <c r="AE6" s="0" t="n"/>
      <c r="AF6" s="0" t="n"/>
      <c r="AG6" s="0" t="n"/>
      <c r="AH6" s="0" t="n"/>
      <c r="AI6" s="0" t="n"/>
      <c r="AJ6" s="0" t="n"/>
      <c r="AK6" s="0" t="n"/>
      <c r="AL6" s="0" t="n"/>
      <c r="AM6" s="0" t="n"/>
      <c r="AN6" s="0" t="n"/>
      <c r="AO6" s="0" t="n"/>
      <c r="AP6" s="0" t="n"/>
      <c r="AQ6" s="0" t="n"/>
      <c r="AR6" s="0" t="n"/>
      <c r="AS6" s="0" t="n"/>
      <c r="AT6" s="0" t="n"/>
      <c r="AU6" s="0" t="n"/>
      <c r="AV6" s="0" t="n"/>
      <c r="AW6" s="0" t="n"/>
      <c r="AX6" s="0" t="n"/>
      <c r="AY6" s="0" t="n"/>
      <c r="AZ6" s="0" t="n"/>
      <c r="BA6" s="0" t="n"/>
      <c r="BB6" s="0" t="n"/>
      <c r="BC6" s="0" t="n"/>
      <c r="BD6" s="0" t="n"/>
    </row>
    <row r="7" ht="15" customHeight="1" s="292">
      <c r="B7" s="0" t="n"/>
      <c r="C7" s="0" t="n"/>
      <c r="D7" s="25" t="inlineStr">
        <is>
          <t>- 긍정비율 50.9%, 부정비율 23.3%로, 1월 대비 긍정 2.7%p 상승하고 부정 5.5%p 감소, 중립 2.9%p 증가</t>
        </is>
      </c>
      <c r="E7" s="25" t="n"/>
      <c r="F7" s="76" t="n"/>
      <c r="G7" s="76" t="n"/>
      <c r="H7" s="76" t="n"/>
      <c r="I7" s="76" t="n"/>
      <c r="J7" s="76" t="n"/>
      <c r="K7" s="76" t="n"/>
      <c r="L7" s="76" t="n"/>
      <c r="M7" s="76" t="n"/>
      <c r="N7" s="76" t="n"/>
      <c r="O7" s="0" t="n"/>
      <c r="P7" s="0" t="n"/>
      <c r="Q7" s="0" t="n"/>
      <c r="R7" s="0" t="n"/>
      <c r="S7" s="0" t="n"/>
      <c r="T7" s="0" t="n"/>
      <c r="U7" s="0" t="n"/>
      <c r="V7" s="0" t="n"/>
      <c r="W7" s="0" t="n"/>
      <c r="X7" s="0" t="n"/>
      <c r="Y7" s="0" t="n"/>
      <c r="Z7" s="0" t="n"/>
      <c r="AA7" s="0" t="n"/>
      <c r="AB7" s="0" t="n"/>
      <c r="AC7" s="0" t="n"/>
      <c r="AD7" s="0" t="n"/>
      <c r="AE7" s="0" t="n"/>
      <c r="AF7" s="0" t="n"/>
      <c r="AG7" s="0" t="n"/>
      <c r="AH7" s="0" t="n"/>
      <c r="AI7" s="0" t="n"/>
      <c r="AJ7" s="0" t="n"/>
      <c r="AK7" s="0" t="n"/>
      <c r="AL7" s="0" t="n"/>
      <c r="AM7" s="0" t="n"/>
      <c r="AN7" s="0" t="n"/>
      <c r="AO7" s="0" t="n"/>
      <c r="AP7" s="0" t="n"/>
      <c r="AQ7" s="0" t="n"/>
      <c r="AR7" s="0" t="n"/>
      <c r="AS7" s="0" t="n"/>
      <c r="AT7" s="0" t="n"/>
      <c r="AU7" s="0" t="n"/>
      <c r="AV7" s="0" t="n"/>
      <c r="AW7" s="0" t="n"/>
      <c r="AX7" s="0" t="n"/>
      <c r="AY7" s="0" t="n"/>
      <c r="AZ7" s="0" t="n"/>
      <c r="BA7" s="0" t="n"/>
      <c r="BB7" s="0" t="n"/>
      <c r="BC7" s="0" t="n"/>
      <c r="BD7" s="0" t="n"/>
    </row>
    <row r="8" ht="15" customHeight="1" s="292">
      <c r="B8" s="0" t="n"/>
      <c r="C8" s="0" t="n"/>
      <c r="D8" s="15" t="inlineStr">
        <is>
          <t>종합 고객감정지수(NSS) 현황</t>
        </is>
      </c>
      <c r="E8" s="79" t="n"/>
      <c r="F8" s="79" t="n"/>
      <c r="G8" s="79" t="n"/>
      <c r="H8" s="79" t="n"/>
      <c r="I8" s="79" t="n"/>
      <c r="J8" s="79" t="n"/>
      <c r="K8" s="79" t="n"/>
      <c r="L8" s="79" t="n"/>
      <c r="M8" s="79" t="n"/>
      <c r="N8" s="79" t="n"/>
      <c r="O8" s="79" t="n"/>
      <c r="P8" s="79" t="n"/>
      <c r="Q8" s="79" t="n"/>
      <c r="R8" s="79" t="n"/>
      <c r="S8" s="79" t="n"/>
      <c r="T8" s="79" t="n"/>
      <c r="U8" s="79" t="n"/>
      <c r="V8" s="79" t="n"/>
      <c r="W8" s="79" t="n"/>
      <c r="X8" s="79" t="n"/>
      <c r="Y8" s="79" t="n"/>
      <c r="Z8" s="79" t="n"/>
      <c r="AA8" s="79" t="n"/>
      <c r="AB8" s="79" t="n"/>
      <c r="AC8" s="79" t="n"/>
      <c r="AD8" s="79" t="n"/>
      <c r="AE8" s="79" t="n"/>
      <c r="AF8" s="80" t="n"/>
      <c r="AG8" s="80" t="n"/>
      <c r="AH8" s="79" t="n"/>
      <c r="AI8" s="79" t="n"/>
      <c r="AJ8" s="79" t="n"/>
      <c r="AK8" s="79" t="n"/>
      <c r="AL8" s="79" t="n"/>
      <c r="AM8" s="79" t="n"/>
      <c r="AN8" s="79" t="n"/>
      <c r="AO8" s="79" t="n"/>
      <c r="AP8" s="79" t="n"/>
      <c r="AQ8" s="79" t="n"/>
      <c r="AR8" s="79" t="n"/>
      <c r="AS8" s="79" t="n"/>
      <c r="AT8" s="79" t="n"/>
      <c r="AU8" s="79" t="n"/>
      <c r="AV8" s="79" t="n"/>
      <c r="AW8" s="79" t="n"/>
      <c r="AX8" s="79" t="n"/>
      <c r="AY8" s="79" t="n"/>
      <c r="AZ8" s="79" t="n"/>
      <c r="BA8" s="79" t="n"/>
      <c r="BB8" s="79" t="n"/>
      <c r="BC8" s="79" t="n"/>
      <c r="BD8" s="83" t="inlineStr">
        <is>
          <t>* 고객감정지수는 (긍정 VOC 비율 - 부정 VOC 비율)로, 높을수록 긍정적 감정이 우세</t>
        </is>
      </c>
    </row>
    <row r="9" ht="15" customHeight="1" s="292"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BG9" s="161" t="inlineStr">
        <is>
          <t>기준월</t>
        </is>
      </c>
      <c r="BH9" s="161" t="inlineStr">
        <is>
          <t>긍정</t>
        </is>
      </c>
      <c r="BI9" s="161" t="inlineStr">
        <is>
          <t>부정</t>
        </is>
      </c>
      <c r="BJ9" s="161" t="inlineStr">
        <is>
          <t>중립</t>
        </is>
      </c>
      <c r="BK9" s="161" t="inlineStr">
        <is>
          <t>NSS</t>
        </is>
      </c>
      <c r="BL9" s="161" t="inlineStr">
        <is>
          <t>누적NSS</t>
        </is>
      </c>
    </row>
    <row r="10" ht="15" customHeight="1" s="292">
      <c r="B10" s="43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  <c r="M10" s="43" t="n"/>
      <c r="N10" s="43" t="n"/>
      <c r="BG10" s="161" t="inlineStr">
        <is>
          <t>1월</t>
        </is>
      </c>
      <c r="BH10" s="320" t="n">
        <v>48.2</v>
      </c>
      <c r="BI10" s="320" t="n">
        <v>28.8</v>
      </c>
      <c r="BJ10" s="320" t="n">
        <v>22.9</v>
      </c>
      <c r="BK10" s="320" t="n">
        <v>19.4</v>
      </c>
      <c r="BL10" s="320" t="n">
        <v>-27.3</v>
      </c>
    </row>
    <row r="11" ht="15" customHeight="1" s="292">
      <c r="B11" s="43" t="n"/>
      <c r="C11" s="43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  <c r="M11" s="43" t="n"/>
      <c r="N11" s="43" t="n"/>
      <c r="BG11" s="161" t="inlineStr">
        <is>
          <t>2월</t>
        </is>
      </c>
      <c r="BH11" s="320" t="n">
        <v>50.9</v>
      </c>
      <c r="BI11" s="320" t="n">
        <v>23.3</v>
      </c>
      <c r="BJ11" s="320" t="n">
        <v>25.8</v>
      </c>
      <c r="BK11" s="320" t="n">
        <v>27.6</v>
      </c>
      <c r="BL11" s="320" t="n">
        <v>-27.3</v>
      </c>
    </row>
    <row r="12" ht="15" customHeight="1" s="292">
      <c r="B12" s="43" t="n"/>
      <c r="C12" s="43" t="n"/>
      <c r="D12" s="43" t="n"/>
      <c r="E12" s="43" t="n"/>
      <c r="F12" s="43" t="n"/>
      <c r="G12" s="43" t="n"/>
      <c r="H12" s="43" t="n"/>
      <c r="I12" s="43" t="n"/>
      <c r="J12" s="43" t="n"/>
      <c r="K12" s="43" t="n"/>
      <c r="L12" s="43" t="n"/>
      <c r="M12" s="43" t="n"/>
      <c r="N12" s="43" t="n"/>
      <c r="BG12" s="161" t="inlineStr">
        <is>
          <t>3월</t>
        </is>
      </c>
      <c r="BH12" s="321" t="inlineStr"/>
      <c r="BI12" s="321" t="inlineStr"/>
      <c r="BJ12" s="321" t="inlineStr"/>
      <c r="BK12" s="321" t="inlineStr"/>
      <c r="BL12" s="321" t="inlineStr"/>
    </row>
    <row r="13" ht="15" customHeight="1" s="292">
      <c r="B13" s="43" t="n"/>
      <c r="C13" s="43" t="n"/>
      <c r="D13" s="43" t="n"/>
      <c r="E13" s="43" t="n"/>
      <c r="F13" s="43" t="n"/>
      <c r="G13" s="43" t="n"/>
      <c r="H13" s="43" t="n"/>
      <c r="I13" s="164" t="inlineStr">
        <is>
          <t>NSS</t>
        </is>
      </c>
      <c r="J13" s="43" t="n"/>
      <c r="K13" s="43" t="n"/>
      <c r="L13" s="43" t="n"/>
      <c r="M13" s="43" t="n"/>
      <c r="N13" s="43" t="n"/>
      <c r="BG13" s="161" t="inlineStr">
        <is>
          <t>4월</t>
        </is>
      </c>
      <c r="BH13" s="321" t="inlineStr"/>
      <c r="BI13" s="321" t="inlineStr"/>
      <c r="BJ13" s="321" t="inlineStr"/>
      <c r="BK13" s="321" t="inlineStr"/>
      <c r="BL13" s="321" t="inlineStr"/>
    </row>
    <row r="14" ht="15" customHeight="1" s="292">
      <c r="B14" s="43" t="n"/>
      <c r="C14" s="43" t="n"/>
      <c r="D14" s="43" t="n"/>
      <c r="E14" s="43" t="n"/>
      <c r="F14" s="322" t="n">
        <v>-27.3</v>
      </c>
      <c r="M14" s="43" t="n"/>
      <c r="N14" s="43" t="n"/>
      <c r="BG14" s="161" t="inlineStr">
        <is>
          <t>5월</t>
        </is>
      </c>
      <c r="BH14" s="321" t="inlineStr"/>
      <c r="BI14" s="321" t="inlineStr"/>
      <c r="BJ14" s="321" t="inlineStr"/>
      <c r="BK14" s="321" t="inlineStr"/>
      <c r="BL14" s="321" t="inlineStr"/>
    </row>
    <row r="15" ht="15" customHeight="1" s="292"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BG15" s="161" t="inlineStr">
        <is>
          <t>6월</t>
        </is>
      </c>
      <c r="BH15" s="321" t="inlineStr"/>
      <c r="BI15" s="321" t="inlineStr"/>
      <c r="BJ15" s="321" t="inlineStr"/>
      <c r="BK15" s="321" t="inlineStr"/>
      <c r="BL15" s="321" t="inlineStr"/>
    </row>
    <row r="16" ht="15" customHeight="1" s="292">
      <c r="BG16" s="161" t="inlineStr">
        <is>
          <t>7월</t>
        </is>
      </c>
      <c r="BH16" s="321" t="inlineStr"/>
      <c r="BI16" s="321" t="inlineStr"/>
      <c r="BJ16" s="321" t="inlineStr"/>
      <c r="BK16" s="321" t="inlineStr"/>
      <c r="BL16" s="321" t="inlineStr"/>
    </row>
    <row r="17" ht="15" customHeight="1" s="292">
      <c r="BG17" s="161" t="inlineStr">
        <is>
          <t>8월</t>
        </is>
      </c>
      <c r="BH17" s="321" t="inlineStr"/>
      <c r="BI17" s="321" t="inlineStr"/>
      <c r="BJ17" s="321" t="inlineStr"/>
      <c r="BK17" s="321" t="inlineStr"/>
      <c r="BL17" s="321" t="inlineStr"/>
    </row>
    <row r="18" ht="15" customHeight="1" s="292">
      <c r="BG18" s="161" t="inlineStr">
        <is>
          <t>9월</t>
        </is>
      </c>
      <c r="BH18" s="321" t="inlineStr"/>
      <c r="BI18" s="321" t="inlineStr"/>
      <c r="BJ18" s="321" t="inlineStr"/>
      <c r="BK18" s="321" t="inlineStr"/>
      <c r="BL18" s="321" t="inlineStr"/>
    </row>
    <row r="19" ht="15" customHeight="1" s="292">
      <c r="BG19" s="161" t="inlineStr">
        <is>
          <t>10월</t>
        </is>
      </c>
      <c r="BH19" s="321" t="inlineStr"/>
      <c r="BI19" s="321" t="inlineStr"/>
      <c r="BJ19" s="321" t="inlineStr"/>
      <c r="BK19" s="321" t="inlineStr"/>
      <c r="BL19" s="321" t="inlineStr"/>
    </row>
    <row r="20" ht="15" customHeight="1" s="292">
      <c r="BG20" s="161" t="inlineStr">
        <is>
          <t>11월</t>
        </is>
      </c>
      <c r="BH20" s="321" t="inlineStr"/>
      <c r="BI20" s="321" t="inlineStr"/>
      <c r="BJ20" s="321" t="inlineStr"/>
      <c r="BK20" s="321" t="inlineStr"/>
      <c r="BL20" s="321" t="inlineStr"/>
    </row>
    <row r="21" ht="15" customHeight="1" s="292">
      <c r="D21" s="15" t="inlineStr">
        <is>
          <t>월별 고객 감정 분류</t>
        </is>
      </c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  <c r="AO21" s="66" t="n"/>
      <c r="AP21" s="66" t="n"/>
      <c r="AQ21" s="66" t="n"/>
      <c r="AR21" s="66" t="n"/>
      <c r="AS21" s="66" t="n"/>
      <c r="AT21" s="66" t="n"/>
      <c r="AU21" s="66" t="n"/>
      <c r="AV21" s="66" t="n"/>
      <c r="AW21" s="66" t="n"/>
      <c r="AX21" s="66" t="n"/>
      <c r="AY21" s="66" t="n"/>
      <c r="AZ21" s="66" t="n"/>
      <c r="BA21" s="66" t="n"/>
      <c r="BB21" s="66" t="n"/>
      <c r="BC21" s="66" t="n"/>
      <c r="BD21" s="66" t="n"/>
      <c r="BG21" s="161" t="inlineStr">
        <is>
          <t>12월</t>
        </is>
      </c>
      <c r="BH21" s="321" t="inlineStr"/>
      <c r="BI21" s="321" t="inlineStr"/>
      <c r="BJ21" s="321" t="inlineStr"/>
      <c r="BK21" s="321" t="inlineStr"/>
      <c r="BL21" s="321" t="inlineStr"/>
    </row>
    <row r="22" ht="15" customHeight="1" s="292">
      <c r="BG22" s="161" t="inlineStr">
        <is>
          <t>누적</t>
        </is>
      </c>
      <c r="BH22" s="320" t="n">
        <v>32.9</v>
      </c>
      <c r="BI22" s="320" t="n">
        <v>60.2</v>
      </c>
      <c r="BJ22" s="320" t="n">
        <v>6.9</v>
      </c>
      <c r="BK22" s="320" t="n">
        <v>-27.3</v>
      </c>
      <c r="BL22" s="320" t="n">
        <v>-27.3</v>
      </c>
    </row>
    <row r="23"/>
    <row r="24"/>
    <row r="25"/>
    <row r="26"/>
    <row r="27" ht="15" customHeight="1" s="292">
      <c r="G27" s="65" t="n"/>
    </row>
    <row r="28" ht="15" customHeight="1" s="292">
      <c r="T28" s="65" t="n"/>
      <c r="BH28" s="321" t="n"/>
      <c r="BI28" s="321" t="n"/>
      <c r="BJ28" s="321" t="n"/>
      <c r="BK28" s="321" t="n"/>
      <c r="BL28" s="321" t="n"/>
    </row>
    <row r="29"/>
    <row r="30"/>
    <row r="31"/>
    <row r="32"/>
    <row r="33"/>
    <row r="34"/>
    <row r="35"/>
    <row r="36" ht="15" customHeight="1" s="292">
      <c r="D36" s="5" t="inlineStr">
        <is>
          <t>【채널별 NSS】 2월 종합 NSS는 27.6점으로 1월 대비 +8.2점 상승했으며 채널별로 스타뱅킹은 40.5점으로 +11.3점 개선, 영업점은 27.0점으로 +8.1점 개선, 고객센터는 5.7점으로 +9.4점 개선, 상품은 27.9점으로 +3.8점 개선으로 전반적 감성 개선 추세임</t>
        </is>
      </c>
      <c r="E36" s="0" t="n"/>
      <c r="F36" s="0" t="n"/>
      <c r="G36" s="0" t="n"/>
      <c r="H36" s="0" t="n"/>
      <c r="I36" s="0" t="n"/>
      <c r="J36" s="0" t="n"/>
      <c r="K36" s="78" t="n"/>
      <c r="L36" s="0" t="n"/>
      <c r="M36" s="0" t="n"/>
      <c r="N36" s="0" t="n"/>
      <c r="O36" s="0" t="n"/>
      <c r="P36" s="0" t="n"/>
      <c r="Q36" s="0" t="n"/>
      <c r="R36" s="0" t="n"/>
      <c r="S36" s="0" t="n"/>
      <c r="T36" s="0" t="n"/>
      <c r="U36" s="0" t="n"/>
      <c r="V36" s="0" t="n"/>
      <c r="W36" s="0" t="n"/>
      <c r="X36" s="0" t="n"/>
      <c r="Y36" s="0" t="n"/>
      <c r="Z36" s="0" t="n"/>
      <c r="AA36" s="0" t="n"/>
      <c r="AB36" s="0" t="n"/>
      <c r="AC36" s="0" t="n"/>
      <c r="AD36" s="0" t="n"/>
      <c r="AE36" s="0" t="n"/>
      <c r="AF36" s="0" t="n"/>
      <c r="AG36" s="0" t="n"/>
      <c r="AH36" s="0" t="n"/>
      <c r="AI36" s="0" t="n"/>
      <c r="AJ36" s="0" t="n"/>
      <c r="AK36" s="0" t="n"/>
      <c r="AL36" s="0" t="n"/>
      <c r="AM36" s="0" t="n"/>
      <c r="AN36" s="0" t="n"/>
      <c r="AO36" s="0" t="n"/>
      <c r="AP36" s="0" t="n"/>
      <c r="AQ36" s="0" t="n"/>
      <c r="AR36" s="0" t="n"/>
      <c r="AS36" s="0" t="n"/>
      <c r="AT36" s="0" t="n"/>
      <c r="AU36" s="0" t="n"/>
      <c r="AV36" s="0" t="n"/>
      <c r="AW36" s="0" t="n"/>
      <c r="AX36" s="0" t="n"/>
      <c r="AY36" s="0" t="n"/>
      <c r="AZ36" s="0" t="n"/>
      <c r="BA36" s="0" t="n"/>
      <c r="BB36" s="0" t="n"/>
    </row>
    <row r="37" ht="15" customHeight="1" s="292">
      <c r="D37" s="15" t="inlineStr">
        <is>
          <t>월별 채널 NSS</t>
        </is>
      </c>
      <c r="E37" s="79" t="n"/>
      <c r="F37" s="79" t="n"/>
      <c r="G37" s="79" t="n"/>
      <c r="H37" s="79" t="n"/>
      <c r="I37" s="79" t="n"/>
      <c r="J37" s="79" t="n"/>
      <c r="K37" s="79" t="n"/>
      <c r="L37" s="79" t="n"/>
      <c r="M37" s="79" t="n"/>
      <c r="N37" s="79" t="n"/>
      <c r="O37" s="79" t="n"/>
      <c r="P37" s="79" t="n"/>
      <c r="Q37" s="79" t="n"/>
      <c r="R37" s="79" t="n"/>
      <c r="S37" s="79" t="n"/>
      <c r="T37" s="79" t="n"/>
      <c r="U37" s="79" t="n"/>
      <c r="V37" s="79" t="n"/>
      <c r="W37" s="79" t="n"/>
      <c r="X37" s="79" t="n"/>
      <c r="Y37" s="79" t="n"/>
      <c r="Z37" s="79" t="n"/>
      <c r="AA37" s="79" t="n"/>
      <c r="AB37" s="79" t="n"/>
      <c r="AC37" s="79" t="n"/>
      <c r="AD37" s="79" t="n"/>
      <c r="AE37" s="79" t="n"/>
      <c r="AF37" s="79" t="n"/>
      <c r="AG37" s="79" t="n"/>
      <c r="AH37" s="79" t="n"/>
      <c r="AI37" s="79" t="n"/>
      <c r="AJ37" s="79" t="n"/>
      <c r="AK37" s="79" t="n"/>
      <c r="AL37" s="79" t="n"/>
      <c r="AM37" s="79" t="n"/>
      <c r="AN37" s="79" t="n"/>
      <c r="AO37" s="79" t="n"/>
      <c r="AP37" s="79" t="n"/>
      <c r="AQ37" s="79" t="n"/>
      <c r="AR37" s="79" t="n"/>
      <c r="AS37" s="79" t="n"/>
      <c r="AT37" s="79" t="n"/>
      <c r="AU37" s="79" t="n"/>
      <c r="AV37" s="79" t="n"/>
      <c r="AW37" s="79" t="n"/>
      <c r="AX37" s="79" t="n"/>
      <c r="AY37" s="79" t="n"/>
      <c r="AZ37" s="79" t="n"/>
      <c r="BA37" s="79" t="n"/>
      <c r="BB37" s="79" t="n"/>
      <c r="BC37" s="66" t="n"/>
      <c r="BD37" s="66" t="n"/>
    </row>
    <row r="38" ht="3" customHeight="1" s="292">
      <c r="D38" s="0" t="n"/>
      <c r="E38" s="0" t="n"/>
      <c r="F38" s="0" t="n"/>
      <c r="G38" s="0" t="n"/>
      <c r="H38" s="0" t="n"/>
      <c r="I38" s="0" t="n"/>
      <c r="J38" s="0" t="n"/>
      <c r="K38" s="0" t="n"/>
      <c r="L38" s="0" t="n"/>
      <c r="M38" s="0" t="n"/>
      <c r="N38" s="0" t="n"/>
      <c r="O38" s="0" t="n"/>
      <c r="P38" s="0" t="n"/>
      <c r="Q38" s="0" t="n"/>
      <c r="R38" s="0" t="n"/>
      <c r="S38" s="0" t="n"/>
      <c r="T38" s="0" t="n"/>
      <c r="U38" s="0" t="n"/>
      <c r="V38" s="0" t="n"/>
      <c r="W38" s="0" t="n"/>
      <c r="X38" s="0" t="n"/>
      <c r="Y38" s="0" t="n"/>
      <c r="Z38" s="0" t="n"/>
      <c r="AA38" s="0" t="n"/>
      <c r="AB38" s="0" t="n"/>
      <c r="AC38" s="0" t="n"/>
      <c r="AD38" s="0" t="n"/>
      <c r="AE38" s="0" t="n"/>
      <c r="AF38" s="0" t="n"/>
      <c r="AG38" s="0" t="n"/>
      <c r="AH38" s="0" t="n"/>
      <c r="AI38" s="0" t="n"/>
      <c r="AJ38" s="0" t="n"/>
      <c r="AK38" s="0" t="n"/>
      <c r="AL38" s="0" t="n"/>
      <c r="AM38" s="0" t="n"/>
      <c r="AN38" s="0" t="n"/>
      <c r="AO38" s="0" t="n"/>
      <c r="AP38" s="0" t="n"/>
      <c r="AQ38" s="0" t="n"/>
      <c r="AR38" s="0" t="n"/>
      <c r="AS38" s="0" t="n"/>
      <c r="AT38" s="0" t="n"/>
      <c r="AU38" s="0" t="n"/>
      <c r="AV38" s="0" t="n"/>
      <c r="AW38" s="0" t="n"/>
      <c r="AX38" s="0" t="n"/>
      <c r="AY38" s="0" t="n"/>
      <c r="AZ38" s="0" t="n"/>
      <c r="BA38" s="0" t="n"/>
      <c r="BB38" s="0" t="n"/>
      <c r="BC38" s="0" t="n"/>
      <c r="BD38" s="0" t="n"/>
      <c r="BG38" s="0" t="n"/>
      <c r="BL38" s="323" t="n"/>
      <c r="BM38" s="323" t="n"/>
    </row>
    <row r="39" ht="15" customHeight="1" s="292">
      <c r="D39" s="28" t="inlineStr">
        <is>
          <t>구분(점)</t>
        </is>
      </c>
      <c r="E39" s="28" t="n"/>
      <c r="F39" s="28" t="n"/>
      <c r="G39" s="28" t="n"/>
      <c r="H39" s="28" t="n"/>
      <c r="I39" s="28" t="n"/>
      <c r="J39" s="28" t="n"/>
      <c r="K39" s="29" t="inlineStr">
        <is>
          <t>1월</t>
        </is>
      </c>
      <c r="L39" s="30" t="n"/>
      <c r="M39" s="32" t="n"/>
      <c r="N39" s="33" t="inlineStr">
        <is>
          <t>2월</t>
        </is>
      </c>
      <c r="O39" s="30" t="n"/>
      <c r="P39" s="32" t="n"/>
      <c r="Q39" s="33" t="inlineStr">
        <is>
          <t>3월</t>
        </is>
      </c>
      <c r="R39" s="30" t="n"/>
      <c r="S39" s="32" t="n"/>
      <c r="T39" s="33" t="inlineStr">
        <is>
          <t>4월</t>
        </is>
      </c>
      <c r="U39" s="30" t="n"/>
      <c r="V39" s="32" t="n"/>
      <c r="W39" s="33" t="inlineStr">
        <is>
          <t>5월</t>
        </is>
      </c>
      <c r="X39" s="30" t="n"/>
      <c r="Y39" s="32" t="n"/>
      <c r="Z39" s="33" t="inlineStr">
        <is>
          <t>6월</t>
        </is>
      </c>
      <c r="AA39" s="30" t="n"/>
      <c r="AB39" s="32" t="n"/>
      <c r="AC39" s="33" t="inlineStr">
        <is>
          <t>7월</t>
        </is>
      </c>
      <c r="AD39" s="30" t="n"/>
      <c r="AE39" s="32" t="n"/>
      <c r="AF39" s="33" t="inlineStr">
        <is>
          <t>8월</t>
        </is>
      </c>
      <c r="AG39" s="30" t="n"/>
      <c r="AH39" s="32" t="n"/>
      <c r="AI39" s="33" t="inlineStr">
        <is>
          <t>9월</t>
        </is>
      </c>
      <c r="AJ39" s="30" t="n"/>
      <c r="AK39" s="32" t="n"/>
      <c r="AL39" s="33" t="inlineStr">
        <is>
          <t>10월</t>
        </is>
      </c>
      <c r="AM39" s="30" t="n"/>
      <c r="AN39" s="32" t="n"/>
      <c r="AO39" s="33" t="inlineStr">
        <is>
          <t>11월</t>
        </is>
      </c>
      <c r="AP39" s="30" t="n"/>
      <c r="AQ39" s="32" t="n"/>
      <c r="AR39" s="33" t="inlineStr">
        <is>
          <t>12월</t>
        </is>
      </c>
      <c r="AS39" s="30" t="n"/>
      <c r="AT39" s="32" t="n"/>
      <c r="AU39" s="29" t="inlineStr">
        <is>
          <t>누적</t>
        </is>
      </c>
      <c r="AV39" s="30" t="n"/>
      <c r="AW39" s="30" t="n"/>
      <c r="AX39" s="31" t="n"/>
      <c r="AY39" s="29" t="inlineStr">
        <is>
          <t>1월 대비</t>
        </is>
      </c>
      <c r="AZ39" s="30" t="n"/>
      <c r="BA39" s="30" t="n"/>
      <c r="BB39" s="30" t="n"/>
    </row>
    <row r="40" ht="15" customHeight="1" s="292">
      <c r="D40" s="69" t="inlineStr">
        <is>
          <t>KB스타뱅킹</t>
        </is>
      </c>
      <c r="E40" s="70" t="n"/>
      <c r="F40" s="71" t="n"/>
      <c r="G40" s="71" t="n"/>
      <c r="H40" s="71" t="n"/>
      <c r="I40" s="71" t="n"/>
      <c r="J40" s="12" t="n"/>
      <c r="K40" s="305" t="n">
        <v>29.2</v>
      </c>
      <c r="M40" s="306" t="n"/>
      <c r="N40" s="305" t="n">
        <v>40.5</v>
      </c>
      <c r="P40" s="306" t="n"/>
      <c r="Q40" s="307" t="inlineStr"/>
      <c r="S40" s="306" t="n"/>
      <c r="T40" s="307" t="inlineStr"/>
      <c r="V40" s="306" t="n"/>
      <c r="W40" s="307" t="inlineStr"/>
      <c r="Y40" s="306" t="n"/>
      <c r="Z40" s="307" t="inlineStr"/>
      <c r="AB40" s="306" t="n"/>
      <c r="AC40" s="307" t="inlineStr"/>
      <c r="AE40" s="306" t="n"/>
      <c r="AF40" s="307" t="inlineStr"/>
      <c r="AH40" s="306" t="n"/>
      <c r="AI40" s="307" t="inlineStr"/>
      <c r="AK40" s="306" t="n"/>
      <c r="AL40" s="307" t="inlineStr"/>
      <c r="AN40" s="306" t="n"/>
      <c r="AO40" s="307" t="inlineStr"/>
      <c r="AQ40" s="306" t="n"/>
      <c r="AR40" s="171" t="inlineStr"/>
      <c r="AT40" s="308" t="n"/>
      <c r="AU40" s="340" t="n">
        <v>50.9</v>
      </c>
      <c r="AV40" s="159" t="n"/>
      <c r="AW40" s="159" t="n"/>
      <c r="AX40" s="302" t="n"/>
      <c r="AY40" s="341" t="n">
        <v>21.7</v>
      </c>
      <c r="AZ40" s="159" t="n"/>
      <c r="BA40" s="159" t="n"/>
      <c r="BB40" s="159" t="n"/>
    </row>
    <row r="41" ht="15" customHeight="1" s="292">
      <c r="D41" s="69" t="inlineStr">
        <is>
          <t>영업점</t>
        </is>
      </c>
      <c r="E41" s="70" t="n"/>
      <c r="F41" s="71" t="n"/>
      <c r="G41" s="71" t="n"/>
      <c r="H41" s="71" t="n"/>
      <c r="I41" s="71" t="n"/>
      <c r="J41" s="12" t="n"/>
      <c r="K41" s="305" t="n">
        <v>18.9</v>
      </c>
      <c r="M41" s="306" t="n"/>
      <c r="N41" s="305" t="n">
        <v>27</v>
      </c>
      <c r="P41" s="306" t="n"/>
      <c r="Q41" s="307" t="inlineStr"/>
      <c r="S41" s="306" t="n"/>
      <c r="T41" s="307" t="inlineStr"/>
      <c r="V41" s="306" t="n"/>
      <c r="W41" s="307" t="inlineStr"/>
      <c r="Y41" s="306" t="n"/>
      <c r="Z41" s="307" t="inlineStr"/>
      <c r="AB41" s="306" t="n"/>
      <c r="AC41" s="307" t="inlineStr"/>
      <c r="AE41" s="306" t="n"/>
      <c r="AF41" s="307" t="inlineStr"/>
      <c r="AH41" s="306" t="n"/>
      <c r="AI41" s="307" t="inlineStr"/>
      <c r="AK41" s="306" t="n"/>
      <c r="AL41" s="307" t="inlineStr"/>
      <c r="AN41" s="306" t="n"/>
      <c r="AO41" s="307" t="inlineStr"/>
      <c r="AQ41" s="306" t="n"/>
      <c r="AR41" s="171" t="inlineStr"/>
      <c r="AT41" s="308" t="n"/>
      <c r="AU41" s="309" t="n">
        <v>-37.9</v>
      </c>
      <c r="AX41" s="308" t="n"/>
      <c r="AY41" s="328" t="n">
        <v>-56.8</v>
      </c>
    </row>
    <row r="42" ht="15" customHeight="1" s="292">
      <c r="D42" s="69" t="inlineStr">
        <is>
          <t>고객센터</t>
        </is>
      </c>
      <c r="E42" s="70" t="n"/>
      <c r="F42" s="71" t="n"/>
      <c r="G42" s="71" t="n"/>
      <c r="H42" s="71" t="n"/>
      <c r="I42" s="71" t="n"/>
      <c r="J42" s="12" t="n"/>
      <c r="K42" s="305" t="n">
        <v>-3.7</v>
      </c>
      <c r="M42" s="306" t="n"/>
      <c r="N42" s="305" t="n">
        <v>5.7</v>
      </c>
      <c r="P42" s="306" t="n"/>
      <c r="Q42" s="307" t="inlineStr"/>
      <c r="S42" s="306" t="n"/>
      <c r="T42" s="307" t="inlineStr"/>
      <c r="V42" s="306" t="n"/>
      <c r="W42" s="307" t="inlineStr"/>
      <c r="Y42" s="306" t="n"/>
      <c r="Z42" s="307" t="inlineStr"/>
      <c r="AB42" s="306" t="n"/>
      <c r="AC42" s="307" t="inlineStr"/>
      <c r="AE42" s="306" t="n"/>
      <c r="AF42" s="307" t="inlineStr"/>
      <c r="AH42" s="306" t="n"/>
      <c r="AI42" s="307" t="inlineStr"/>
      <c r="AK42" s="306" t="n"/>
      <c r="AL42" s="307" t="inlineStr"/>
      <c r="AN42" s="306" t="n"/>
      <c r="AO42" s="307" t="inlineStr"/>
      <c r="AQ42" s="306" t="n"/>
      <c r="AR42" s="171" t="inlineStr"/>
      <c r="AT42" s="308" t="n"/>
      <c r="AU42" s="309" t="n">
        <v>92.7</v>
      </c>
      <c r="AX42" s="308" t="n"/>
      <c r="AY42" s="328" t="n">
        <v>96.40000000000001</v>
      </c>
    </row>
    <row r="43" ht="15" customHeight="1" s="292">
      <c r="D43" s="27" t="inlineStr">
        <is>
          <t>상품</t>
        </is>
      </c>
      <c r="E43" s="72" t="n"/>
      <c r="F43" s="11" t="n"/>
      <c r="G43" s="11" t="n"/>
      <c r="H43" s="11" t="n"/>
      <c r="I43" s="11" t="n"/>
      <c r="J43" s="13" t="n"/>
      <c r="K43" s="311" t="n">
        <v>24.1</v>
      </c>
      <c r="L43" s="163" t="n"/>
      <c r="M43" s="312" t="n"/>
      <c r="N43" s="311" t="n">
        <v>27.9</v>
      </c>
      <c r="O43" s="163" t="n"/>
      <c r="P43" s="312" t="n"/>
      <c r="Q43" s="313" t="inlineStr"/>
      <c r="R43" s="163" t="n"/>
      <c r="S43" s="312" t="n"/>
      <c r="T43" s="313" t="inlineStr"/>
      <c r="U43" s="163" t="n"/>
      <c r="V43" s="312" t="n"/>
      <c r="W43" s="313" t="inlineStr"/>
      <c r="X43" s="163" t="n"/>
      <c r="Y43" s="312" t="n"/>
      <c r="Z43" s="313" t="inlineStr"/>
      <c r="AA43" s="163" t="n"/>
      <c r="AB43" s="312" t="n"/>
      <c r="AC43" s="313" t="inlineStr"/>
      <c r="AD43" s="163" t="n"/>
      <c r="AE43" s="312" t="n"/>
      <c r="AF43" s="313" t="inlineStr"/>
      <c r="AG43" s="163" t="n"/>
      <c r="AH43" s="312" t="n"/>
      <c r="AI43" s="313" t="inlineStr"/>
      <c r="AJ43" s="163" t="n"/>
      <c r="AK43" s="312" t="n"/>
      <c r="AL43" s="313" t="inlineStr"/>
      <c r="AM43" s="163" t="n"/>
      <c r="AN43" s="312" t="n"/>
      <c r="AO43" s="313" t="inlineStr"/>
      <c r="AP43" s="163" t="n"/>
      <c r="AQ43" s="312" t="n"/>
      <c r="AR43" s="176" t="inlineStr"/>
      <c r="AS43" s="163" t="n"/>
      <c r="AT43" s="314" t="n"/>
      <c r="AU43" s="315" t="n">
        <v>22.1</v>
      </c>
      <c r="AV43" s="163" t="n"/>
      <c r="AW43" s="163" t="n"/>
      <c r="AX43" s="314" t="n"/>
      <c r="AY43" s="329" t="n">
        <v>-2</v>
      </c>
      <c r="AZ43" s="163" t="n"/>
      <c r="BA43" s="163" t="n"/>
      <c r="BB43" s="163" t="n"/>
    </row>
  </sheetData>
  <mergeCells count="57">
    <mergeCell ref="Z43:AB43"/>
    <mergeCell ref="AU41:AX41"/>
    <mergeCell ref="K41:M41"/>
    <mergeCell ref="AC43:AE43"/>
    <mergeCell ref="AL41:AN41"/>
    <mergeCell ref="N42:P42"/>
    <mergeCell ref="W41:Y41"/>
    <mergeCell ref="K40:M40"/>
    <mergeCell ref="AO43:AQ43"/>
    <mergeCell ref="AY40:BB40"/>
    <mergeCell ref="Q40:S40"/>
    <mergeCell ref="AI41:AK41"/>
    <mergeCell ref="AU43:AX43"/>
    <mergeCell ref="K43:M43"/>
    <mergeCell ref="AC42:AE42"/>
    <mergeCell ref="AR40:AT40"/>
    <mergeCell ref="W43:Y43"/>
    <mergeCell ref="AO42:AQ42"/>
    <mergeCell ref="T40:V40"/>
    <mergeCell ref="F14:L14"/>
    <mergeCell ref="Z42:AB42"/>
    <mergeCell ref="AL42:AN42"/>
    <mergeCell ref="AU42:AX42"/>
    <mergeCell ref="K42:M42"/>
    <mergeCell ref="T41:V41"/>
    <mergeCell ref="AF42:AH42"/>
    <mergeCell ref="AL43:AN43"/>
    <mergeCell ref="AO41:AQ41"/>
    <mergeCell ref="AC40:AE40"/>
    <mergeCell ref="W42:Y42"/>
    <mergeCell ref="N40:P40"/>
    <mergeCell ref="AF41:AH41"/>
    <mergeCell ref="AI43:AK43"/>
    <mergeCell ref="AF40:AH40"/>
    <mergeCell ref="T43:V43"/>
    <mergeCell ref="AY41:BB41"/>
    <mergeCell ref="Q41:S41"/>
    <mergeCell ref="AO40:AQ40"/>
    <mergeCell ref="AI42:AK42"/>
    <mergeCell ref="Z40:AB40"/>
    <mergeCell ref="AR41:AT41"/>
    <mergeCell ref="AY42:BB42"/>
    <mergeCell ref="AU40:AX40"/>
    <mergeCell ref="AC41:AE41"/>
    <mergeCell ref="AL40:AN40"/>
    <mergeCell ref="AY43:BB43"/>
    <mergeCell ref="AR42:AT42"/>
    <mergeCell ref="AF43:AH43"/>
    <mergeCell ref="Q43:S43"/>
    <mergeCell ref="W40:Y40"/>
    <mergeCell ref="AR43:AT43"/>
    <mergeCell ref="N41:P41"/>
    <mergeCell ref="Q42:S42"/>
    <mergeCell ref="Z41:AB41"/>
    <mergeCell ref="T42:V42"/>
    <mergeCell ref="AI40:AK40"/>
    <mergeCell ref="N43:P43"/>
  </mergeCells>
  <pageMargins left="0.25" right="0.25" top="0.75" bottom="0.75" header="0.3" footer="0.3"/>
  <pageSetup orientation="portrait" paperSize="9" scale="98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M41"/>
  <sheetViews>
    <sheetView showGridLines="0" view="pageBreakPreview" zoomScaleNormal="100" zoomScaleSheetLayoutView="100" workbookViewId="0">
      <selection activeCell="A1" sqref="A1"/>
    </sheetView>
  </sheetViews>
  <sheetFormatPr baseColWidth="8" defaultColWidth="9.625" defaultRowHeight="15" customHeight="1"/>
  <cols>
    <col width="1.625" customWidth="1" style="161" min="1" max="57"/>
    <col width="9.625" customWidth="1" style="161" min="58" max="16384"/>
  </cols>
  <sheetData>
    <row r="1" ht="8.1" customHeight="1" s="292"/>
    <row r="2" ht="15" customHeight="1" s="292">
      <c r="B2" s="2" t="inlineStr">
        <is>
          <t>2. 고객불만지수(CCI)</t>
        </is>
      </c>
      <c r="C2" s="77" t="n"/>
      <c r="D2" s="77" t="n"/>
      <c r="E2" s="77" t="n"/>
      <c r="F2" s="77" t="n"/>
      <c r="G2" s="77" t="n"/>
      <c r="H2" s="77" t="n"/>
      <c r="I2" s="77" t="n"/>
      <c r="J2" s="77" t="n"/>
      <c r="K2" s="77" t="n"/>
      <c r="L2" s="77" t="n"/>
      <c r="M2" s="77" t="n"/>
      <c r="N2" s="77" t="n"/>
      <c r="O2" s="77" t="n"/>
      <c r="P2" s="77" t="n"/>
      <c r="Q2" s="77" t="n"/>
      <c r="R2" s="77" t="n"/>
      <c r="S2" s="77" t="n"/>
      <c r="T2" s="77" t="n"/>
      <c r="U2" s="77" t="n"/>
      <c r="V2" s="77" t="n"/>
      <c r="W2" s="77" t="n"/>
      <c r="X2" s="77" t="n"/>
      <c r="Y2" s="77" t="n"/>
      <c r="Z2" s="77" t="n"/>
      <c r="AA2" s="77" t="n"/>
      <c r="AB2" s="77" t="n"/>
      <c r="AC2" s="77" t="n"/>
      <c r="AD2" s="77" t="n"/>
      <c r="AE2" s="77" t="n"/>
      <c r="AF2" s="77" t="n"/>
      <c r="AG2" s="77" t="n"/>
      <c r="AH2" s="77" t="n"/>
      <c r="AI2" s="77" t="n"/>
      <c r="AJ2" s="77" t="n"/>
      <c r="AK2" s="77" t="n"/>
      <c r="AL2" s="77" t="n"/>
      <c r="AM2" s="77" t="n"/>
      <c r="AN2" s="77" t="n"/>
      <c r="AO2" s="77" t="n"/>
      <c r="AP2" s="77" t="n"/>
      <c r="AQ2" s="77" t="n"/>
      <c r="AR2" s="77" t="n"/>
      <c r="AS2" s="77" t="n"/>
      <c r="AT2" s="77" t="n"/>
      <c r="AU2" s="77" t="n"/>
      <c r="AV2" s="77" t="n"/>
      <c r="AW2" s="77" t="n"/>
      <c r="AX2" s="77" t="n"/>
      <c r="AY2" s="77" t="n"/>
      <c r="AZ2" s="77" t="n"/>
      <c r="BA2" s="77" t="n"/>
      <c r="BB2" s="77" t="n"/>
      <c r="BC2" s="77" t="n"/>
      <c r="BD2" s="77" t="n"/>
    </row>
    <row r="3" ht="5.25" customHeight="1" s="292">
      <c r="B3" s="0" t="n"/>
      <c r="C3" s="0" t="n"/>
      <c r="D3" s="76" t="n"/>
      <c r="E3" s="76" t="n"/>
      <c r="F3" s="76" t="n"/>
      <c r="G3" s="76" t="n"/>
      <c r="H3" s="76" t="n"/>
      <c r="I3" s="76" t="n"/>
      <c r="J3" s="76" t="n"/>
      <c r="K3" s="76" t="n"/>
      <c r="L3" s="76" t="n"/>
      <c r="M3" s="76" t="n"/>
      <c r="N3" s="76" t="n"/>
      <c r="O3" s="0" t="n"/>
      <c r="P3" s="0" t="n"/>
      <c r="Q3" s="0" t="n"/>
      <c r="R3" s="0" t="n"/>
      <c r="S3" s="0" t="n"/>
      <c r="T3" s="0" t="n"/>
      <c r="U3" s="0" t="n"/>
      <c r="V3" s="0" t="n"/>
      <c r="W3" s="0" t="n"/>
      <c r="X3" s="0" t="n"/>
      <c r="Y3" s="0" t="n"/>
      <c r="Z3" s="0" t="n"/>
      <c r="AA3" s="0" t="n"/>
      <c r="AB3" s="0" t="n"/>
      <c r="AC3" s="0" t="n"/>
      <c r="AD3" s="0" t="n"/>
      <c r="AE3" s="0" t="n"/>
      <c r="AF3" s="0" t="n"/>
      <c r="AG3" s="0" t="n"/>
      <c r="AH3" s="0" t="n"/>
      <c r="AI3" s="0" t="n"/>
      <c r="AJ3" s="0" t="n"/>
      <c r="AK3" s="0" t="n"/>
      <c r="AL3" s="0" t="n"/>
      <c r="AM3" s="0" t="n"/>
      <c r="AN3" s="0" t="n"/>
      <c r="AO3" s="0" t="n"/>
      <c r="AP3" s="0" t="n"/>
      <c r="AQ3" s="0" t="n"/>
      <c r="AR3" s="0" t="n"/>
      <c r="AS3" s="0" t="n"/>
      <c r="AT3" s="0" t="n"/>
      <c r="AU3" s="0" t="n"/>
      <c r="AV3" s="0" t="n"/>
      <c r="AW3" s="0" t="n"/>
      <c r="AX3" s="0" t="n"/>
      <c r="AY3" s="0" t="n"/>
      <c r="AZ3" s="0" t="n"/>
      <c r="BA3" s="0" t="n"/>
      <c r="BB3" s="0" t="n"/>
      <c r="BC3" s="0" t="n"/>
      <c r="BD3" s="0" t="n"/>
    </row>
    <row r="4" ht="15" customHeight="1" s="292">
      <c r="B4" s="21" t="n"/>
      <c r="C4" s="0" t="n"/>
      <c r="D4" s="78" t="inlineStr">
        <is>
          <t>【CCI】 26. 2월말 현재 종합 CCI는 16.6점이며, 1월 대비 −2.9점 하락하여 관리 필요 지속</t>
        </is>
      </c>
      <c r="E4" s="76" t="n"/>
      <c r="F4" s="76" t="n"/>
      <c r="G4" s="0" t="n"/>
      <c r="H4" s="78" t="n"/>
      <c r="I4" s="0" t="n"/>
      <c r="J4" s="0" t="n"/>
      <c r="K4" s="0" t="n"/>
      <c r="L4" s="0" t="n"/>
      <c r="M4" s="0" t="n"/>
      <c r="N4" s="0" t="n"/>
      <c r="O4" s="0" t="n"/>
      <c r="P4" s="0" t="n"/>
      <c r="Q4" s="0" t="n"/>
      <c r="R4" s="0" t="n"/>
      <c r="S4" s="0" t="n"/>
      <c r="T4" s="0" t="n"/>
      <c r="U4" s="0" t="n"/>
      <c r="V4" s="0" t="n"/>
      <c r="W4" s="0" t="n"/>
      <c r="X4" s="0" t="n"/>
      <c r="Y4" s="0" t="n"/>
      <c r="Z4" s="0" t="n"/>
      <c r="AA4" s="0" t="n"/>
      <c r="AB4" s="0" t="n"/>
      <c r="AC4" s="0" t="n"/>
      <c r="AD4" s="0" t="n"/>
      <c r="AE4" s="0" t="n"/>
      <c r="AF4" s="0" t="n"/>
      <c r="AG4" s="0" t="n"/>
      <c r="AH4" s="0" t="n"/>
      <c r="AI4" s="0" t="n"/>
      <c r="AJ4" s="0" t="n"/>
      <c r="AK4" s="0" t="n"/>
      <c r="AL4" s="0" t="n"/>
      <c r="AM4" s="0" t="n"/>
      <c r="AN4" s="0" t="n"/>
      <c r="AO4" s="0" t="n"/>
      <c r="AP4" s="0" t="n"/>
      <c r="AQ4" s="0" t="n"/>
      <c r="AR4" s="0" t="n"/>
      <c r="AS4" s="0" t="n"/>
      <c r="AT4" s="0" t="n"/>
      <c r="AU4" s="0" t="n"/>
      <c r="AV4" s="0" t="n"/>
      <c r="AW4" s="0" t="n"/>
      <c r="AX4" s="0" t="n"/>
      <c r="AY4" s="0" t="n"/>
      <c r="AZ4" s="0" t="n"/>
      <c r="BA4" s="0" t="n"/>
      <c r="BB4" s="0" t="n"/>
      <c r="BC4" s="0" t="n"/>
      <c r="BD4" s="0" t="n"/>
    </row>
    <row r="5" ht="15" customHeight="1" s="292">
      <c r="B5" s="0" t="n"/>
      <c r="C5" s="0" t="n"/>
      <c r="D5" s="25" t="inlineStr">
        <is>
          <t>- 2월 칭찬 48.9%, 불만 16.6%로, 1월 대비 칭찬 +3.1%p 및 불만 -2.9%p로 고객불만지수 개선</t>
        </is>
      </c>
      <c r="E5" s="25" t="n"/>
      <c r="F5" s="76" t="n"/>
      <c r="G5" s="76" t="n"/>
      <c r="H5" s="76" t="n"/>
      <c r="I5" s="76" t="n"/>
      <c r="J5" s="76" t="n"/>
      <c r="K5" s="76" t="n"/>
      <c r="L5" s="76" t="n"/>
      <c r="M5" s="76" t="n"/>
      <c r="N5" s="76" t="n"/>
      <c r="O5" s="0" t="n"/>
      <c r="P5" s="0" t="n"/>
      <c r="Q5" s="0" t="n"/>
      <c r="R5" s="0" t="n"/>
      <c r="S5" s="0" t="n"/>
      <c r="T5" s="0" t="n"/>
      <c r="U5" s="0" t="n"/>
      <c r="V5" s="0" t="n"/>
      <c r="W5" s="0" t="n"/>
      <c r="X5" s="0" t="n"/>
      <c r="Y5" s="0" t="n"/>
      <c r="Z5" s="0" t="n"/>
      <c r="AA5" s="0" t="n"/>
      <c r="AB5" s="0" t="n"/>
      <c r="AC5" s="0" t="n"/>
      <c r="AD5" s="0" t="n"/>
      <c r="AE5" s="0" t="n"/>
      <c r="AF5" s="0" t="n"/>
      <c r="AG5" s="0" t="n"/>
      <c r="AH5" s="0" t="n"/>
      <c r="AI5" s="0" t="n"/>
      <c r="AJ5" s="0" t="n"/>
      <c r="AK5" s="0" t="n"/>
      <c r="AL5" s="0" t="n"/>
      <c r="AM5" s="0" t="n"/>
      <c r="AN5" s="0" t="n"/>
      <c r="AO5" s="0" t="n"/>
      <c r="AP5" s="0" t="n"/>
      <c r="AQ5" s="0" t="n"/>
      <c r="AR5" s="0" t="n"/>
      <c r="AS5" s="0" t="n"/>
      <c r="AT5" s="0" t="n"/>
      <c r="AU5" s="0" t="n"/>
      <c r="AV5" s="0" t="n"/>
      <c r="AW5" s="0" t="n"/>
      <c r="AX5" s="0" t="n"/>
      <c r="AY5" s="0" t="n"/>
      <c r="AZ5" s="0" t="n"/>
      <c r="BA5" s="0" t="n"/>
      <c r="BB5" s="0" t="n"/>
      <c r="BC5" s="0" t="n"/>
      <c r="BD5" s="0" t="n"/>
    </row>
    <row r="6" ht="15" customHeight="1" s="292">
      <c r="B6" s="0" t="n"/>
      <c r="C6" s="0" t="n"/>
      <c r="D6" s="15" t="inlineStr">
        <is>
          <t>종합 고객불만지수(CCI) 현황</t>
        </is>
      </c>
      <c r="E6" s="79" t="n"/>
      <c r="F6" s="79" t="n"/>
      <c r="G6" s="79" t="n"/>
      <c r="H6" s="79" t="n"/>
      <c r="I6" s="79" t="n"/>
      <c r="J6" s="79" t="n"/>
      <c r="K6" s="79" t="n"/>
      <c r="L6" s="79" t="n"/>
      <c r="M6" s="79" t="n"/>
      <c r="N6" s="79" t="n"/>
      <c r="O6" s="79" t="n"/>
      <c r="P6" s="79" t="n"/>
      <c r="Q6" s="79" t="n"/>
      <c r="R6" s="79" t="n"/>
      <c r="S6" s="79" t="n"/>
      <c r="T6" s="79" t="n"/>
      <c r="U6" s="79" t="n"/>
      <c r="V6" s="79" t="n"/>
      <c r="W6" s="79" t="n"/>
      <c r="X6" s="79" t="n"/>
      <c r="Y6" s="79" t="n"/>
      <c r="Z6" s="79" t="n"/>
      <c r="AA6" s="79" t="n"/>
      <c r="AB6" s="79" t="n"/>
      <c r="AC6" s="79" t="n"/>
      <c r="AD6" s="79" t="n"/>
      <c r="AE6" s="79" t="n"/>
      <c r="AF6" s="80" t="n"/>
      <c r="AG6" s="80" t="n"/>
      <c r="AH6" s="79" t="n"/>
      <c r="AI6" s="79" t="n"/>
      <c r="AJ6" s="79" t="n"/>
      <c r="AK6" s="79" t="n"/>
      <c r="AL6" s="79" t="n"/>
      <c r="AM6" s="79" t="n"/>
      <c r="AN6" s="79" t="n"/>
      <c r="AO6" s="79" t="n"/>
      <c r="AP6" s="79" t="n"/>
      <c r="AQ6" s="79" t="n"/>
      <c r="AR6" s="79" t="n"/>
      <c r="AS6" s="79" t="n"/>
      <c r="AT6" s="79" t="n"/>
      <c r="AU6" s="79" t="n"/>
      <c r="AV6" s="79" t="n"/>
      <c r="AW6" s="79" t="n"/>
      <c r="AX6" s="79" t="n"/>
      <c r="AY6" s="79" t="n"/>
      <c r="AZ6" s="79" t="n"/>
      <c r="BA6" s="79" t="n"/>
      <c r="BB6" s="79" t="n"/>
      <c r="BC6" s="79" t="n"/>
      <c r="BD6" s="81" t="inlineStr">
        <is>
          <t>* 고객불만지수는 불만 VOC 비율로, 높을수록 고객불만 증가 의미</t>
        </is>
      </c>
    </row>
    <row r="7" ht="15" customHeight="1" s="292">
      <c r="B7" s="43" t="n"/>
      <c r="C7" s="43" t="n"/>
      <c r="D7" s="43" t="n"/>
      <c r="E7" s="43" t="n"/>
      <c r="F7" s="43" t="n"/>
      <c r="G7" s="43" t="n"/>
      <c r="H7" s="43" t="n"/>
      <c r="I7" s="43" t="n"/>
      <c r="J7" s="43" t="n"/>
      <c r="K7" s="43" t="n"/>
      <c r="L7" s="43" t="n"/>
      <c r="M7" s="43" t="n"/>
      <c r="N7" s="43" t="n"/>
      <c r="BG7" s="161" t="inlineStr">
        <is>
          <t>기준월</t>
        </is>
      </c>
      <c r="BH7" s="161" t="inlineStr">
        <is>
          <t>칭찬</t>
        </is>
      </c>
      <c r="BI7" s="161" t="inlineStr">
        <is>
          <t>불만</t>
        </is>
      </c>
      <c r="BJ7" s="161" t="inlineStr">
        <is>
          <t>개선</t>
        </is>
      </c>
      <c r="BK7" s="161" t="inlineStr">
        <is>
          <t>기타</t>
        </is>
      </c>
      <c r="BL7" s="161" t="inlineStr">
        <is>
          <t>CCI</t>
        </is>
      </c>
      <c r="BM7" s="161" t="inlineStr">
        <is>
          <t>누적CCI</t>
        </is>
      </c>
    </row>
    <row r="8" ht="15" customHeight="1" s="292">
      <c r="B8" s="43" t="n"/>
      <c r="C8" s="43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  <c r="M8" s="43" t="n"/>
      <c r="N8" s="43" t="n"/>
      <c r="BG8" s="161" t="inlineStr">
        <is>
          <t>1월</t>
        </is>
      </c>
      <c r="BH8" s="320" t="n">
        <v>45.8</v>
      </c>
      <c r="BI8" s="320" t="n">
        <v>19.5</v>
      </c>
      <c r="BJ8" s="320" t="n">
        <v>11.8</v>
      </c>
      <c r="BK8" s="320" t="n">
        <v>22.9</v>
      </c>
      <c r="BL8" s="320" t="n">
        <v>19.5</v>
      </c>
      <c r="BM8" s="320" t="n">
        <v>36</v>
      </c>
    </row>
    <row r="9" ht="15" customHeight="1" s="292"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BG9" s="161" t="inlineStr">
        <is>
          <t>2월</t>
        </is>
      </c>
      <c r="BH9" s="320" t="n">
        <v>48.9</v>
      </c>
      <c r="BI9" s="320" t="n">
        <v>16.6</v>
      </c>
      <c r="BJ9" s="320" t="n">
        <v>8.699999999999999</v>
      </c>
      <c r="BK9" s="320" t="n">
        <v>25.8</v>
      </c>
      <c r="BL9" s="320" t="n">
        <v>16.6</v>
      </c>
      <c r="BM9" s="320" t="n">
        <v>36</v>
      </c>
    </row>
    <row r="10" ht="15" customHeight="1" s="292">
      <c r="B10" s="43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  <c r="M10" s="43" t="n"/>
      <c r="N10" s="43" t="n"/>
      <c r="BG10" s="161" t="inlineStr">
        <is>
          <t>3월</t>
        </is>
      </c>
      <c r="BH10" s="321" t="inlineStr"/>
      <c r="BI10" s="321" t="inlineStr"/>
      <c r="BJ10" s="321" t="inlineStr"/>
      <c r="BK10" s="321" t="inlineStr"/>
      <c r="BL10" s="321" t="inlineStr"/>
      <c r="BM10" s="321" t="inlineStr"/>
    </row>
    <row r="11" ht="15" customHeight="1" s="292">
      <c r="B11" s="43" t="n"/>
      <c r="C11" s="43" t="n"/>
      <c r="D11" s="43" t="n"/>
      <c r="E11" s="43" t="n"/>
      <c r="F11" s="43" t="n"/>
      <c r="G11" s="43" t="n"/>
      <c r="H11" s="43" t="n"/>
      <c r="I11" s="164" t="inlineStr">
        <is>
          <t>CCI</t>
        </is>
      </c>
      <c r="J11" s="43" t="n"/>
      <c r="K11" s="43" t="n"/>
      <c r="L11" s="43" t="n"/>
      <c r="M11" s="43" t="n"/>
      <c r="N11" s="43" t="n"/>
      <c r="BG11" s="161" t="inlineStr">
        <is>
          <t>4월</t>
        </is>
      </c>
      <c r="BH11" s="321" t="inlineStr"/>
      <c r="BI11" s="321" t="inlineStr"/>
      <c r="BJ11" s="321" t="inlineStr"/>
      <c r="BK11" s="321" t="inlineStr"/>
      <c r="BL11" s="321" t="inlineStr"/>
      <c r="BM11" s="321" t="inlineStr"/>
    </row>
    <row r="12" ht="15" customHeight="1" s="292">
      <c r="B12" s="43" t="n"/>
      <c r="C12" s="43" t="n"/>
      <c r="D12" s="43" t="n"/>
      <c r="E12" s="43" t="n"/>
      <c r="F12" s="322" t="n">
        <v>36</v>
      </c>
      <c r="M12" s="43" t="n"/>
      <c r="N12" s="43" t="n"/>
      <c r="BG12" s="161" t="inlineStr">
        <is>
          <t>5월</t>
        </is>
      </c>
      <c r="BH12" s="321" t="inlineStr"/>
      <c r="BI12" s="321" t="inlineStr"/>
      <c r="BJ12" s="321" t="inlineStr"/>
      <c r="BK12" s="321" t="inlineStr"/>
      <c r="BL12" s="321" t="inlineStr"/>
      <c r="BM12" s="321" t="inlineStr"/>
    </row>
    <row r="13" ht="15" customHeight="1" s="292">
      <c r="B13" s="43" t="n"/>
      <c r="C13" s="43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  <c r="M13" s="43" t="n"/>
      <c r="N13" s="43" t="n"/>
      <c r="BG13" s="161" t="inlineStr">
        <is>
          <t>6월</t>
        </is>
      </c>
      <c r="BH13" s="321" t="inlineStr"/>
      <c r="BI13" s="321" t="inlineStr"/>
      <c r="BJ13" s="321" t="inlineStr"/>
      <c r="BK13" s="321" t="inlineStr"/>
      <c r="BL13" s="321" t="inlineStr"/>
      <c r="BM13" s="321" t="inlineStr"/>
    </row>
    <row r="14" ht="15" customHeight="1" s="292">
      <c r="BG14" s="161" t="inlineStr">
        <is>
          <t>7월</t>
        </is>
      </c>
      <c r="BH14" s="321" t="inlineStr"/>
      <c r="BI14" s="321" t="inlineStr"/>
      <c r="BJ14" s="321" t="inlineStr"/>
      <c r="BK14" s="321" t="inlineStr"/>
      <c r="BL14" s="321" t="inlineStr"/>
      <c r="BM14" s="321" t="inlineStr"/>
    </row>
    <row r="15" ht="15" customHeight="1" s="292">
      <c r="BG15" s="161" t="inlineStr">
        <is>
          <t>8월</t>
        </is>
      </c>
      <c r="BH15" s="321" t="inlineStr"/>
      <c r="BI15" s="321" t="inlineStr"/>
      <c r="BJ15" s="321" t="inlineStr"/>
      <c r="BK15" s="321" t="inlineStr"/>
      <c r="BL15" s="321" t="inlineStr"/>
      <c r="BM15" s="321" t="inlineStr"/>
    </row>
    <row r="16" ht="15" customHeight="1" s="292">
      <c r="BG16" s="161" t="inlineStr">
        <is>
          <t>9월</t>
        </is>
      </c>
      <c r="BH16" s="321" t="inlineStr"/>
      <c r="BI16" s="321" t="inlineStr"/>
      <c r="BJ16" s="321" t="inlineStr"/>
      <c r="BK16" s="321" t="inlineStr"/>
      <c r="BL16" s="321" t="inlineStr"/>
      <c r="BM16" s="321" t="inlineStr"/>
    </row>
    <row r="17" ht="15" customHeight="1" s="292">
      <c r="BG17" s="161" t="inlineStr">
        <is>
          <t>10월</t>
        </is>
      </c>
      <c r="BH17" s="321" t="inlineStr"/>
      <c r="BI17" s="321" t="inlineStr"/>
      <c r="BJ17" s="321" t="inlineStr"/>
      <c r="BK17" s="321" t="inlineStr"/>
      <c r="BL17" s="321" t="inlineStr"/>
      <c r="BM17" s="321" t="inlineStr"/>
    </row>
    <row r="18" ht="15" customHeight="1" s="292">
      <c r="BG18" s="161" t="inlineStr">
        <is>
          <t>11월</t>
        </is>
      </c>
      <c r="BH18" s="321" t="inlineStr"/>
      <c r="BI18" s="321" t="inlineStr"/>
      <c r="BJ18" s="321" t="inlineStr"/>
      <c r="BK18" s="321" t="inlineStr"/>
      <c r="BL18" s="321" t="inlineStr"/>
      <c r="BM18" s="321" t="inlineStr"/>
    </row>
    <row r="19" ht="15" customHeight="1" s="292">
      <c r="D19" s="15" t="inlineStr">
        <is>
          <t>월별 고객 VOC 유형 분류</t>
        </is>
      </c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  <c r="AO19" s="66" t="n"/>
      <c r="AP19" s="66" t="n"/>
      <c r="AQ19" s="66" t="n"/>
      <c r="AR19" s="66" t="n"/>
      <c r="AS19" s="66" t="n"/>
      <c r="AT19" s="66" t="n"/>
      <c r="AU19" s="66" t="n"/>
      <c r="AV19" s="66" t="n"/>
      <c r="AW19" s="66" t="n"/>
      <c r="AX19" s="66" t="n"/>
      <c r="AY19" s="66" t="n"/>
      <c r="AZ19" s="66" t="n"/>
      <c r="BA19" s="66" t="n"/>
      <c r="BB19" s="66" t="n"/>
      <c r="BC19" s="66" t="n"/>
      <c r="BD19" s="66" t="n"/>
      <c r="BG19" s="161" t="inlineStr">
        <is>
          <t>12월</t>
        </is>
      </c>
      <c r="BH19" s="321" t="inlineStr"/>
      <c r="BI19" s="321" t="inlineStr"/>
      <c r="BJ19" s="321" t="inlineStr"/>
      <c r="BK19" s="321" t="inlineStr"/>
      <c r="BL19" s="321" t="inlineStr"/>
      <c r="BM19" s="321" t="inlineStr"/>
    </row>
    <row r="20" ht="15" customHeight="1" s="292">
      <c r="BG20" s="161" t="inlineStr">
        <is>
          <t>누적</t>
        </is>
      </c>
      <c r="BH20" s="320" t="n">
        <v>27.9</v>
      </c>
      <c r="BI20" s="320" t="n">
        <v>36</v>
      </c>
      <c r="BJ20" s="320" t="n">
        <v>29.3</v>
      </c>
      <c r="BK20" s="320" t="n">
        <v>6.9</v>
      </c>
      <c r="BL20" s="320" t="n">
        <v>36</v>
      </c>
      <c r="BM20" s="320" t="n">
        <v>36</v>
      </c>
    </row>
    <row r="21"/>
    <row r="22"/>
    <row r="23"/>
    <row r="24"/>
    <row r="25" ht="15" customHeight="1" s="292">
      <c r="G25" s="65" t="n"/>
    </row>
    <row r="26" ht="15" customHeight="1" s="292">
      <c r="T26" s="65" t="n"/>
    </row>
    <row r="27"/>
    <row r="28"/>
    <row r="29"/>
    <row r="30"/>
    <row r="31"/>
    <row r="32"/>
    <row r="33"/>
    <row r="34" ht="15" customHeight="1" s="292">
      <c r="D34" s="5" t="inlineStr">
        <is>
          <t>【채널별 CCI】 25. 2월말 현재 종합 CCI는 16.6점으로 관리 필요 수준이며, 2월 중 전월 대비 -2.9점 개선</t>
        </is>
      </c>
      <c r="E34" s="0" t="n"/>
      <c r="F34" s="0" t="n"/>
      <c r="G34" s="0" t="n"/>
      <c r="H34" s="0" t="n"/>
      <c r="I34" s="0" t="n"/>
      <c r="J34" s="0" t="n"/>
      <c r="K34" s="78" t="n"/>
      <c r="L34" s="0" t="n"/>
      <c r="M34" s="0" t="n"/>
      <c r="N34" s="0" t="n"/>
      <c r="O34" s="0" t="n"/>
      <c r="P34" s="0" t="n"/>
      <c r="Q34" s="0" t="n"/>
      <c r="R34" s="0" t="n"/>
      <c r="S34" s="0" t="n"/>
      <c r="T34" s="0" t="n"/>
      <c r="U34" s="0" t="n"/>
      <c r="V34" s="0" t="n"/>
      <c r="W34" s="0" t="n"/>
      <c r="X34" s="0" t="n"/>
      <c r="Y34" s="0" t="n"/>
      <c r="Z34" s="0" t="n"/>
      <c r="AA34" s="0" t="n"/>
      <c r="AB34" s="0" t="n"/>
      <c r="AC34" s="0" t="n"/>
      <c r="AD34" s="0" t="n"/>
      <c r="AE34" s="0" t="n"/>
      <c r="AF34" s="0" t="n"/>
      <c r="AG34" s="0" t="n"/>
      <c r="AH34" s="0" t="n"/>
      <c r="AI34" s="0" t="n"/>
      <c r="AJ34" s="0" t="n"/>
      <c r="AK34" s="0" t="n"/>
      <c r="AL34" s="0" t="n"/>
      <c r="AM34" s="0" t="n"/>
      <c r="AN34" s="0" t="n"/>
      <c r="AO34" s="0" t="n"/>
      <c r="AP34" s="0" t="n"/>
      <c r="AQ34" s="0" t="n"/>
      <c r="AR34" s="0" t="n"/>
      <c r="AS34" s="0" t="n"/>
      <c r="AT34" s="0" t="n"/>
      <c r="AU34" s="0" t="n"/>
      <c r="AV34" s="0" t="n"/>
      <c r="AW34" s="0" t="n"/>
      <c r="AX34" s="0" t="n"/>
      <c r="AY34" s="0" t="n"/>
      <c r="AZ34" s="0" t="n"/>
      <c r="BA34" s="0" t="n"/>
      <c r="BB34" s="0" t="n"/>
    </row>
    <row r="35" ht="15" customHeight="1" s="292">
      <c r="D35" s="15" t="inlineStr">
        <is>
          <t>월별 채널 CCI</t>
        </is>
      </c>
      <c r="E35" s="79" t="n"/>
      <c r="F35" s="79" t="n"/>
      <c r="G35" s="79" t="n"/>
      <c r="H35" s="79" t="n"/>
      <c r="I35" s="79" t="n"/>
      <c r="J35" s="79" t="n"/>
      <c r="K35" s="79" t="n"/>
      <c r="L35" s="79" t="n"/>
      <c r="M35" s="79" t="n"/>
      <c r="N35" s="79" t="n"/>
      <c r="O35" s="79" t="n"/>
      <c r="P35" s="79" t="n"/>
      <c r="Q35" s="79" t="n"/>
      <c r="R35" s="79" t="n"/>
      <c r="S35" s="79" t="n"/>
      <c r="T35" s="79" t="n"/>
      <c r="U35" s="79" t="n"/>
      <c r="V35" s="79" t="n"/>
      <c r="W35" s="79" t="n"/>
      <c r="X35" s="79" t="n"/>
      <c r="Y35" s="79" t="n"/>
      <c r="Z35" s="79" t="n"/>
      <c r="AA35" s="79" t="n"/>
      <c r="AB35" s="79" t="n"/>
      <c r="AC35" s="79" t="n"/>
      <c r="AD35" s="79" t="n"/>
      <c r="AE35" s="79" t="n"/>
      <c r="AF35" s="79" t="n"/>
      <c r="AG35" s="79" t="n"/>
      <c r="AH35" s="79" t="n"/>
      <c r="AI35" s="79" t="n"/>
      <c r="AJ35" s="79" t="n"/>
      <c r="AK35" s="79" t="n"/>
      <c r="AL35" s="79" t="n"/>
      <c r="AM35" s="79" t="n"/>
      <c r="AN35" s="79" t="n"/>
      <c r="AO35" s="79" t="n"/>
      <c r="AP35" s="79" t="n"/>
      <c r="AQ35" s="79" t="n"/>
      <c r="AR35" s="79" t="n"/>
      <c r="AS35" s="79" t="n"/>
      <c r="AT35" s="79" t="n"/>
      <c r="AU35" s="79" t="n"/>
      <c r="AV35" s="79" t="n"/>
      <c r="AW35" s="79" t="n"/>
      <c r="AX35" s="79" t="n"/>
      <c r="AY35" s="79" t="n"/>
      <c r="AZ35" s="79" t="n"/>
      <c r="BA35" s="79" t="n"/>
      <c r="BB35" s="79" t="n"/>
      <c r="BC35" s="66" t="n"/>
      <c r="BD35" s="66" t="n"/>
    </row>
    <row r="36" ht="3" customHeight="1" s="292">
      <c r="D36" s="0" t="n"/>
      <c r="E36" s="0" t="n"/>
      <c r="F36" s="0" t="n"/>
      <c r="G36" s="0" t="n"/>
      <c r="H36" s="0" t="n"/>
      <c r="I36" s="0" t="n"/>
      <c r="J36" s="0" t="n"/>
      <c r="K36" s="0" t="n"/>
      <c r="L36" s="0" t="n"/>
      <c r="M36" s="0" t="n"/>
      <c r="N36" s="0" t="n"/>
      <c r="O36" s="0" t="n"/>
      <c r="P36" s="0" t="n"/>
      <c r="Q36" s="0" t="n"/>
      <c r="R36" s="0" t="n"/>
      <c r="S36" s="0" t="n"/>
      <c r="T36" s="0" t="n"/>
      <c r="U36" s="0" t="n"/>
      <c r="V36" s="0" t="n"/>
      <c r="W36" s="0" t="n"/>
      <c r="X36" s="0" t="n"/>
      <c r="Y36" s="0" t="n"/>
      <c r="Z36" s="0" t="n"/>
      <c r="AA36" s="0" t="n"/>
      <c r="AB36" s="0" t="n"/>
      <c r="AC36" s="0" t="n"/>
      <c r="AD36" s="0" t="n"/>
      <c r="AE36" s="0" t="n"/>
      <c r="AF36" s="0" t="n"/>
      <c r="AG36" s="0" t="n"/>
      <c r="AH36" s="0" t="n"/>
      <c r="AI36" s="0" t="n"/>
      <c r="AJ36" s="0" t="n"/>
      <c r="AK36" s="0" t="n"/>
      <c r="AL36" s="0" t="n"/>
      <c r="AM36" s="0" t="n"/>
      <c r="AN36" s="0" t="n"/>
      <c r="AO36" s="0" t="n"/>
      <c r="AP36" s="0" t="n"/>
      <c r="AQ36" s="0" t="n"/>
      <c r="AR36" s="0" t="n"/>
      <c r="AS36" s="0" t="n"/>
      <c r="AT36" s="0" t="n"/>
      <c r="AU36" s="0" t="n"/>
      <c r="AV36" s="0" t="n"/>
      <c r="AW36" s="0" t="n"/>
      <c r="AX36" s="0" t="n"/>
      <c r="AY36" s="0" t="n"/>
      <c r="AZ36" s="0" t="n"/>
      <c r="BA36" s="0" t="n"/>
      <c r="BB36" s="0" t="n"/>
      <c r="BC36" s="0" t="n"/>
      <c r="BD36" s="0" t="n"/>
      <c r="BG36" s="0" t="n"/>
      <c r="BL36" s="323" t="n"/>
      <c r="BM36" s="323" t="n"/>
    </row>
    <row r="37" ht="15" customHeight="1" s="292">
      <c r="D37" s="28" t="inlineStr">
        <is>
          <t>구분(점)</t>
        </is>
      </c>
      <c r="E37" s="28" t="n"/>
      <c r="F37" s="28" t="n"/>
      <c r="G37" s="28" t="n"/>
      <c r="H37" s="28" t="n"/>
      <c r="I37" s="28" t="n"/>
      <c r="J37" s="28" t="n"/>
      <c r="K37" s="29" t="inlineStr">
        <is>
          <t>1월</t>
        </is>
      </c>
      <c r="L37" s="30" t="n"/>
      <c r="M37" s="32" t="n"/>
      <c r="N37" s="33" t="inlineStr">
        <is>
          <t>2월</t>
        </is>
      </c>
      <c r="O37" s="30" t="n"/>
      <c r="P37" s="32" t="n"/>
      <c r="Q37" s="33" t="inlineStr">
        <is>
          <t>3월</t>
        </is>
      </c>
      <c r="R37" s="30" t="n"/>
      <c r="S37" s="32" t="n"/>
      <c r="T37" s="33" t="inlineStr">
        <is>
          <t>4월</t>
        </is>
      </c>
      <c r="U37" s="30" t="n"/>
      <c r="V37" s="32" t="n"/>
      <c r="W37" s="33" t="inlineStr">
        <is>
          <t>5월</t>
        </is>
      </c>
      <c r="X37" s="30" t="n"/>
      <c r="Y37" s="32" t="n"/>
      <c r="Z37" s="33" t="inlineStr">
        <is>
          <t>6월</t>
        </is>
      </c>
      <c r="AA37" s="30" t="n"/>
      <c r="AB37" s="32" t="n"/>
      <c r="AC37" s="33" t="inlineStr">
        <is>
          <t>7월</t>
        </is>
      </c>
      <c r="AD37" s="30" t="n"/>
      <c r="AE37" s="32" t="n"/>
      <c r="AF37" s="33" t="inlineStr">
        <is>
          <t>8월</t>
        </is>
      </c>
      <c r="AG37" s="30" t="n"/>
      <c r="AH37" s="32" t="n"/>
      <c r="AI37" s="33" t="inlineStr">
        <is>
          <t>9월</t>
        </is>
      </c>
      <c r="AJ37" s="30" t="n"/>
      <c r="AK37" s="32" t="n"/>
      <c r="AL37" s="33" t="inlineStr">
        <is>
          <t>10월</t>
        </is>
      </c>
      <c r="AM37" s="30" t="n"/>
      <c r="AN37" s="32" t="n"/>
      <c r="AO37" s="33" t="inlineStr">
        <is>
          <t>11월</t>
        </is>
      </c>
      <c r="AP37" s="30" t="n"/>
      <c r="AQ37" s="32" t="n"/>
      <c r="AR37" s="33" t="inlineStr">
        <is>
          <t>12월</t>
        </is>
      </c>
      <c r="AS37" s="30" t="n"/>
      <c r="AT37" s="32" t="n"/>
      <c r="AU37" s="29" t="inlineStr">
        <is>
          <t>누적</t>
        </is>
      </c>
      <c r="AV37" s="30" t="n"/>
      <c r="AW37" s="30" t="n"/>
      <c r="AX37" s="31" t="n"/>
      <c r="AY37" s="29" t="inlineStr">
        <is>
          <t>1월 대비</t>
        </is>
      </c>
      <c r="AZ37" s="30" t="n"/>
      <c r="BA37" s="30" t="n"/>
      <c r="BB37" s="30" t="n"/>
    </row>
    <row r="38" ht="15" customHeight="1" s="292">
      <c r="D38" s="69" t="inlineStr">
        <is>
          <t>KB스타뱅킹</t>
        </is>
      </c>
      <c r="E38" s="70" t="n"/>
      <c r="F38" s="71" t="n"/>
      <c r="G38" s="71" t="n"/>
      <c r="H38" s="71" t="n"/>
      <c r="I38" s="71" t="n"/>
      <c r="J38" s="12" t="n"/>
      <c r="K38" s="305" t="n">
        <v>16.6</v>
      </c>
      <c r="M38" s="306" t="n"/>
      <c r="N38" s="305" t="n">
        <v>4.2</v>
      </c>
      <c r="P38" s="306" t="n"/>
      <c r="Q38" s="307" t="inlineStr"/>
      <c r="S38" s="306" t="n"/>
      <c r="T38" s="307" t="inlineStr"/>
      <c r="V38" s="306" t="n"/>
      <c r="W38" s="307" t="inlineStr"/>
      <c r="Y38" s="306" t="n"/>
      <c r="Z38" s="307" t="inlineStr"/>
      <c r="AB38" s="306" t="n"/>
      <c r="AC38" s="307" t="inlineStr"/>
      <c r="AE38" s="306" t="n"/>
      <c r="AF38" s="307" t="inlineStr"/>
      <c r="AH38" s="306" t="n"/>
      <c r="AI38" s="307" t="inlineStr"/>
      <c r="AK38" s="306" t="n"/>
      <c r="AL38" s="307" t="inlineStr"/>
      <c r="AN38" s="306" t="n"/>
      <c r="AO38" s="307" t="inlineStr"/>
      <c r="AQ38" s="306" t="n"/>
      <c r="AR38" s="171" t="inlineStr"/>
      <c r="AT38" s="308" t="n"/>
      <c r="AU38" s="340" t="n">
        <v>-7.3</v>
      </c>
      <c r="AV38" s="159" t="n"/>
      <c r="AW38" s="159" t="n"/>
      <c r="AX38" s="302" t="n"/>
      <c r="AY38" s="341" t="n">
        <v>-23.9</v>
      </c>
      <c r="AZ38" s="159" t="n"/>
      <c r="BA38" s="159" t="n"/>
      <c r="BB38" s="159" t="n"/>
    </row>
    <row r="39" ht="15" customHeight="1" s="292">
      <c r="D39" s="69" t="inlineStr">
        <is>
          <t>영업점</t>
        </is>
      </c>
      <c r="E39" s="70" t="n"/>
      <c r="F39" s="71" t="n"/>
      <c r="G39" s="71" t="n"/>
      <c r="H39" s="71" t="n"/>
      <c r="I39" s="71" t="n"/>
      <c r="J39" s="12" t="n"/>
      <c r="K39" s="305" t="n">
        <v>23.7</v>
      </c>
      <c r="M39" s="306" t="n"/>
      <c r="N39" s="305" t="n">
        <v>19.9</v>
      </c>
      <c r="P39" s="306" t="n"/>
      <c r="Q39" s="307" t="inlineStr"/>
      <c r="S39" s="306" t="n"/>
      <c r="T39" s="307" t="inlineStr"/>
      <c r="V39" s="306" t="n"/>
      <c r="W39" s="307" t="inlineStr"/>
      <c r="Y39" s="306" t="n"/>
      <c r="Z39" s="307" t="inlineStr"/>
      <c r="AB39" s="306" t="n"/>
      <c r="AC39" s="307" t="inlineStr"/>
      <c r="AE39" s="306" t="n"/>
      <c r="AF39" s="307" t="inlineStr"/>
      <c r="AH39" s="306" t="n"/>
      <c r="AI39" s="307" t="inlineStr"/>
      <c r="AK39" s="306" t="n"/>
      <c r="AL39" s="307" t="inlineStr"/>
      <c r="AN39" s="306" t="n"/>
      <c r="AO39" s="307" t="inlineStr"/>
      <c r="AQ39" s="306" t="n"/>
      <c r="AR39" s="171" t="inlineStr"/>
      <c r="AT39" s="308" t="n"/>
      <c r="AU39" s="309" t="n">
        <v>50.5</v>
      </c>
      <c r="AX39" s="308" t="n"/>
      <c r="AY39" s="328" t="n">
        <v>26.8</v>
      </c>
    </row>
    <row r="40" ht="15" customHeight="1" s="292">
      <c r="D40" s="69" t="inlineStr">
        <is>
          <t>고객센터</t>
        </is>
      </c>
      <c r="E40" s="70" t="n"/>
      <c r="F40" s="71" t="n"/>
      <c r="G40" s="71" t="n"/>
      <c r="H40" s="71" t="n"/>
      <c r="I40" s="71" t="n"/>
      <c r="J40" s="12" t="n"/>
      <c r="K40" s="305" t="n">
        <v>40</v>
      </c>
      <c r="M40" s="306" t="n"/>
      <c r="N40" s="305" t="n">
        <v>32.3</v>
      </c>
      <c r="P40" s="306" t="n"/>
      <c r="Q40" s="307" t="inlineStr"/>
      <c r="S40" s="306" t="n"/>
      <c r="T40" s="307" t="inlineStr"/>
      <c r="V40" s="306" t="n"/>
      <c r="W40" s="307" t="inlineStr"/>
      <c r="Y40" s="306" t="n"/>
      <c r="Z40" s="307" t="inlineStr"/>
      <c r="AB40" s="306" t="n"/>
      <c r="AC40" s="307" t="inlineStr"/>
      <c r="AE40" s="306" t="n"/>
      <c r="AF40" s="307" t="inlineStr"/>
      <c r="AH40" s="306" t="n"/>
      <c r="AI40" s="307" t="inlineStr"/>
      <c r="AK40" s="306" t="n"/>
      <c r="AL40" s="307" t="inlineStr"/>
      <c r="AN40" s="306" t="n"/>
      <c r="AO40" s="307" t="inlineStr"/>
      <c r="AQ40" s="306" t="n"/>
      <c r="AR40" s="171" t="inlineStr"/>
      <c r="AT40" s="308" t="n"/>
      <c r="AU40" s="309" t="n">
        <v>-39</v>
      </c>
      <c r="AX40" s="308" t="n"/>
      <c r="AY40" s="328" t="n">
        <v>-79</v>
      </c>
    </row>
    <row r="41" ht="15" customHeight="1" s="292">
      <c r="D41" s="27" t="inlineStr">
        <is>
          <t>상품</t>
        </is>
      </c>
      <c r="E41" s="72" t="n"/>
      <c r="F41" s="11" t="n"/>
      <c r="G41" s="11" t="n"/>
      <c r="H41" s="11" t="n"/>
      <c r="I41" s="11" t="n"/>
      <c r="J41" s="13" t="n"/>
      <c r="K41" s="311" t="n">
        <v>4.3</v>
      </c>
      <c r="L41" s="163" t="n"/>
      <c r="M41" s="312" t="n"/>
      <c r="N41" s="311" t="n">
        <v>4.2</v>
      </c>
      <c r="O41" s="163" t="n"/>
      <c r="P41" s="312" t="n"/>
      <c r="Q41" s="313" t="inlineStr"/>
      <c r="R41" s="163" t="n"/>
      <c r="S41" s="312" t="n"/>
      <c r="T41" s="313" t="inlineStr"/>
      <c r="U41" s="163" t="n"/>
      <c r="V41" s="312" t="n"/>
      <c r="W41" s="313" t="inlineStr"/>
      <c r="X41" s="163" t="n"/>
      <c r="Y41" s="312" t="n"/>
      <c r="Z41" s="313" t="inlineStr"/>
      <c r="AA41" s="163" t="n"/>
      <c r="AB41" s="312" t="n"/>
      <c r="AC41" s="313" t="inlineStr"/>
      <c r="AD41" s="163" t="n"/>
      <c r="AE41" s="312" t="n"/>
      <c r="AF41" s="313" t="inlineStr"/>
      <c r="AG41" s="163" t="n"/>
      <c r="AH41" s="312" t="n"/>
      <c r="AI41" s="313" t="inlineStr"/>
      <c r="AJ41" s="163" t="n"/>
      <c r="AK41" s="312" t="n"/>
      <c r="AL41" s="313" t="inlineStr"/>
      <c r="AM41" s="163" t="n"/>
      <c r="AN41" s="312" t="n"/>
      <c r="AO41" s="313" t="inlineStr"/>
      <c r="AP41" s="163" t="n"/>
      <c r="AQ41" s="312" t="n"/>
      <c r="AR41" s="176" t="inlineStr"/>
      <c r="AS41" s="163" t="n"/>
      <c r="AT41" s="314" t="n"/>
      <c r="AU41" s="315" t="n">
        <v>4.3</v>
      </c>
      <c r="AV41" s="163" t="n"/>
      <c r="AW41" s="163" t="n"/>
      <c r="AX41" s="314" t="n"/>
      <c r="AY41" s="329" t="n">
        <v>0</v>
      </c>
      <c r="AZ41" s="163" t="n"/>
      <c r="BA41" s="163" t="n"/>
      <c r="BB41" s="163" t="n"/>
    </row>
  </sheetData>
  <mergeCells count="57">
    <mergeCell ref="Q38:S38"/>
    <mergeCell ref="AU41:AX41"/>
    <mergeCell ref="K41:M41"/>
    <mergeCell ref="AL41:AN41"/>
    <mergeCell ref="W41:Y41"/>
    <mergeCell ref="K40:M40"/>
    <mergeCell ref="AY40:BB40"/>
    <mergeCell ref="AC39:AE39"/>
    <mergeCell ref="Q40:S40"/>
    <mergeCell ref="AI41:AK41"/>
    <mergeCell ref="AO39:AQ39"/>
    <mergeCell ref="N39:P39"/>
    <mergeCell ref="AC38:AE38"/>
    <mergeCell ref="AR40:AT40"/>
    <mergeCell ref="Z39:AB39"/>
    <mergeCell ref="T40:V40"/>
    <mergeCell ref="AO38:AQ38"/>
    <mergeCell ref="N38:P38"/>
    <mergeCell ref="Z38:AB38"/>
    <mergeCell ref="T41:V41"/>
    <mergeCell ref="AO41:AQ41"/>
    <mergeCell ref="AC40:AE40"/>
    <mergeCell ref="AU39:AX39"/>
    <mergeCell ref="N40:P40"/>
    <mergeCell ref="AF41:AH41"/>
    <mergeCell ref="K39:M39"/>
    <mergeCell ref="AL39:AN39"/>
    <mergeCell ref="AU38:AX38"/>
    <mergeCell ref="AF40:AH40"/>
    <mergeCell ref="W39:Y39"/>
    <mergeCell ref="AF38:AH38"/>
    <mergeCell ref="AL38:AN38"/>
    <mergeCell ref="K38:M38"/>
    <mergeCell ref="AY41:BB41"/>
    <mergeCell ref="W38:Y38"/>
    <mergeCell ref="Q41:S41"/>
    <mergeCell ref="AO40:AQ40"/>
    <mergeCell ref="AR38:AT38"/>
    <mergeCell ref="Z40:AB40"/>
    <mergeCell ref="AR41:AT41"/>
    <mergeCell ref="AU40:AX40"/>
    <mergeCell ref="AC41:AE41"/>
    <mergeCell ref="F12:L12"/>
    <mergeCell ref="AL40:AN40"/>
    <mergeCell ref="AI39:AK39"/>
    <mergeCell ref="W40:Y40"/>
    <mergeCell ref="AY38:BB38"/>
    <mergeCell ref="AF39:AH39"/>
    <mergeCell ref="T39:V39"/>
    <mergeCell ref="AI38:AK38"/>
    <mergeCell ref="T38:V38"/>
    <mergeCell ref="N41:P41"/>
    <mergeCell ref="Z41:AB41"/>
    <mergeCell ref="AY39:BB39"/>
    <mergeCell ref="AI40:AK40"/>
    <mergeCell ref="AR39:AT39"/>
    <mergeCell ref="Q39:S39"/>
  </mergeCells>
  <pageMargins left="0.25" right="0.25" top="0.75" bottom="0.75" header="0.3" footer="0.3"/>
  <pageSetup orientation="portrait" paperSize="9" scale="98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Q41"/>
  <sheetViews>
    <sheetView showGridLines="0" view="pageBreakPreview" zoomScaleNormal="100" zoomScaleSheetLayoutView="100" workbookViewId="0">
      <selection activeCell="AD23" sqref="AD23:AH23"/>
    </sheetView>
  </sheetViews>
  <sheetFormatPr baseColWidth="8" defaultColWidth="9.625" defaultRowHeight="15" customHeight="1"/>
  <cols>
    <col width="1.625" customWidth="1" style="161" min="1" max="57"/>
    <col width="9.625" customWidth="1" style="161" min="58" max="16384"/>
  </cols>
  <sheetData>
    <row r="1" ht="7.5" customHeight="1" s="292"/>
    <row r="2" ht="15" customHeight="1" s="292">
      <c r="B2" s="1" t="inlineStr">
        <is>
          <t>Ⅳ. 고객경험 관리 활동 현황</t>
        </is>
      </c>
      <c r="C2" s="63" t="n"/>
      <c r="D2" s="63" t="n"/>
      <c r="E2" s="63" t="n"/>
      <c r="F2" s="63" t="n"/>
      <c r="G2" s="63" t="n"/>
      <c r="H2" s="63" t="n"/>
      <c r="I2" s="63" t="n"/>
      <c r="J2" s="63" t="n"/>
      <c r="K2" s="63" t="n"/>
      <c r="L2" s="63" t="n"/>
      <c r="M2" s="63" t="n"/>
      <c r="N2" s="63" t="n"/>
      <c r="O2" s="63" t="n"/>
      <c r="P2" s="63" t="n"/>
      <c r="Q2" s="63" t="n"/>
      <c r="R2" s="63" t="n"/>
      <c r="S2" s="63" t="n"/>
      <c r="T2" s="63" t="n"/>
      <c r="U2" s="63" t="n"/>
      <c r="V2" s="63" t="n"/>
      <c r="W2" s="63" t="n"/>
      <c r="X2" s="63" t="n"/>
      <c r="Y2" s="63" t="n"/>
      <c r="Z2" s="63" t="n"/>
      <c r="AA2" s="63" t="n"/>
      <c r="AB2" s="63" t="n"/>
      <c r="AC2" s="63" t="n"/>
      <c r="AD2" s="63" t="n"/>
      <c r="AE2" s="63" t="n"/>
      <c r="AF2" s="63" t="n"/>
      <c r="AG2" s="63" t="n"/>
      <c r="AH2" s="63" t="n"/>
      <c r="AI2" s="63" t="n"/>
      <c r="AJ2" s="63" t="n"/>
      <c r="AK2" s="63" t="n"/>
      <c r="AL2" s="63" t="n"/>
      <c r="AM2" s="63" t="n"/>
      <c r="AN2" s="63" t="n"/>
      <c r="AO2" s="63" t="n"/>
      <c r="AP2" s="63" t="n"/>
      <c r="AQ2" s="63" t="n"/>
      <c r="AR2" s="63" t="n"/>
      <c r="AS2" s="63" t="n"/>
      <c r="AT2" s="63" t="n"/>
      <c r="AU2" s="63" t="n"/>
      <c r="AV2" s="63" t="n"/>
      <c r="AW2" s="63" t="n"/>
      <c r="AX2" s="63" t="n"/>
      <c r="AY2" s="63" t="n"/>
      <c r="AZ2" s="63" t="n"/>
      <c r="BA2" s="63" t="n"/>
      <c r="BB2" s="63" t="n"/>
      <c r="BC2" s="63" t="n"/>
      <c r="BD2" s="63" t="n"/>
    </row>
    <row r="3" ht="5.1" customHeight="1" s="292">
      <c r="N3" s="43" t="n"/>
    </row>
    <row r="4" ht="15" customHeight="1" s="292">
      <c r="B4" s="2" t="inlineStr">
        <is>
          <t>1. 종합</t>
        </is>
      </c>
      <c r="C4" s="64" t="n"/>
      <c r="D4" s="64" t="n"/>
      <c r="E4" s="64" t="n"/>
      <c r="F4" s="64" t="n"/>
      <c r="G4" s="64" t="n"/>
      <c r="H4" s="64" t="n"/>
      <c r="I4" s="64" t="n"/>
      <c r="J4" s="64" t="n"/>
      <c r="K4" s="64" t="n"/>
      <c r="L4" s="64" t="n"/>
      <c r="M4" s="64" t="n"/>
      <c r="N4" s="64" t="n"/>
      <c r="O4" s="64" t="n"/>
      <c r="P4" s="64" t="n"/>
      <c r="Q4" s="64" t="n"/>
      <c r="R4" s="64" t="n"/>
      <c r="S4" s="64" t="n"/>
      <c r="T4" s="64" t="n"/>
      <c r="U4" s="64" t="n"/>
      <c r="V4" s="64" t="n"/>
      <c r="W4" s="64" t="n"/>
      <c r="X4" s="64" t="n"/>
      <c r="Y4" s="64" t="n"/>
      <c r="Z4" s="64" t="n"/>
      <c r="AA4" s="64" t="n"/>
      <c r="AB4" s="64" t="n"/>
      <c r="AC4" s="64" t="n"/>
      <c r="AD4" s="64" t="n"/>
      <c r="AE4" s="64" t="n"/>
      <c r="AF4" s="64" t="n"/>
      <c r="AG4" s="64" t="n"/>
      <c r="AH4" s="64" t="n"/>
      <c r="AI4" s="64" t="n"/>
      <c r="AJ4" s="64" t="n"/>
      <c r="AK4" s="64" t="n"/>
      <c r="AL4" s="64" t="n"/>
      <c r="AM4" s="64" t="n"/>
      <c r="AN4" s="64" t="n"/>
      <c r="AO4" s="64" t="n"/>
      <c r="AP4" s="64" t="n"/>
      <c r="AQ4" s="64" t="n"/>
      <c r="AR4" s="64" t="n"/>
      <c r="AS4" s="64" t="n"/>
      <c r="AT4" s="64" t="n"/>
      <c r="AU4" s="64" t="n"/>
      <c r="AV4" s="64" t="n"/>
      <c r="AW4" s="64" t="n"/>
      <c r="AX4" s="64" t="n"/>
      <c r="AY4" s="64" t="n"/>
      <c r="AZ4" s="64" t="n"/>
      <c r="BA4" s="64" t="n"/>
      <c r="BB4" s="64" t="n"/>
      <c r="BC4" s="64" t="n"/>
      <c r="BD4" s="64" t="n"/>
    </row>
    <row r="5" ht="15" customHeight="1" s="292">
      <c r="B5" s="6" t="n"/>
      <c r="D5" s="78">
        <f>"【NPS 관리활동 현황】 ’26년 2월말 기준 배분 VOC "&amp;BI10&amp;"건 중 "&amp;BJ10&amp;"건("&amp;BK10&amp;") 검토"</f>
        <v/>
      </c>
      <c r="E5" s="43" t="n"/>
      <c r="F5" s="25" t="n"/>
      <c r="G5" s="43" t="n"/>
      <c r="H5" s="43" t="n"/>
      <c r="I5" s="43" t="n"/>
      <c r="J5" s="43" t="n"/>
      <c r="K5" s="43" t="n"/>
      <c r="L5" s="43" t="n"/>
      <c r="M5" s="43" t="n"/>
      <c r="N5" s="43" t="n"/>
    </row>
    <row r="6" ht="15" customHeight="1" s="292">
      <c r="B6" s="6" t="n"/>
      <c r="C6" s="65" t="n"/>
      <c r="D6" s="25" t="inlineStr">
        <is>
          <t>- 전체 검토율 87.8%이며, 고객센터 개선예정 95.6%로 긍정적이나 상품 채널은 현행유지 98.1%로 개선 확대 필요</t>
        </is>
      </c>
      <c r="E6" s="25" t="n"/>
      <c r="F6" s="25" t="n"/>
      <c r="G6" s="43" t="n"/>
      <c r="H6" s="43" t="n"/>
      <c r="I6" s="43" t="n"/>
      <c r="J6" s="43" t="n"/>
      <c r="K6" s="43" t="n"/>
      <c r="L6" s="43" t="n"/>
      <c r="M6" s="43" t="n"/>
      <c r="N6" s="43" t="n"/>
    </row>
    <row r="7" ht="15" customHeight="1" s="292">
      <c r="D7" s="43" t="n"/>
      <c r="E7" s="43" t="n"/>
      <c r="F7" s="43" t="n"/>
      <c r="G7" s="43" t="n"/>
      <c r="H7" s="43" t="n"/>
      <c r="I7" s="43" t="n"/>
      <c r="J7" s="43" t="n"/>
      <c r="K7" s="43" t="n"/>
      <c r="L7" s="43" t="n"/>
      <c r="M7" s="43" t="n"/>
      <c r="N7" s="43" t="n"/>
    </row>
    <row r="8" ht="15" customHeight="1" s="292">
      <c r="B8" s="280" t="inlineStr">
        <is>
          <t>구분</t>
        </is>
      </c>
      <c r="C8" s="342" t="n"/>
      <c r="D8" s="342" t="n"/>
      <c r="E8" s="342" t="n"/>
      <c r="F8" s="342" t="n"/>
      <c r="G8" s="342" t="n"/>
      <c r="H8" s="342" t="n"/>
      <c r="I8" s="343" t="n"/>
      <c r="J8" s="202" t="inlineStr">
        <is>
          <t>사업그룹</t>
        </is>
      </c>
      <c r="K8" s="342" t="n"/>
      <c r="L8" s="342" t="n"/>
      <c r="M8" s="342" t="n"/>
      <c r="N8" s="342" t="n"/>
      <c r="O8" s="342" t="n"/>
      <c r="P8" s="342" t="n"/>
      <c r="Q8" s="342" t="n"/>
      <c r="R8" s="342" t="n"/>
      <c r="S8" s="343" t="n"/>
      <c r="T8" s="202" t="inlineStr">
        <is>
          <t>관리활동(건, %)</t>
        </is>
      </c>
      <c r="U8" s="344" t="n"/>
      <c r="V8" s="344" t="n"/>
      <c r="W8" s="344" t="n"/>
      <c r="X8" s="344" t="n"/>
      <c r="Y8" s="344" t="n"/>
      <c r="Z8" s="344" t="n"/>
      <c r="AA8" s="344" t="n"/>
      <c r="AB8" s="344" t="n"/>
      <c r="AC8" s="344" t="n"/>
      <c r="AD8" s="344" t="n"/>
      <c r="AE8" s="344" t="n"/>
      <c r="AF8" s="344" t="n"/>
      <c r="AG8" s="344" t="n"/>
      <c r="AH8" s="344" t="n"/>
      <c r="AI8" s="344" t="n"/>
      <c r="AJ8" s="344" t="n"/>
      <c r="AK8" s="344" t="n"/>
      <c r="AL8" s="344" t="n"/>
      <c r="AM8" s="344" t="n"/>
      <c r="AN8" s="344" t="n"/>
      <c r="AO8" s="344" t="n"/>
      <c r="AP8" s="344" t="n"/>
      <c r="AQ8" s="344" t="n"/>
      <c r="AR8" s="345" t="n"/>
      <c r="AS8" s="203" t="inlineStr">
        <is>
          <t>Bottom-Up NPS</t>
        </is>
      </c>
      <c r="AT8" s="344" t="n"/>
      <c r="AU8" s="344" t="n"/>
      <c r="AV8" s="344" t="n"/>
      <c r="AW8" s="344" t="n"/>
      <c r="AX8" s="344" t="n"/>
      <c r="AY8" s="344" t="n"/>
      <c r="AZ8" s="344" t="n"/>
      <c r="BA8" s="344" t="n"/>
      <c r="BB8" s="344" t="n"/>
      <c r="BC8" s="344" t="n"/>
      <c r="BD8" s="344" t="n"/>
    </row>
    <row r="9" ht="15" customHeight="1" s="292">
      <c r="B9" s="346" t="n"/>
      <c r="C9" s="346" t="n"/>
      <c r="D9" s="346" t="n"/>
      <c r="E9" s="346" t="n"/>
      <c r="F9" s="346" t="n"/>
      <c r="G9" s="346" t="n"/>
      <c r="H9" s="346" t="n"/>
      <c r="I9" s="347" t="n"/>
      <c r="J9" s="348" t="n"/>
      <c r="K9" s="346" t="n"/>
      <c r="L9" s="346" t="n"/>
      <c r="M9" s="346" t="n"/>
      <c r="N9" s="346" t="n"/>
      <c r="O9" s="346" t="n"/>
      <c r="P9" s="346" t="n"/>
      <c r="Q9" s="346" t="n"/>
      <c r="R9" s="346" t="n"/>
      <c r="S9" s="347" t="n"/>
      <c r="T9" s="202" t="inlineStr">
        <is>
          <t>배분</t>
        </is>
      </c>
      <c r="U9" s="344" t="n"/>
      <c r="V9" s="344" t="n"/>
      <c r="W9" s="344" t="n"/>
      <c r="X9" s="345" t="n"/>
      <c r="Y9" s="202" t="inlineStr">
        <is>
          <t>검토</t>
        </is>
      </c>
      <c r="Z9" s="344" t="n"/>
      <c r="AA9" s="344" t="n"/>
      <c r="AB9" s="344" t="n"/>
      <c r="AC9" s="345" t="n"/>
      <c r="AD9" s="202" t="inlineStr">
        <is>
          <t>현행유지</t>
        </is>
      </c>
      <c r="AE9" s="344" t="n"/>
      <c r="AF9" s="344" t="n"/>
      <c r="AG9" s="344" t="n"/>
      <c r="AH9" s="345" t="n"/>
      <c r="AI9" s="202" t="inlineStr">
        <is>
          <t>개선불가</t>
        </is>
      </c>
      <c r="AJ9" s="344" t="n"/>
      <c r="AK9" s="344" t="n"/>
      <c r="AL9" s="344" t="n"/>
      <c r="AM9" s="345" t="n"/>
      <c r="AN9" s="202" t="inlineStr">
        <is>
          <t>개선예정</t>
        </is>
      </c>
      <c r="AO9" s="344" t="n"/>
      <c r="AP9" s="344" t="n"/>
      <c r="AQ9" s="344" t="n"/>
      <c r="AR9" s="345" t="n"/>
      <c r="AS9" s="202" t="inlineStr">
        <is>
          <t>1월</t>
        </is>
      </c>
      <c r="AT9" s="344" t="n"/>
      <c r="AU9" s="344" t="n"/>
      <c r="AV9" s="345" t="n"/>
      <c r="AW9" s="202" t="inlineStr">
        <is>
          <t>누적</t>
        </is>
      </c>
      <c r="AX9" s="344" t="n"/>
      <c r="AY9" s="344" t="n"/>
      <c r="AZ9" s="345" t="n"/>
      <c r="BA9" s="203" t="inlineStr">
        <is>
          <t>1월 대비</t>
        </is>
      </c>
      <c r="BB9" s="344" t="n"/>
      <c r="BC9" s="344" t="n"/>
      <c r="BD9" s="344" t="n"/>
      <c r="BG9" s="161" t="inlineStr">
        <is>
          <t>채널</t>
        </is>
      </c>
      <c r="BH9" s="161" t="inlineStr">
        <is>
          <t>그룹명</t>
        </is>
      </c>
      <c r="BI9" s="161" t="inlineStr">
        <is>
          <t>배분</t>
        </is>
      </c>
      <c r="BJ9" s="161" t="inlineStr">
        <is>
          <t>검토</t>
        </is>
      </c>
      <c r="BK9" s="161" t="inlineStr">
        <is>
          <t>검토율</t>
        </is>
      </c>
      <c r="BL9" s="161" t="inlineStr">
        <is>
          <t>현행유지</t>
        </is>
      </c>
      <c r="BM9" s="161" t="inlineStr">
        <is>
          <t>현행유지비율</t>
        </is>
      </c>
      <c r="BN9" s="161" t="inlineStr">
        <is>
          <t>개선불가</t>
        </is>
      </c>
      <c r="BO9" s="161" t="inlineStr">
        <is>
          <t>개선불가비율</t>
        </is>
      </c>
      <c r="BP9" s="161" t="inlineStr">
        <is>
          <t>개선예정</t>
        </is>
      </c>
      <c r="BQ9" s="161" t="inlineStr">
        <is>
          <t>개선예정비율</t>
        </is>
      </c>
    </row>
    <row r="10" ht="15" customHeight="1" s="292">
      <c r="B10" s="239" t="inlineStr">
        <is>
          <t>종합</t>
        </is>
      </c>
      <c r="C10" s="344" t="n"/>
      <c r="D10" s="344" t="n"/>
      <c r="E10" s="344" t="n"/>
      <c r="F10" s="344" t="n"/>
      <c r="G10" s="344" t="n"/>
      <c r="H10" s="344" t="n"/>
      <c r="I10" s="345" t="n"/>
      <c r="J10" s="118" t="n"/>
      <c r="K10" s="95" t="n"/>
      <c r="L10" s="95" t="n"/>
      <c r="M10" s="95" t="n"/>
      <c r="N10" s="95" t="n"/>
      <c r="O10" s="95" t="n"/>
      <c r="P10" s="95" t="n"/>
      <c r="Q10" s="95" t="n"/>
      <c r="R10" s="95" t="n"/>
      <c r="S10" s="95" t="n"/>
      <c r="T10" s="349" t="n">
        <v>500</v>
      </c>
      <c r="U10" s="344" t="n"/>
      <c r="V10" s="344" t="n"/>
      <c r="W10" s="344" t="n"/>
      <c r="X10" s="345" t="n"/>
      <c r="Y10" s="205">
        <f>BJ10&amp;"("&amp;BK10&amp;")"</f>
        <v/>
      </c>
      <c r="Z10" s="344" t="n"/>
      <c r="AA10" s="344" t="n"/>
      <c r="AB10" s="344" t="n"/>
      <c r="AC10" s="345" t="n"/>
      <c r="AD10" s="205">
        <f>BL10&amp;"("&amp;BM10&amp;")"</f>
        <v/>
      </c>
      <c r="AE10" s="344" t="n"/>
      <c r="AF10" s="344" t="n"/>
      <c r="AG10" s="344" t="n"/>
      <c r="AH10" s="345" t="n"/>
      <c r="AI10" s="205">
        <f>BN10&amp;"("&amp;BO10&amp;")"</f>
        <v/>
      </c>
      <c r="AJ10" s="344" t="n"/>
      <c r="AK10" s="344" t="n"/>
      <c r="AL10" s="344" t="n"/>
      <c r="AM10" s="345" t="n"/>
      <c r="AN10" s="206">
        <f>BP10&amp;"("&amp;BQ10&amp;")"</f>
        <v/>
      </c>
      <c r="AO10" s="344" t="n"/>
      <c r="AP10" s="344" t="n"/>
      <c r="AQ10" s="344" t="n"/>
      <c r="AR10" s="345" t="n"/>
      <c r="AS10" s="207" t="n"/>
      <c r="AT10" s="344" t="n"/>
      <c r="AU10" s="344" t="n"/>
      <c r="AV10" s="345" t="n"/>
      <c r="AW10" s="207" t="n"/>
      <c r="AX10" s="344" t="n"/>
      <c r="AY10" s="344" t="n"/>
      <c r="AZ10" s="345" t="n"/>
      <c r="BA10" s="208" t="n"/>
      <c r="BG10" s="321" t="inlineStr">
        <is>
          <t>종합</t>
        </is>
      </c>
      <c r="BH10" s="321" t="inlineStr">
        <is>
          <t>합계</t>
        </is>
      </c>
      <c r="BI10" s="350" t="n">
        <v>500</v>
      </c>
      <c r="BJ10" s="350" t="n">
        <v>439</v>
      </c>
      <c r="BK10" s="320" t="n">
        <v>87.8</v>
      </c>
      <c r="BL10" s="350" t="n">
        <v>178</v>
      </c>
      <c r="BM10" s="320" t="n">
        <v>40.5</v>
      </c>
      <c r="BN10" s="350" t="n">
        <v>6</v>
      </c>
      <c r="BO10" s="320" t="n">
        <v>1.4</v>
      </c>
      <c r="BP10" s="350" t="n">
        <v>255</v>
      </c>
      <c r="BQ10" s="320" t="n">
        <v>58.1</v>
      </c>
    </row>
    <row r="11" ht="15" customHeight="1" s="292">
      <c r="B11" s="351" t="inlineStr">
        <is>
          <t>KB스타뱅킹</t>
        </is>
      </c>
      <c r="C11" s="342" t="n"/>
      <c r="D11" s="342" t="n"/>
      <c r="E11" s="342" t="n"/>
      <c r="F11" s="342" t="n"/>
      <c r="G11" s="342" t="n"/>
      <c r="H11" s="342" t="n"/>
      <c r="I11" s="343" t="n"/>
      <c r="J11" s="114" t="inlineStr">
        <is>
          <t>합계</t>
        </is>
      </c>
      <c r="K11" s="115" t="n"/>
      <c r="L11" s="115" t="n"/>
      <c r="M11" s="115" t="n"/>
      <c r="N11" s="115" t="n"/>
      <c r="O11" s="115" t="n"/>
      <c r="P11" s="115" t="n"/>
      <c r="Q11" s="115" t="n"/>
      <c r="R11" s="115" t="n"/>
      <c r="S11" s="115" t="n"/>
      <c r="T11" s="352" t="n">
        <v>43</v>
      </c>
      <c r="U11" s="342" t="n"/>
      <c r="V11" s="342" t="n"/>
      <c r="W11" s="342" t="n"/>
      <c r="X11" s="343" t="n"/>
      <c r="Y11" s="224">
        <f>BJ11&amp;"("&amp;BK11&amp;")"</f>
        <v/>
      </c>
      <c r="Z11" s="342" t="n"/>
      <c r="AA11" s="342" t="n"/>
      <c r="AB11" s="342" t="n"/>
      <c r="AC11" s="343" t="n"/>
      <c r="AD11" s="224">
        <f>BL11&amp;"("&amp;BM11&amp;")"</f>
        <v/>
      </c>
      <c r="AE11" s="342" t="n"/>
      <c r="AF11" s="342" t="n"/>
      <c r="AG11" s="342" t="n"/>
      <c r="AH11" s="343" t="n"/>
      <c r="AI11" s="224">
        <f>BN11&amp;"("&amp;BO11&amp;")"</f>
        <v/>
      </c>
      <c r="AJ11" s="342" t="n"/>
      <c r="AK11" s="342" t="n"/>
      <c r="AL11" s="342" t="n"/>
      <c r="AM11" s="343" t="n"/>
      <c r="AN11" s="210">
        <f>BP11&amp;"("&amp;BQ11&amp;")"</f>
        <v/>
      </c>
      <c r="AO11" s="342" t="n"/>
      <c r="AP11" s="342" t="n"/>
      <c r="AQ11" s="342" t="n"/>
      <c r="AR11" s="343" t="n"/>
      <c r="AS11" s="353" t="n">
        <v>65</v>
      </c>
      <c r="AT11" s="342" t="n"/>
      <c r="AU11" s="342" t="n"/>
      <c r="AV11" s="343" t="n"/>
      <c r="AW11" s="353" t="n">
        <v>65.5</v>
      </c>
      <c r="AX11" s="342" t="n"/>
      <c r="AY11" s="342" t="n"/>
      <c r="AZ11" s="343" t="n"/>
      <c r="BA11" s="354" t="n">
        <v>0.5</v>
      </c>
      <c r="BB11" s="342" t="n"/>
      <c r="BC11" s="342" t="n"/>
      <c r="BD11" s="342" t="n"/>
      <c r="BG11" s="321" t="inlineStr">
        <is>
          <t>KB 스타뱅킹</t>
        </is>
      </c>
      <c r="BH11" s="321" t="inlineStr">
        <is>
          <t>합계</t>
        </is>
      </c>
      <c r="BI11" s="350" t="n">
        <v>43</v>
      </c>
      <c r="BJ11" s="350" t="n">
        <v>34</v>
      </c>
      <c r="BK11" s="320" t="n">
        <v>79.09999999999999</v>
      </c>
      <c r="BL11" s="350" t="n">
        <v>18</v>
      </c>
      <c r="BM11" s="320" t="n">
        <v>52.9</v>
      </c>
      <c r="BN11" s="350" t="n">
        <v>0</v>
      </c>
      <c r="BO11" s="320" t="n">
        <v>0</v>
      </c>
      <c r="BP11" s="350" t="n">
        <v>16</v>
      </c>
      <c r="BQ11" s="320" t="n">
        <v>47.1</v>
      </c>
    </row>
    <row r="12" ht="15" customHeight="1" s="292">
      <c r="I12" s="355" t="n"/>
      <c r="J12" s="116" t="inlineStr">
        <is>
          <t>디지털영업그룹</t>
        </is>
      </c>
      <c r="K12" s="117" t="n"/>
      <c r="L12" s="117" t="n"/>
      <c r="M12" s="117" t="n"/>
      <c r="N12" s="117" t="n"/>
      <c r="O12" s="117" t="n"/>
      <c r="P12" s="117" t="n"/>
      <c r="Q12" s="117" t="n"/>
      <c r="R12" s="117" t="n"/>
      <c r="S12" s="117" t="n"/>
      <c r="T12" s="356" t="n">
        <v>36</v>
      </c>
      <c r="X12" s="355" t="n"/>
      <c r="Y12" s="213">
        <f>BJ12&amp;"("&amp;BK12&amp;")"</f>
        <v/>
      </c>
      <c r="AC12" s="355" t="n"/>
      <c r="AD12" s="213">
        <f>BL12&amp;"("&amp;BM12&amp;")"</f>
        <v/>
      </c>
      <c r="AH12" s="355" t="n"/>
      <c r="AI12" s="213">
        <f>BN12&amp;"("&amp;BO12&amp;")"</f>
        <v/>
      </c>
      <c r="AM12" s="355" t="n"/>
      <c r="AN12" s="214">
        <f>BP12&amp;"("&amp;BQ12&amp;")"</f>
        <v/>
      </c>
      <c r="AR12" s="355" t="n"/>
      <c r="AS12" s="357" t="n"/>
      <c r="AV12" s="355" t="n"/>
      <c r="AW12" s="357" t="n"/>
      <c r="AZ12" s="355" t="n"/>
      <c r="BA12" s="357" t="n"/>
      <c r="BE12" s="111" t="n"/>
      <c r="BG12" s="321" t="inlineStr">
        <is>
          <t>KB 스타뱅킹</t>
        </is>
      </c>
      <c r="BH12" s="321" t="inlineStr">
        <is>
          <t>디지털영업그룹</t>
        </is>
      </c>
      <c r="BI12" s="350" t="n">
        <v>36</v>
      </c>
      <c r="BJ12" s="350" t="n">
        <v>31</v>
      </c>
      <c r="BK12" s="320" t="n">
        <v>86.09999999999999</v>
      </c>
      <c r="BL12" s="350" t="n">
        <v>15</v>
      </c>
      <c r="BM12" s="320" t="n">
        <v>48.4</v>
      </c>
      <c r="BN12" s="350" t="n">
        <v>0</v>
      </c>
      <c r="BO12" s="320" t="n">
        <v>0</v>
      </c>
      <c r="BP12" s="350" t="n">
        <v>16</v>
      </c>
      <c r="BQ12" s="320" t="n">
        <v>51.6</v>
      </c>
    </row>
    <row r="13" ht="15" customHeight="1" s="292">
      <c r="I13" s="355" t="n"/>
      <c r="J13" s="116" t="inlineStr">
        <is>
          <t>개인고객그룹</t>
        </is>
      </c>
      <c r="K13" s="117" t="n"/>
      <c r="L13" s="117" t="n"/>
      <c r="M13" s="117" t="n"/>
      <c r="N13" s="117" t="n"/>
      <c r="O13" s="117" t="n"/>
      <c r="P13" s="117" t="n"/>
      <c r="Q13" s="117" t="n"/>
      <c r="R13" s="117" t="n"/>
      <c r="S13" s="117" t="n"/>
      <c r="T13" s="356" t="n">
        <v>6</v>
      </c>
      <c r="X13" s="355" t="n"/>
      <c r="Y13" s="213">
        <f>BJ13&amp;"("&amp;BK13&amp;")"</f>
        <v/>
      </c>
      <c r="AC13" s="355" t="n"/>
      <c r="AD13" s="213">
        <f>BL13&amp;"("&amp;BM13&amp;")"</f>
        <v/>
      </c>
      <c r="AH13" s="355" t="n"/>
      <c r="AI13" s="213">
        <f>BN13&amp;"("&amp;BO13&amp;")"</f>
        <v/>
      </c>
      <c r="AM13" s="355" t="n"/>
      <c r="AN13" s="214">
        <f>BP13&amp;"("&amp;BQ13&amp;")"</f>
        <v/>
      </c>
      <c r="AR13" s="355" t="n"/>
      <c r="AS13" s="357" t="n"/>
      <c r="AV13" s="355" t="n"/>
      <c r="AW13" s="357" t="n"/>
      <c r="AZ13" s="355" t="n"/>
      <c r="BA13" s="357" t="n"/>
      <c r="BE13" s="111" t="n"/>
      <c r="BG13" s="321" t="inlineStr">
        <is>
          <t>KB 스타뱅킹</t>
        </is>
      </c>
      <c r="BH13" s="321" t="inlineStr">
        <is>
          <t>개인고객그룹</t>
        </is>
      </c>
      <c r="BI13" s="350" t="n">
        <v>6</v>
      </c>
      <c r="BJ13" s="350" t="n">
        <v>2</v>
      </c>
      <c r="BK13" s="320" t="n">
        <v>33.3</v>
      </c>
      <c r="BL13" s="350" t="n">
        <v>2</v>
      </c>
      <c r="BM13" s="320" t="n">
        <v>100</v>
      </c>
      <c r="BN13" s="350" t="n">
        <v>0</v>
      </c>
      <c r="BO13" s="320" t="n">
        <v>0</v>
      </c>
      <c r="BP13" s="350" t="n">
        <v>0</v>
      </c>
      <c r="BQ13" s="320" t="n">
        <v>0</v>
      </c>
    </row>
    <row r="14" ht="15" customHeight="1" s="292">
      <c r="I14" s="355" t="n"/>
      <c r="J14" s="116" t="inlineStr">
        <is>
          <t>WM고객그룹</t>
        </is>
      </c>
      <c r="K14" s="117" t="n"/>
      <c r="L14" s="117" t="n"/>
      <c r="M14" s="117" t="n"/>
      <c r="N14" s="117" t="n"/>
      <c r="O14" s="117" t="n"/>
      <c r="P14" s="117" t="n"/>
      <c r="Q14" s="117" t="n"/>
      <c r="R14" s="117" t="n"/>
      <c r="S14" s="117" t="n"/>
      <c r="T14" s="356" t="n">
        <v>1</v>
      </c>
      <c r="X14" s="355" t="n"/>
      <c r="Y14" s="213">
        <f>BJ14&amp;"("&amp;BK14&amp;")"</f>
        <v/>
      </c>
      <c r="AC14" s="355" t="n"/>
      <c r="AD14" s="213">
        <f>BL14&amp;"("&amp;BM14&amp;")"</f>
        <v/>
      </c>
      <c r="AH14" s="355" t="n"/>
      <c r="AI14" s="213">
        <f>BN14&amp;"("&amp;BO14&amp;")"</f>
        <v/>
      </c>
      <c r="AM14" s="355" t="n"/>
      <c r="AN14" s="214">
        <f>BP14&amp;"("&amp;BQ14&amp;")"</f>
        <v/>
      </c>
      <c r="AR14" s="355" t="n"/>
      <c r="AS14" s="357" t="n"/>
      <c r="AV14" s="355" t="n"/>
      <c r="AW14" s="357" t="n"/>
      <c r="AZ14" s="355" t="n"/>
      <c r="BA14" s="357" t="n"/>
      <c r="BE14" s="111" t="n"/>
      <c r="BG14" s="321" t="inlineStr">
        <is>
          <t>KB 스타뱅킹</t>
        </is>
      </c>
      <c r="BH14" s="321" t="inlineStr">
        <is>
          <t>기업고객그룹</t>
        </is>
      </c>
      <c r="BI14" s="350" t="n">
        <v>1</v>
      </c>
      <c r="BJ14" s="350" t="n">
        <v>1</v>
      </c>
      <c r="BK14" s="320" t="n">
        <v>100</v>
      </c>
      <c r="BL14" s="350" t="n">
        <v>1</v>
      </c>
      <c r="BM14" s="320" t="n">
        <v>100</v>
      </c>
      <c r="BN14" s="350" t="n">
        <v>0</v>
      </c>
      <c r="BO14" s="320" t="n">
        <v>0</v>
      </c>
      <c r="BP14" s="350" t="n">
        <v>0</v>
      </c>
      <c r="BQ14" s="320" t="n">
        <v>0</v>
      </c>
    </row>
    <row r="15" ht="15" customHeight="1" s="292">
      <c r="B15" s="346" t="n"/>
      <c r="C15" s="346" t="n"/>
      <c r="D15" s="346" t="n"/>
      <c r="E15" s="346" t="n"/>
      <c r="F15" s="346" t="n"/>
      <c r="G15" s="346" t="n"/>
      <c r="H15" s="346" t="n"/>
      <c r="I15" s="347" t="n"/>
      <c r="J15" s="112" t="inlineStr">
        <is>
          <t>기업고객그룹</t>
        </is>
      </c>
      <c r="K15" s="113" t="n"/>
      <c r="L15" s="113" t="n"/>
      <c r="M15" s="113" t="n"/>
      <c r="N15" s="113" t="n"/>
      <c r="O15" s="113" t="n"/>
      <c r="P15" s="113" t="n"/>
      <c r="Q15" s="113" t="n"/>
      <c r="R15" s="113" t="n"/>
      <c r="S15" s="113" t="n"/>
      <c r="T15" s="358" t="n">
        <v>140</v>
      </c>
      <c r="U15" s="346" t="n"/>
      <c r="V15" s="346" t="n"/>
      <c r="W15" s="346" t="n"/>
      <c r="X15" s="347" t="n"/>
      <c r="Y15" s="225">
        <f>BJ15&amp;"("&amp;BK15&amp;")"</f>
        <v/>
      </c>
      <c r="Z15" s="346" t="n"/>
      <c r="AA15" s="346" t="n"/>
      <c r="AB15" s="346" t="n"/>
      <c r="AC15" s="347" t="n"/>
      <c r="AD15" s="225">
        <f>BL15&amp;"("&amp;BM15&amp;")"</f>
        <v/>
      </c>
      <c r="AE15" s="346" t="n"/>
      <c r="AF15" s="346" t="n"/>
      <c r="AG15" s="346" t="n"/>
      <c r="AH15" s="347" t="n"/>
      <c r="AI15" s="225">
        <f>BN15&amp;"("&amp;BO15&amp;")"</f>
        <v/>
      </c>
      <c r="AJ15" s="346" t="n"/>
      <c r="AK15" s="346" t="n"/>
      <c r="AL15" s="346" t="n"/>
      <c r="AM15" s="347" t="n"/>
      <c r="AN15" s="212">
        <f>BP15&amp;"("&amp;BQ15&amp;")"</f>
        <v/>
      </c>
      <c r="AO15" s="346" t="n"/>
      <c r="AP15" s="346" t="n"/>
      <c r="AQ15" s="346" t="n"/>
      <c r="AR15" s="347" t="n"/>
      <c r="AS15" s="348" t="n"/>
      <c r="AT15" s="346" t="n"/>
      <c r="AU15" s="346" t="n"/>
      <c r="AV15" s="347" t="n"/>
      <c r="AW15" s="348" t="n"/>
      <c r="AX15" s="346" t="n"/>
      <c r="AY15" s="346" t="n"/>
      <c r="AZ15" s="347" t="n"/>
      <c r="BA15" s="357" t="n"/>
      <c r="BE15" s="111" t="n"/>
      <c r="BG15" s="321" t="inlineStr">
        <is>
          <t>영업점</t>
        </is>
      </c>
      <c r="BH15" s="321" t="inlineStr">
        <is>
          <t>합계</t>
        </is>
      </c>
      <c r="BI15" s="350" t="n">
        <v>140</v>
      </c>
      <c r="BJ15" s="350" t="n">
        <v>117</v>
      </c>
      <c r="BK15" s="320" t="n">
        <v>83.59999999999999</v>
      </c>
      <c r="BL15" s="350" t="n">
        <v>47</v>
      </c>
      <c r="BM15" s="320" t="n">
        <v>40.2</v>
      </c>
      <c r="BN15" s="350" t="n">
        <v>4</v>
      </c>
      <c r="BO15" s="320" t="n">
        <v>3.4</v>
      </c>
      <c r="BP15" s="350" t="n">
        <v>66</v>
      </c>
      <c r="BQ15" s="320" t="n">
        <v>56.4</v>
      </c>
    </row>
    <row r="16" ht="15" customHeight="1" s="292">
      <c r="B16" s="351" t="inlineStr">
        <is>
          <t>영업점</t>
        </is>
      </c>
      <c r="C16" s="342" t="n"/>
      <c r="D16" s="342" t="n"/>
      <c r="E16" s="342" t="n"/>
      <c r="F16" s="342" t="n"/>
      <c r="G16" s="342" t="n"/>
      <c r="H16" s="342" t="n"/>
      <c r="I16" s="343" t="n"/>
      <c r="J16" s="114" t="inlineStr">
        <is>
          <t>합계</t>
        </is>
      </c>
      <c r="K16" s="115" t="n"/>
      <c r="L16" s="115" t="n"/>
      <c r="M16" s="115" t="n"/>
      <c r="N16" s="115" t="n"/>
      <c r="O16" s="115" t="n"/>
      <c r="P16" s="115" t="n"/>
      <c r="Q16" s="115" t="n"/>
      <c r="R16" s="115" t="n"/>
      <c r="S16" s="115" t="n"/>
      <c r="T16" s="352" t="n">
        <v>128</v>
      </c>
      <c r="U16" s="342" t="n"/>
      <c r="V16" s="342" t="n"/>
      <c r="W16" s="342" t="n"/>
      <c r="X16" s="343" t="n"/>
      <c r="Y16" s="224">
        <f>BJ16&amp;"("&amp;BK16&amp;")"</f>
        <v/>
      </c>
      <c r="Z16" s="342" t="n"/>
      <c r="AA16" s="342" t="n"/>
      <c r="AB16" s="342" t="n"/>
      <c r="AC16" s="343" t="n"/>
      <c r="AD16" s="224">
        <f>BL16&amp;"("&amp;BM16&amp;")"</f>
        <v/>
      </c>
      <c r="AE16" s="342" t="n"/>
      <c r="AF16" s="342" t="n"/>
      <c r="AG16" s="342" t="n"/>
      <c r="AH16" s="343" t="n"/>
      <c r="AI16" s="224">
        <f>BN16&amp;"("&amp;BO16&amp;")"</f>
        <v/>
      </c>
      <c r="AJ16" s="342" t="n"/>
      <c r="AK16" s="342" t="n"/>
      <c r="AL16" s="342" t="n"/>
      <c r="AM16" s="343" t="n"/>
      <c r="AN16" s="210">
        <f>BP16&amp;"("&amp;BQ16&amp;")"</f>
        <v/>
      </c>
      <c r="AO16" s="342" t="n"/>
      <c r="AP16" s="342" t="n"/>
      <c r="AQ16" s="342" t="n"/>
      <c r="AR16" s="343" t="n"/>
      <c r="AS16" s="353" t="n">
        <v>66.8</v>
      </c>
      <c r="AT16" s="342" t="n"/>
      <c r="AU16" s="342" t="n"/>
      <c r="AV16" s="343" t="n"/>
      <c r="AW16" s="353" t="n">
        <v>66.90000000000001</v>
      </c>
      <c r="AX16" s="342" t="n"/>
      <c r="AY16" s="342" t="n"/>
      <c r="AZ16" s="343" t="n"/>
      <c r="BA16" s="359" t="n">
        <v>0.1</v>
      </c>
      <c r="BB16" s="342" t="n"/>
      <c r="BC16" s="342" t="n"/>
      <c r="BD16" s="342" t="n"/>
      <c r="BE16" s="111" t="n"/>
      <c r="BG16" s="321" t="inlineStr">
        <is>
          <t>영업점</t>
        </is>
      </c>
      <c r="BH16" s="321" t="inlineStr">
        <is>
          <t>영업기획그룹</t>
        </is>
      </c>
      <c r="BI16" s="350" t="n">
        <v>128</v>
      </c>
      <c r="BJ16" s="350" t="n">
        <v>106</v>
      </c>
      <c r="BK16" s="320" t="n">
        <v>82.8</v>
      </c>
      <c r="BL16" s="350" t="n">
        <v>38</v>
      </c>
      <c r="BM16" s="320" t="n">
        <v>35.8</v>
      </c>
      <c r="BN16" s="350" t="n">
        <v>2</v>
      </c>
      <c r="BO16" s="320" t="n">
        <v>1.9</v>
      </c>
      <c r="BP16" s="350" t="n">
        <v>66</v>
      </c>
      <c r="BQ16" s="320" t="n">
        <v>62.3</v>
      </c>
    </row>
    <row r="17" ht="15" customHeight="1" s="292">
      <c r="I17" s="355" t="n"/>
      <c r="J17" s="116" t="inlineStr">
        <is>
          <t>영업기획그룹</t>
        </is>
      </c>
      <c r="K17" s="117" t="n"/>
      <c r="L17" s="117" t="n"/>
      <c r="M17" s="117" t="n"/>
      <c r="N17" s="117" t="n"/>
      <c r="O17" s="117" t="n"/>
      <c r="P17" s="117" t="n"/>
      <c r="Q17" s="117" t="n"/>
      <c r="R17" s="117" t="n"/>
      <c r="S17" s="117" t="n"/>
      <c r="T17" s="356" t="n">
        <v>12</v>
      </c>
      <c r="X17" s="355" t="n"/>
      <c r="Y17" s="213">
        <f>BJ17&amp;"("&amp;BK17&amp;")"</f>
        <v/>
      </c>
      <c r="AC17" s="355" t="n"/>
      <c r="AD17" s="213">
        <f>BL17&amp;"("&amp;BM17&amp;")"</f>
        <v/>
      </c>
      <c r="AH17" s="355" t="n"/>
      <c r="AI17" s="213">
        <f>BN17&amp;"("&amp;BO17&amp;")"</f>
        <v/>
      </c>
      <c r="AM17" s="355" t="n"/>
      <c r="AN17" s="214">
        <f>BP17&amp;"("&amp;BQ17&amp;")"</f>
        <v/>
      </c>
      <c r="AR17" s="355" t="n"/>
      <c r="AS17" s="357" t="n"/>
      <c r="AV17" s="355" t="n"/>
      <c r="AW17" s="357" t="n"/>
      <c r="AZ17" s="355" t="n"/>
      <c r="BA17" s="357" t="n"/>
      <c r="BE17" s="111" t="n"/>
      <c r="BG17" s="321" t="inlineStr">
        <is>
          <t>영업점</t>
        </is>
      </c>
      <c r="BH17" s="321" t="inlineStr">
        <is>
          <t>기타</t>
        </is>
      </c>
      <c r="BI17" s="350" t="n">
        <v>12</v>
      </c>
      <c r="BJ17" s="350" t="n">
        <v>11</v>
      </c>
      <c r="BK17" s="320" t="n">
        <v>91.7</v>
      </c>
      <c r="BL17" s="350" t="n">
        <v>9</v>
      </c>
      <c r="BM17" s="320" t="n">
        <v>81.8</v>
      </c>
      <c r="BN17" s="350" t="n">
        <v>2</v>
      </c>
      <c r="BO17" s="320" t="n">
        <v>18.2</v>
      </c>
      <c r="BP17" s="350" t="n">
        <v>0</v>
      </c>
      <c r="BQ17" s="320" t="n">
        <v>0</v>
      </c>
    </row>
    <row r="18" ht="15" customHeight="1" s="292">
      <c r="B18" s="346" t="n"/>
      <c r="C18" s="346" t="n"/>
      <c r="D18" s="346" t="n"/>
      <c r="E18" s="346" t="n"/>
      <c r="F18" s="346" t="n"/>
      <c r="G18" s="346" t="n"/>
      <c r="H18" s="346" t="n"/>
      <c r="I18" s="347" t="n"/>
      <c r="J18" s="112" t="inlineStr">
        <is>
          <t>기타</t>
        </is>
      </c>
      <c r="K18" s="113" t="n"/>
      <c r="L18" s="113" t="n"/>
      <c r="M18" s="113" t="n"/>
      <c r="N18" s="113" t="n"/>
      <c r="O18" s="113" t="n"/>
      <c r="P18" s="113" t="n"/>
      <c r="Q18" s="113" t="n"/>
      <c r="R18" s="113" t="n"/>
      <c r="S18" s="113" t="n"/>
      <c r="T18" s="358" t="n">
        <v>207</v>
      </c>
      <c r="U18" s="346" t="n"/>
      <c r="V18" s="346" t="n"/>
      <c r="W18" s="346" t="n"/>
      <c r="X18" s="347" t="n"/>
      <c r="Y18" s="225">
        <f>BJ18&amp;"("&amp;BK18&amp;")"</f>
        <v/>
      </c>
      <c r="Z18" s="346" t="n"/>
      <c r="AA18" s="346" t="n"/>
      <c r="AB18" s="346" t="n"/>
      <c r="AC18" s="347" t="n"/>
      <c r="AD18" s="225">
        <f>BL18&amp;"("&amp;BM18&amp;")"</f>
        <v/>
      </c>
      <c r="AE18" s="346" t="n"/>
      <c r="AF18" s="346" t="n"/>
      <c r="AG18" s="346" t="n"/>
      <c r="AH18" s="347" t="n"/>
      <c r="AI18" s="225">
        <f>BN18&amp;"("&amp;BO18&amp;")"</f>
        <v/>
      </c>
      <c r="AJ18" s="346" t="n"/>
      <c r="AK18" s="346" t="n"/>
      <c r="AL18" s="346" t="n"/>
      <c r="AM18" s="347" t="n"/>
      <c r="AN18" s="212">
        <f>BP18&amp;"("&amp;BQ18&amp;")"</f>
        <v/>
      </c>
      <c r="AO18" s="346" t="n"/>
      <c r="AP18" s="346" t="n"/>
      <c r="AQ18" s="346" t="n"/>
      <c r="AR18" s="347" t="n"/>
      <c r="AS18" s="348" t="n"/>
      <c r="AT18" s="346" t="n"/>
      <c r="AU18" s="346" t="n"/>
      <c r="AV18" s="347" t="n"/>
      <c r="AW18" s="348" t="n"/>
      <c r="AX18" s="346" t="n"/>
      <c r="AY18" s="346" t="n"/>
      <c r="AZ18" s="347" t="n"/>
      <c r="BA18" s="348" t="n"/>
      <c r="BB18" s="346" t="n"/>
      <c r="BC18" s="346" t="n"/>
      <c r="BD18" s="346" t="n"/>
      <c r="BE18" s="111" t="n"/>
      <c r="BG18" s="321" t="inlineStr">
        <is>
          <t>고객센터</t>
        </is>
      </c>
      <c r="BH18" s="321" t="inlineStr">
        <is>
          <t>합계</t>
        </is>
      </c>
      <c r="BI18" s="350" t="n">
        <v>207</v>
      </c>
      <c r="BJ18" s="350" t="n">
        <v>181</v>
      </c>
      <c r="BK18" s="320" t="n">
        <v>87.40000000000001</v>
      </c>
      <c r="BL18" s="350" t="n">
        <v>8</v>
      </c>
      <c r="BM18" s="320" t="n">
        <v>4.4</v>
      </c>
      <c r="BN18" s="350" t="n">
        <v>0</v>
      </c>
      <c r="BO18" s="320" t="n">
        <v>0</v>
      </c>
      <c r="BP18" s="350" t="n">
        <v>173</v>
      </c>
      <c r="BQ18" s="320" t="n">
        <v>95.59999999999999</v>
      </c>
    </row>
    <row r="19" ht="15" customHeight="1" s="292">
      <c r="B19" s="351" t="inlineStr">
        <is>
          <t>고객센터</t>
        </is>
      </c>
      <c r="C19" s="342" t="n"/>
      <c r="D19" s="342" t="n"/>
      <c r="E19" s="342" t="n"/>
      <c r="F19" s="342" t="n"/>
      <c r="G19" s="342" t="n"/>
      <c r="H19" s="342" t="n"/>
      <c r="I19" s="343" t="n"/>
      <c r="J19" s="114" t="inlineStr">
        <is>
          <t>합계</t>
        </is>
      </c>
      <c r="K19" s="115" t="n"/>
      <c r="L19" s="115" t="n"/>
      <c r="M19" s="115" t="n"/>
      <c r="N19" s="115" t="n"/>
      <c r="O19" s="115" t="n"/>
      <c r="P19" s="115" t="n"/>
      <c r="Q19" s="115" t="n"/>
      <c r="R19" s="115" t="n"/>
      <c r="S19" s="115" t="n"/>
      <c r="T19" s="352" t="n">
        <v>207</v>
      </c>
      <c r="U19" s="342" t="n"/>
      <c r="V19" s="342" t="n"/>
      <c r="W19" s="342" t="n"/>
      <c r="X19" s="343" t="n"/>
      <c r="Y19" s="224">
        <f>BJ19&amp;"("&amp;BK19&amp;")"</f>
        <v/>
      </c>
      <c r="Z19" s="342" t="n"/>
      <c r="AA19" s="342" t="n"/>
      <c r="AB19" s="342" t="n"/>
      <c r="AC19" s="343" t="n"/>
      <c r="AD19" s="224">
        <f>BL19&amp;"("&amp;BM19&amp;")"</f>
        <v/>
      </c>
      <c r="AE19" s="342" t="n"/>
      <c r="AF19" s="342" t="n"/>
      <c r="AG19" s="342" t="n"/>
      <c r="AH19" s="343" t="n"/>
      <c r="AI19" s="224">
        <f>BN19&amp;"("&amp;BO19&amp;")"</f>
        <v/>
      </c>
      <c r="AJ19" s="342" t="n"/>
      <c r="AK19" s="342" t="n"/>
      <c r="AL19" s="342" t="n"/>
      <c r="AM19" s="343" t="n"/>
      <c r="AN19" s="210">
        <f>BP19&amp;"("&amp;BQ19&amp;")"</f>
        <v/>
      </c>
      <c r="AO19" s="342" t="n"/>
      <c r="AP19" s="342" t="n"/>
      <c r="AQ19" s="342" t="n"/>
      <c r="AR19" s="343" t="n"/>
      <c r="AS19" s="353" t="n">
        <v>36.2</v>
      </c>
      <c r="AT19" s="342" t="n"/>
      <c r="AU19" s="342" t="n"/>
      <c r="AV19" s="343" t="n"/>
      <c r="AW19" s="353" t="n">
        <v>36.8</v>
      </c>
      <c r="AX19" s="342" t="n"/>
      <c r="AY19" s="342" t="n"/>
      <c r="AZ19" s="343" t="n"/>
      <c r="BA19" s="359" t="n">
        <v>0.6</v>
      </c>
      <c r="BB19" s="342" t="n"/>
      <c r="BC19" s="342" t="n"/>
      <c r="BD19" s="342" t="n"/>
      <c r="BE19" s="111" t="n"/>
      <c r="BG19" s="321" t="inlineStr">
        <is>
          <t>고객센터</t>
        </is>
      </c>
      <c r="BH19" s="321" t="inlineStr">
        <is>
          <t>고객컨택영업그룹</t>
        </is>
      </c>
      <c r="BI19" s="350" t="n">
        <v>207</v>
      </c>
      <c r="BJ19" s="350" t="n">
        <v>181</v>
      </c>
      <c r="BK19" s="320" t="n">
        <v>87.40000000000001</v>
      </c>
      <c r="BL19" s="350" t="n">
        <v>8</v>
      </c>
      <c r="BM19" s="320" t="n">
        <v>4.4</v>
      </c>
      <c r="BN19" s="350" t="n">
        <v>0</v>
      </c>
      <c r="BO19" s="320" t="n">
        <v>0</v>
      </c>
      <c r="BP19" s="350" t="n">
        <v>173</v>
      </c>
      <c r="BQ19" s="320" t="n">
        <v>95.59999999999999</v>
      </c>
    </row>
    <row r="20" ht="15" customHeight="1" s="292">
      <c r="B20" s="346" t="n"/>
      <c r="C20" s="346" t="n"/>
      <c r="D20" s="346" t="n"/>
      <c r="E20" s="346" t="n"/>
      <c r="F20" s="346" t="n"/>
      <c r="G20" s="346" t="n"/>
      <c r="H20" s="346" t="n"/>
      <c r="I20" s="347" t="n"/>
      <c r="J20" s="112" t="inlineStr">
        <is>
          <t>고객컨택영업그룹</t>
        </is>
      </c>
      <c r="K20" s="113" t="n"/>
      <c r="L20" s="113" t="n"/>
      <c r="M20" s="113" t="n"/>
      <c r="N20" s="113" t="n"/>
      <c r="O20" s="113" t="n"/>
      <c r="P20" s="113" t="n"/>
      <c r="Q20" s="113" t="n"/>
      <c r="R20" s="113" t="n"/>
      <c r="S20" s="113" t="n"/>
      <c r="T20" s="358" t="n">
        <v>110</v>
      </c>
      <c r="U20" s="346" t="n"/>
      <c r="V20" s="346" t="n"/>
      <c r="W20" s="346" t="n"/>
      <c r="X20" s="347" t="n"/>
      <c r="Y20" s="225">
        <f>BJ20&amp;"("&amp;BK20&amp;")"</f>
        <v/>
      </c>
      <c r="Z20" s="346" t="n"/>
      <c r="AA20" s="346" t="n"/>
      <c r="AB20" s="346" t="n"/>
      <c r="AC20" s="347" t="n"/>
      <c r="AD20" s="225">
        <f>BL20&amp;"("&amp;BM20&amp;")"</f>
        <v/>
      </c>
      <c r="AE20" s="346" t="n"/>
      <c r="AF20" s="346" t="n"/>
      <c r="AG20" s="346" t="n"/>
      <c r="AH20" s="347" t="n"/>
      <c r="AI20" s="225">
        <f>BN20&amp;"("&amp;BO20&amp;")"</f>
        <v/>
      </c>
      <c r="AJ20" s="346" t="n"/>
      <c r="AK20" s="346" t="n"/>
      <c r="AL20" s="346" t="n"/>
      <c r="AM20" s="347" t="n"/>
      <c r="AN20" s="212">
        <f>BP20&amp;"("&amp;BQ20&amp;")"</f>
        <v/>
      </c>
      <c r="AO20" s="346" t="n"/>
      <c r="AP20" s="346" t="n"/>
      <c r="AQ20" s="346" t="n"/>
      <c r="AR20" s="347" t="n"/>
      <c r="AS20" s="348" t="n"/>
      <c r="AT20" s="346" t="n"/>
      <c r="AU20" s="346" t="n"/>
      <c r="AV20" s="347" t="n"/>
      <c r="AW20" s="348" t="n"/>
      <c r="AX20" s="346" t="n"/>
      <c r="AY20" s="346" t="n"/>
      <c r="AZ20" s="347" t="n"/>
      <c r="BA20" s="348" t="n"/>
      <c r="BB20" s="346" t="n"/>
      <c r="BC20" s="346" t="n"/>
      <c r="BD20" s="346" t="n"/>
      <c r="BE20" s="111" t="n"/>
      <c r="BG20" s="321" t="inlineStr">
        <is>
          <t>상품</t>
        </is>
      </c>
      <c r="BH20" s="321" t="inlineStr">
        <is>
          <t>합계</t>
        </is>
      </c>
      <c r="BI20" s="350" t="n">
        <v>110</v>
      </c>
      <c r="BJ20" s="350" t="n">
        <v>107</v>
      </c>
      <c r="BK20" s="320" t="n">
        <v>97.3</v>
      </c>
      <c r="BL20" s="350" t="n">
        <v>105</v>
      </c>
      <c r="BM20" s="320" t="n">
        <v>98.09999999999999</v>
      </c>
      <c r="BN20" s="350" t="n">
        <v>2</v>
      </c>
      <c r="BO20" s="320" t="n">
        <v>1.9</v>
      </c>
      <c r="BP20" s="350" t="n">
        <v>0</v>
      </c>
      <c r="BQ20" s="320" t="n">
        <v>0</v>
      </c>
    </row>
    <row r="21" ht="15" customHeight="1" s="292">
      <c r="B21" s="351" t="inlineStr">
        <is>
          <t>상품</t>
        </is>
      </c>
      <c r="C21" s="342" t="n"/>
      <c r="D21" s="342" t="n"/>
      <c r="E21" s="342" t="n"/>
      <c r="F21" s="342" t="n"/>
      <c r="G21" s="342" t="n"/>
      <c r="H21" s="342" t="n"/>
      <c r="I21" s="343" t="n"/>
      <c r="J21" s="114" t="inlineStr">
        <is>
          <t>합계</t>
        </is>
      </c>
      <c r="K21" s="115" t="n"/>
      <c r="L21" s="115" t="n"/>
      <c r="M21" s="115" t="n"/>
      <c r="N21" s="115" t="n"/>
      <c r="O21" s="115" t="n"/>
      <c r="P21" s="115" t="n"/>
      <c r="Q21" s="115" t="n"/>
      <c r="R21" s="115" t="n"/>
      <c r="S21" s="115" t="n"/>
      <c r="T21" s="352" t="n">
        <v>95</v>
      </c>
      <c r="U21" s="342" t="n"/>
      <c r="V21" s="342" t="n"/>
      <c r="W21" s="342" t="n"/>
      <c r="X21" s="343" t="n"/>
      <c r="Y21" s="224">
        <f>BJ21&amp;"("&amp;BK21&amp;")"</f>
        <v/>
      </c>
      <c r="Z21" s="342" t="n"/>
      <c r="AA21" s="342" t="n"/>
      <c r="AB21" s="342" t="n"/>
      <c r="AC21" s="343" t="n"/>
      <c r="AD21" s="224">
        <f>BL21&amp;"("&amp;BM21&amp;")"</f>
        <v/>
      </c>
      <c r="AE21" s="342" t="n"/>
      <c r="AF21" s="342" t="n"/>
      <c r="AG21" s="342" t="n"/>
      <c r="AH21" s="343" t="n"/>
      <c r="AI21" s="224">
        <f>BN21&amp;"("&amp;BO21&amp;")"</f>
        <v/>
      </c>
      <c r="AJ21" s="342" t="n"/>
      <c r="AK21" s="342" t="n"/>
      <c r="AL21" s="342" t="n"/>
      <c r="AM21" s="343" t="n"/>
      <c r="AN21" s="210">
        <f>BP21&amp;"("&amp;BQ21&amp;")"</f>
        <v/>
      </c>
      <c r="AO21" s="342" t="n"/>
      <c r="AP21" s="342" t="n"/>
      <c r="AQ21" s="342" t="n"/>
      <c r="AR21" s="343" t="n"/>
      <c r="AS21" s="353" t="n">
        <v>36.2</v>
      </c>
      <c r="AT21" s="342" t="n"/>
      <c r="AU21" s="342" t="n"/>
      <c r="AV21" s="343" t="n"/>
      <c r="AW21" s="353" t="n">
        <v>36.8</v>
      </c>
      <c r="AX21" s="342" t="n"/>
      <c r="AY21" s="342" t="n"/>
      <c r="AZ21" s="343" t="n"/>
      <c r="BA21" s="359" t="n">
        <v>0.6</v>
      </c>
      <c r="BB21" s="342" t="n"/>
      <c r="BC21" s="342" t="n"/>
      <c r="BD21" s="342" t="n"/>
      <c r="BE21" s="111" t="n"/>
      <c r="BG21" s="321" t="inlineStr">
        <is>
          <t>상품</t>
        </is>
      </c>
      <c r="BH21" s="321" t="inlineStr">
        <is>
          <t>개인고객그룹</t>
        </is>
      </c>
      <c r="BI21" s="350" t="n">
        <v>95</v>
      </c>
      <c r="BJ21" s="350" t="n">
        <v>94</v>
      </c>
      <c r="BK21" s="320" t="n">
        <v>98.90000000000001</v>
      </c>
      <c r="BL21" s="350" t="n">
        <v>92</v>
      </c>
      <c r="BM21" s="320" t="n">
        <v>97.90000000000001</v>
      </c>
      <c r="BN21" s="350" t="n">
        <v>2</v>
      </c>
      <c r="BO21" s="320" t="n">
        <v>2.1</v>
      </c>
      <c r="BP21" s="350" t="n">
        <v>0</v>
      </c>
      <c r="BQ21" s="320" t="n">
        <v>0</v>
      </c>
    </row>
    <row r="22" ht="15" customHeight="1" s="292">
      <c r="I22" s="355" t="n"/>
      <c r="J22" s="116" t="inlineStr">
        <is>
          <t>개인고객그룹</t>
        </is>
      </c>
      <c r="K22" s="117" t="n"/>
      <c r="L22" s="117" t="n"/>
      <c r="M22" s="117" t="n"/>
      <c r="N22" s="117" t="n"/>
      <c r="O22" s="117" t="n"/>
      <c r="P22" s="117" t="n"/>
      <c r="Q22" s="117" t="n"/>
      <c r="R22" s="117" t="n"/>
      <c r="S22" s="117" t="n"/>
      <c r="T22" s="356" t="n">
        <v>12</v>
      </c>
      <c r="X22" s="355" t="n"/>
      <c r="Y22" s="213">
        <f>BJ22&amp;"("&amp;BK22&amp;")"</f>
        <v/>
      </c>
      <c r="AC22" s="355" t="n"/>
      <c r="AD22" s="213">
        <f>BL22&amp;"("&amp;BM22&amp;")"</f>
        <v/>
      </c>
      <c r="AH22" s="355" t="n"/>
      <c r="AI22" s="213">
        <f>BN22&amp;"("&amp;BO22&amp;")"</f>
        <v/>
      </c>
      <c r="AM22" s="355" t="n"/>
      <c r="AN22" s="214">
        <f>BP22&amp;"("&amp;BQ22&amp;")"</f>
        <v/>
      </c>
      <c r="AR22" s="355" t="n"/>
      <c r="AS22" s="357" t="n"/>
      <c r="AV22" s="355" t="n"/>
      <c r="AW22" s="357" t="n"/>
      <c r="AZ22" s="355" t="n"/>
      <c r="BA22" s="357" t="n"/>
      <c r="BE22" s="111" t="n"/>
      <c r="BG22" s="321" t="inlineStr">
        <is>
          <t>상품</t>
        </is>
      </c>
      <c r="BH22" s="321" t="inlineStr">
        <is>
          <t>WM고객그룹</t>
        </is>
      </c>
      <c r="BI22" s="350" t="n">
        <v>12</v>
      </c>
      <c r="BJ22" s="350" t="n">
        <v>11</v>
      </c>
      <c r="BK22" s="320" t="n">
        <v>91.7</v>
      </c>
      <c r="BL22" s="350" t="n">
        <v>11</v>
      </c>
      <c r="BM22" s="320" t="n">
        <v>100</v>
      </c>
      <c r="BN22" s="350" t="n">
        <v>0</v>
      </c>
      <c r="BO22" s="320" t="n">
        <v>0</v>
      </c>
      <c r="BP22" s="350" t="n">
        <v>0</v>
      </c>
      <c r="BQ22" s="320" t="n">
        <v>0</v>
      </c>
    </row>
    <row r="23" ht="15" customHeight="1" s="292">
      <c r="I23" s="355" t="n"/>
      <c r="J23" s="116" t="inlineStr">
        <is>
          <t>WM고객그룹</t>
        </is>
      </c>
      <c r="K23" s="117" t="n"/>
      <c r="L23" s="117" t="n"/>
      <c r="M23" s="117" t="n"/>
      <c r="N23" s="117" t="n"/>
      <c r="O23" s="117" t="n"/>
      <c r="P23" s="117" t="n"/>
      <c r="Q23" s="117" t="n"/>
      <c r="R23" s="117" t="n"/>
      <c r="S23" s="117" t="n"/>
      <c r="T23" s="356" t="n">
        <v>3</v>
      </c>
      <c r="X23" s="355" t="n"/>
      <c r="Y23" s="213">
        <f>BJ23&amp;"("&amp;BK23&amp;")"</f>
        <v/>
      </c>
      <c r="AC23" s="355" t="n"/>
      <c r="AD23" s="213">
        <f>BL23&amp;"("&amp;BM23&amp;")"</f>
        <v/>
      </c>
      <c r="AH23" s="355" t="n"/>
      <c r="AI23" s="213">
        <f>BN23&amp;"("&amp;BO23&amp;")"</f>
        <v/>
      </c>
      <c r="AM23" s="355" t="n"/>
      <c r="AN23" s="214">
        <f>BP23&amp;"("&amp;BQ23&amp;")"</f>
        <v/>
      </c>
      <c r="AR23" s="355" t="n"/>
      <c r="AS23" s="357" t="n"/>
      <c r="AV23" s="355" t="n"/>
      <c r="AW23" s="357" t="n"/>
      <c r="AZ23" s="355" t="n"/>
      <c r="BA23" s="357" t="n"/>
      <c r="BE23" s="111" t="n"/>
      <c r="BG23" s="321" t="inlineStr">
        <is>
          <t>상품</t>
        </is>
      </c>
      <c r="BH23" s="321" t="inlineStr">
        <is>
          <t>기업고객그룹</t>
        </is>
      </c>
      <c r="BI23" s="350" t="n">
        <v>3</v>
      </c>
      <c r="BJ23" s="350" t="n">
        <v>2</v>
      </c>
      <c r="BK23" s="320" t="n">
        <v>66.7</v>
      </c>
      <c r="BL23" s="350" t="n">
        <v>2</v>
      </c>
      <c r="BM23" s="320" t="n">
        <v>100</v>
      </c>
      <c r="BN23" s="350" t="n">
        <v>0</v>
      </c>
      <c r="BO23" s="320" t="n">
        <v>0</v>
      </c>
      <c r="BP23" s="350" t="n">
        <v>0</v>
      </c>
      <c r="BQ23" s="320" t="n">
        <v>0</v>
      </c>
    </row>
    <row r="24" ht="15" customHeight="1" s="292">
      <c r="B24" s="346" t="n"/>
      <c r="C24" s="346" t="n"/>
      <c r="D24" s="346" t="n"/>
      <c r="E24" s="346" t="n"/>
      <c r="F24" s="346" t="n"/>
      <c r="G24" s="346" t="n"/>
      <c r="H24" s="346" t="n"/>
      <c r="I24" s="347" t="n"/>
      <c r="J24" s="112" t="inlineStr">
        <is>
          <t>기업고객그룹</t>
        </is>
      </c>
      <c r="K24" s="113" t="n"/>
      <c r="L24" s="113" t="n"/>
      <c r="M24" s="113" t="n"/>
      <c r="N24" s="113" t="n"/>
      <c r="O24" s="113" t="n"/>
      <c r="P24" s="113" t="n"/>
      <c r="Q24" s="113" t="n"/>
      <c r="R24" s="113" t="n"/>
      <c r="S24" s="113" t="n"/>
      <c r="T24" s="225" t="n"/>
      <c r="U24" s="346" t="n"/>
      <c r="V24" s="346" t="n"/>
      <c r="W24" s="346" t="n"/>
      <c r="X24" s="347" t="n"/>
      <c r="Y24" s="225">
        <f>BJ24&amp;"("&amp;BK24&amp;")"</f>
        <v/>
      </c>
      <c r="Z24" s="346" t="n"/>
      <c r="AA24" s="346" t="n"/>
      <c r="AB24" s="346" t="n"/>
      <c r="AC24" s="347" t="n"/>
      <c r="AD24" s="225">
        <f>BL24&amp;"("&amp;BM24&amp;")"</f>
        <v/>
      </c>
      <c r="AE24" s="346" t="n"/>
      <c r="AF24" s="346" t="n"/>
      <c r="AG24" s="346" t="n"/>
      <c r="AH24" s="347" t="n"/>
      <c r="AI24" s="225">
        <f>BN24&amp;"("&amp;BO24&amp;")"</f>
        <v/>
      </c>
      <c r="AJ24" s="346" t="n"/>
      <c r="AK24" s="346" t="n"/>
      <c r="AL24" s="346" t="n"/>
      <c r="AM24" s="347" t="n"/>
      <c r="AN24" s="212">
        <f>BP24&amp;"("&amp;BQ24&amp;")"</f>
        <v/>
      </c>
      <c r="AO24" s="346" t="n"/>
      <c r="AP24" s="346" t="n"/>
      <c r="AQ24" s="346" t="n"/>
      <c r="AR24" s="347" t="n"/>
      <c r="AS24" s="348" t="n"/>
      <c r="AT24" s="346" t="n"/>
      <c r="AU24" s="346" t="n"/>
      <c r="AV24" s="347" t="n"/>
      <c r="AW24" s="348" t="n"/>
      <c r="AX24" s="346" t="n"/>
      <c r="AY24" s="346" t="n"/>
      <c r="AZ24" s="347" t="n"/>
      <c r="BA24" s="348" t="n"/>
      <c r="BB24" s="346" t="n"/>
      <c r="BC24" s="346" t="n"/>
      <c r="BD24" s="346" t="n"/>
      <c r="BE24" s="111" t="n"/>
      <c r="BG24" s="321" t="n"/>
      <c r="BH24" s="321" t="n"/>
      <c r="BI24" s="321" t="n"/>
      <c r="BJ24" s="321" t="n"/>
      <c r="BK24" s="321" t="n"/>
      <c r="BL24" s="321" t="n"/>
      <c r="BM24" s="321" t="n"/>
      <c r="BN24" s="321" t="n"/>
      <c r="BO24" s="321" t="n"/>
      <c r="BP24" s="321" t="n"/>
      <c r="BQ24" s="321" t="n"/>
    </row>
    <row r="25" ht="5.1" customHeight="1" s="292">
      <c r="D25" s="234" t="n"/>
      <c r="E25" s="234" t="n"/>
      <c r="F25" s="234" t="n"/>
      <c r="G25" s="234" t="n"/>
      <c r="H25" s="234" t="n"/>
      <c r="I25" s="234" t="n"/>
      <c r="J25" s="234" t="n"/>
      <c r="K25" s="234" t="n"/>
      <c r="L25" s="234" t="n"/>
      <c r="M25" s="234" t="n"/>
      <c r="N25" s="234" t="n"/>
      <c r="O25" s="234" t="n"/>
      <c r="P25" s="234" t="n"/>
      <c r="Q25" s="234" t="n"/>
      <c r="R25" s="234" t="n"/>
      <c r="S25" s="234" t="n"/>
      <c r="T25" s="111" t="n"/>
      <c r="U25" s="111" t="n"/>
      <c r="V25" s="111" t="n"/>
      <c r="W25" s="111" t="n"/>
      <c r="X25" s="111" t="n"/>
      <c r="Y25" s="111" t="n"/>
      <c r="Z25" s="111" t="n"/>
      <c r="AA25" s="111" t="n"/>
      <c r="AB25" s="111" t="n"/>
      <c r="AC25" s="111" t="n"/>
      <c r="AD25" s="111" t="n"/>
      <c r="AE25" s="111" t="n"/>
      <c r="AF25" s="111" t="n"/>
      <c r="AG25" s="111" t="n"/>
      <c r="AH25" s="111" t="n"/>
      <c r="AI25" s="111" t="n"/>
      <c r="AJ25" s="111" t="n"/>
      <c r="AK25" s="111" t="n"/>
      <c r="AL25" s="111" t="n"/>
      <c r="AM25" s="111" t="n"/>
      <c r="AN25" s="111" t="n"/>
      <c r="AO25" s="111" t="n"/>
      <c r="AP25" s="111" t="n"/>
      <c r="AQ25" s="111" t="n"/>
      <c r="AR25" s="111" t="n"/>
      <c r="AS25" s="111" t="n"/>
      <c r="AT25" s="111" t="n"/>
      <c r="AU25" s="111" t="n"/>
      <c r="AV25" s="111" t="n"/>
      <c r="AW25" s="111" t="n"/>
      <c r="AX25" s="111" t="n"/>
      <c r="AY25" s="111" t="n"/>
      <c r="AZ25" s="111" t="n"/>
      <c r="BA25" s="111" t="n"/>
      <c r="BB25" s="111" t="n"/>
    </row>
    <row r="26"/>
    <row r="27"/>
    <row r="28" ht="15" customHeight="1" s="292">
      <c r="BL28" s="111" t="n"/>
      <c r="BM28" s="111" t="n"/>
    </row>
    <row r="29" ht="15" customHeight="1" s="292">
      <c r="BL29" s="360" t="n"/>
      <c r="BM29" s="360" t="n"/>
    </row>
    <row r="30" ht="15" customHeight="1" s="292">
      <c r="BL30" s="360" t="n"/>
      <c r="BM30" s="360" t="n"/>
    </row>
    <row r="31" ht="15" customHeight="1" s="292">
      <c r="BL31" s="360" t="n"/>
      <c r="BM31" s="360" t="n"/>
    </row>
    <row r="32" ht="15" customHeight="1" s="292">
      <c r="BL32" s="360" t="n"/>
      <c r="BM32" s="360" t="n"/>
    </row>
    <row r="33" ht="15" customHeight="1" s="292">
      <c r="BL33" s="360" t="n"/>
      <c r="BM33" s="360" t="n"/>
    </row>
    <row r="34" ht="15" customHeight="1" s="292">
      <c r="BL34" s="360" t="n"/>
      <c r="BM34" s="360" t="n"/>
    </row>
    <row r="35" ht="15" customHeight="1" s="292">
      <c r="BL35" s="360" t="n"/>
      <c r="BM35" s="360" t="n"/>
    </row>
    <row r="36" ht="15" customHeight="1" s="292">
      <c r="BL36" s="360" t="n"/>
      <c r="BM36" s="360" t="n"/>
    </row>
    <row r="37" ht="15" customHeight="1" s="292">
      <c r="D37" s="43" t="n"/>
      <c r="E37" s="43" t="n"/>
      <c r="F37" s="43" t="n"/>
      <c r="G37" s="43" t="n"/>
      <c r="H37" s="43" t="n"/>
      <c r="I37" s="43" t="n"/>
      <c r="J37" s="43" t="n"/>
      <c r="K37" s="43" t="n"/>
      <c r="L37" s="43" t="n"/>
      <c r="M37" s="43" t="n"/>
      <c r="N37" s="43" t="n"/>
      <c r="BL37" s="360" t="n"/>
      <c r="BM37" s="360" t="n"/>
    </row>
    <row r="38" ht="15" customHeight="1" s="292">
      <c r="BL38" s="360" t="n"/>
      <c r="BM38" s="360" t="n"/>
    </row>
    <row r="39" ht="15" customHeight="1" s="292">
      <c r="BK39" s="360" t="n"/>
      <c r="BL39" s="360" t="n"/>
      <c r="BM39" s="360" t="n"/>
    </row>
    <row r="40" ht="15" customHeight="1" s="292">
      <c r="BK40" s="360" t="n"/>
      <c r="BL40" s="360" t="n"/>
      <c r="BM40" s="360" t="n"/>
    </row>
    <row r="41" ht="15" customHeight="1" s="292">
      <c r="BH41" s="360" t="n"/>
      <c r="BI41" s="360" t="n"/>
      <c r="BJ41" s="360" t="n"/>
      <c r="BK41" s="360" t="n"/>
      <c r="BL41" s="360" t="n"/>
      <c r="BM41" s="360" t="n"/>
    </row>
  </sheetData>
  <mergeCells count="107">
    <mergeCell ref="T15:X15"/>
    <mergeCell ref="T24:X24"/>
    <mergeCell ref="AN24:AR24"/>
    <mergeCell ref="AS11:AV15"/>
    <mergeCell ref="T10:X10"/>
    <mergeCell ref="Y11:AC11"/>
    <mergeCell ref="AI15:AM15"/>
    <mergeCell ref="AD19:AH19"/>
    <mergeCell ref="AN16:AR16"/>
    <mergeCell ref="AS21:AV24"/>
    <mergeCell ref="T9:X9"/>
    <mergeCell ref="B10:I10"/>
    <mergeCell ref="T11:X11"/>
    <mergeCell ref="AD11:AH11"/>
    <mergeCell ref="AN11:AR11"/>
    <mergeCell ref="BA11:BD15"/>
    <mergeCell ref="Y13:AC13"/>
    <mergeCell ref="T22:X22"/>
    <mergeCell ref="AD22:AH22"/>
    <mergeCell ref="J8:S9"/>
    <mergeCell ref="AD9:AH9"/>
    <mergeCell ref="AN13:AR13"/>
    <mergeCell ref="AI17:AM17"/>
    <mergeCell ref="AW19:AZ20"/>
    <mergeCell ref="T20:X20"/>
    <mergeCell ref="T14:X14"/>
    <mergeCell ref="AD24:AH24"/>
    <mergeCell ref="AI19:AM19"/>
    <mergeCell ref="AN15:AR15"/>
    <mergeCell ref="Y9:AC9"/>
    <mergeCell ref="AI9:AM9"/>
    <mergeCell ref="BA9:BD9"/>
    <mergeCell ref="Y20:AC20"/>
    <mergeCell ref="Y14:AC14"/>
    <mergeCell ref="AD10:AH10"/>
    <mergeCell ref="AI11:AM11"/>
    <mergeCell ref="BA19:BD20"/>
    <mergeCell ref="Y22:AC22"/>
    <mergeCell ref="AW11:AZ15"/>
    <mergeCell ref="T17:X17"/>
    <mergeCell ref="Y12:AC12"/>
    <mergeCell ref="AN17:AR17"/>
    <mergeCell ref="B8:I9"/>
    <mergeCell ref="T19:X19"/>
    <mergeCell ref="Y23:AC23"/>
    <mergeCell ref="AN19:AR19"/>
    <mergeCell ref="BA21:BD24"/>
    <mergeCell ref="AD12:AH12"/>
    <mergeCell ref="AN9:AR9"/>
    <mergeCell ref="AD21:AH21"/>
    <mergeCell ref="AW10:AZ10"/>
    <mergeCell ref="B16:I18"/>
    <mergeCell ref="AD20:AH20"/>
    <mergeCell ref="AD14:AH14"/>
    <mergeCell ref="AS16:AV18"/>
    <mergeCell ref="AI10:AM10"/>
    <mergeCell ref="AD23:AH23"/>
    <mergeCell ref="AW16:AZ18"/>
    <mergeCell ref="AD13:AH13"/>
    <mergeCell ref="BA16:BD18"/>
    <mergeCell ref="AD15:AH15"/>
    <mergeCell ref="Y19:AC19"/>
    <mergeCell ref="T21:X21"/>
    <mergeCell ref="Y17:AC17"/>
    <mergeCell ref="AI20:AM20"/>
    <mergeCell ref="AS19:AV20"/>
    <mergeCell ref="B11:I15"/>
    <mergeCell ref="AS9:AV9"/>
    <mergeCell ref="T23:X23"/>
    <mergeCell ref="AI22:AM22"/>
    <mergeCell ref="AN18:AR18"/>
    <mergeCell ref="T13:X13"/>
    <mergeCell ref="AI12:AM12"/>
    <mergeCell ref="T16:X16"/>
    <mergeCell ref="AI21:AM21"/>
    <mergeCell ref="B21:I24"/>
    <mergeCell ref="AW21:AZ24"/>
    <mergeCell ref="T18:X18"/>
    <mergeCell ref="AI14:AM14"/>
    <mergeCell ref="AD18:AH18"/>
    <mergeCell ref="AN10:AR10"/>
    <mergeCell ref="AI23:AM23"/>
    <mergeCell ref="AD17:AH17"/>
    <mergeCell ref="AI13:AM13"/>
    <mergeCell ref="B19:I20"/>
    <mergeCell ref="Y15:AC15"/>
    <mergeCell ref="T8:AR8"/>
    <mergeCell ref="Y24:AC24"/>
    <mergeCell ref="AS8:BD8"/>
    <mergeCell ref="Y21:AC21"/>
    <mergeCell ref="AI24:AM24"/>
    <mergeCell ref="AN20:AR20"/>
    <mergeCell ref="Y10:AC10"/>
    <mergeCell ref="AN22:AR22"/>
    <mergeCell ref="AS10:AV10"/>
    <mergeCell ref="T12:X12"/>
    <mergeCell ref="AN12:AR12"/>
    <mergeCell ref="Y16:AC16"/>
    <mergeCell ref="AI16:AM16"/>
    <mergeCell ref="AN21:AR21"/>
    <mergeCell ref="AI18:AM18"/>
    <mergeCell ref="Y18:AC18"/>
    <mergeCell ref="AN14:AR14"/>
    <mergeCell ref="BA10:BD10"/>
    <mergeCell ref="AN23:AR23"/>
    <mergeCell ref="AW9:AZ9"/>
    <mergeCell ref="AD16:AH16"/>
  </mergeCells>
  <pageMargins left="0.25" right="0.25" top="0.75" bottom="0.75" header="0.3" footer="0.3"/>
  <pageSetup orientation="portrait" paperSize="9" scale="98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U107"/>
  <sheetViews>
    <sheetView showGridLines="0" view="pageBreakPreview" zoomScaleNormal="100" zoomScaleSheetLayoutView="100" workbookViewId="0">
      <selection activeCell="BL26" sqref="BL26"/>
    </sheetView>
  </sheetViews>
  <sheetFormatPr baseColWidth="8" defaultColWidth="9.625" defaultRowHeight="15" customHeight="1"/>
  <cols>
    <col width="1.625" customWidth="1" style="161" min="1" max="1"/>
    <col hidden="1" width="1.625" customWidth="1" style="161" min="2" max="3"/>
    <col width="1.625" customWidth="1" style="161" min="4" max="25"/>
    <col width="0.125" customWidth="1" style="161" min="26" max="26"/>
    <col width="1.625" customWidth="1" style="161" min="27" max="45"/>
    <col width="2.875" customWidth="1" style="161" min="46" max="46"/>
    <col width="1.625" customWidth="1" style="161" min="47" max="59"/>
    <col width="9.625" customWidth="1" style="161" min="60" max="16384"/>
  </cols>
  <sheetData>
    <row r="1" ht="7.5" customHeight="1" s="292"/>
    <row r="2" ht="15" customHeight="1" s="292">
      <c r="D2" s="2" t="inlineStr">
        <is>
          <t>2. 채널별 관리현황</t>
        </is>
      </c>
      <c r="E2" s="64" t="n"/>
      <c r="F2" s="64" t="n"/>
      <c r="G2" s="64" t="n"/>
      <c r="H2" s="64" t="n"/>
      <c r="I2" s="64" t="n"/>
      <c r="J2" s="64" t="n"/>
      <c r="K2" s="64" t="n"/>
      <c r="L2" s="64" t="n"/>
      <c r="M2" s="64" t="n"/>
      <c r="N2" s="64" t="n"/>
      <c r="O2" s="64" t="n"/>
      <c r="P2" s="64" t="n"/>
      <c r="Q2" s="64" t="n"/>
      <c r="R2" s="64" t="n"/>
      <c r="S2" s="64" t="n"/>
      <c r="T2" s="64" t="n"/>
      <c r="U2" s="64" t="n"/>
      <c r="V2" s="64" t="n"/>
      <c r="W2" s="64" t="n"/>
      <c r="X2" s="64" t="n"/>
      <c r="Y2" s="64" t="n"/>
      <c r="Z2" s="64" t="n"/>
      <c r="AA2" s="64" t="n"/>
      <c r="AB2" s="64" t="n"/>
      <c r="AC2" s="64" t="n"/>
      <c r="AD2" s="64" t="n"/>
      <c r="AE2" s="64" t="n"/>
      <c r="AF2" s="64" t="n"/>
      <c r="AG2" s="64" t="n"/>
      <c r="AH2" s="64" t="n"/>
      <c r="AI2" s="64" t="n"/>
      <c r="AJ2" s="64" t="n"/>
      <c r="AK2" s="64" t="n"/>
      <c r="AL2" s="64" t="n"/>
      <c r="AM2" s="64" t="n"/>
      <c r="AN2" s="64" t="n"/>
      <c r="AO2" s="64" t="n"/>
      <c r="AP2" s="64" t="n"/>
      <c r="AQ2" s="64" t="n"/>
      <c r="AR2" s="64" t="n"/>
      <c r="AS2" s="64" t="n"/>
      <c r="AT2" s="64" t="n"/>
      <c r="AU2" s="64" t="n"/>
      <c r="AV2" s="64" t="n"/>
      <c r="AW2" s="64" t="n"/>
      <c r="AX2" s="64" t="n"/>
      <c r="AY2" s="64" t="n"/>
      <c r="AZ2" s="64" t="n"/>
      <c r="BA2" s="64" t="n"/>
      <c r="BB2" s="64" t="n"/>
      <c r="BC2" s="64" t="n"/>
      <c r="BD2" s="64" t="n"/>
      <c r="BE2" s="64" t="n"/>
      <c r="BF2" s="64" t="n"/>
    </row>
    <row r="3" ht="5.1" customHeight="1" s="292"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</row>
    <row r="4" ht="15" customHeight="1" s="292">
      <c r="D4" s="280" t="inlineStr">
        <is>
          <t>구분</t>
        </is>
      </c>
      <c r="E4" s="342" t="n"/>
      <c r="F4" s="342" t="n"/>
      <c r="G4" s="342" t="n"/>
      <c r="H4" s="342" t="n"/>
      <c r="I4" s="343" t="n"/>
      <c r="J4" s="202" t="inlineStr">
        <is>
          <t>고객경험단계</t>
        </is>
      </c>
      <c r="K4" s="342" t="n"/>
      <c r="L4" s="342" t="n"/>
      <c r="M4" s="342" t="n"/>
      <c r="N4" s="342" t="n"/>
      <c r="O4" s="343" t="n"/>
      <c r="P4" s="202" t="inlineStr">
        <is>
          <t>사업그룹</t>
        </is>
      </c>
      <c r="Q4" s="342" t="n"/>
      <c r="R4" s="342" t="n"/>
      <c r="S4" s="342" t="n"/>
      <c r="T4" s="342" t="n"/>
      <c r="U4" s="342" t="n"/>
      <c r="V4" s="342" t="n"/>
      <c r="W4" s="342" t="n"/>
      <c r="X4" s="342" t="n"/>
      <c r="Y4" s="342" t="n"/>
      <c r="Z4" s="343" t="n"/>
      <c r="AA4" s="202" t="inlineStr">
        <is>
          <t>관리활동(건, %)</t>
        </is>
      </c>
      <c r="AB4" s="344" t="n"/>
      <c r="AC4" s="344" t="n"/>
      <c r="AD4" s="344" t="n"/>
      <c r="AE4" s="344" t="n"/>
      <c r="AF4" s="344" t="n"/>
      <c r="AG4" s="344" t="n"/>
      <c r="AH4" s="344" t="n"/>
      <c r="AI4" s="344" t="n"/>
      <c r="AJ4" s="344" t="n"/>
      <c r="AK4" s="344" t="n"/>
      <c r="AL4" s="344" t="n"/>
      <c r="AM4" s="344" t="n"/>
      <c r="AN4" s="344" t="n"/>
      <c r="AO4" s="344" t="n"/>
      <c r="AP4" s="344" t="n"/>
      <c r="AQ4" s="344" t="n"/>
      <c r="AR4" s="344" t="n"/>
      <c r="AS4" s="344" t="n"/>
      <c r="AT4" s="345" t="n"/>
      <c r="AU4" s="203" t="inlineStr">
        <is>
          <t>Bottom-Up NPS</t>
        </is>
      </c>
      <c r="AV4" s="344" t="n"/>
      <c r="AW4" s="344" t="n"/>
      <c r="AX4" s="344" t="n"/>
      <c r="AY4" s="344" t="n"/>
      <c r="AZ4" s="344" t="n"/>
      <c r="BA4" s="344" t="n"/>
      <c r="BB4" s="344" t="n"/>
      <c r="BC4" s="344" t="n"/>
      <c r="BD4" s="344" t="n"/>
      <c r="BE4" s="344" t="n"/>
      <c r="BF4" s="344" t="n"/>
    </row>
    <row r="5" ht="15" customHeight="1" s="292">
      <c r="D5" s="346" t="n"/>
      <c r="E5" s="346" t="n"/>
      <c r="F5" s="346" t="n"/>
      <c r="G5" s="346" t="n"/>
      <c r="H5" s="346" t="n"/>
      <c r="I5" s="347" t="n"/>
      <c r="J5" s="348" t="n"/>
      <c r="K5" s="346" t="n"/>
      <c r="L5" s="346" t="n"/>
      <c r="M5" s="346" t="n"/>
      <c r="N5" s="346" t="n"/>
      <c r="O5" s="347" t="n"/>
      <c r="P5" s="348" t="n"/>
      <c r="Q5" s="346" t="n"/>
      <c r="R5" s="346" t="n"/>
      <c r="S5" s="346" t="n"/>
      <c r="T5" s="346" t="n"/>
      <c r="U5" s="346" t="n"/>
      <c r="V5" s="346" t="n"/>
      <c r="W5" s="346" t="n"/>
      <c r="X5" s="346" t="n"/>
      <c r="Y5" s="346" t="n"/>
      <c r="Z5" s="347" t="n"/>
      <c r="AA5" s="202" t="inlineStr">
        <is>
          <t>배분</t>
        </is>
      </c>
      <c r="AB5" s="344" t="n"/>
      <c r="AC5" s="344" t="n"/>
      <c r="AD5" s="345" t="n"/>
      <c r="AE5" s="202" t="inlineStr">
        <is>
          <t>검토</t>
        </is>
      </c>
      <c r="AF5" s="344" t="n"/>
      <c r="AG5" s="344" t="n"/>
      <c r="AH5" s="345" t="n"/>
      <c r="AI5" s="202" t="inlineStr">
        <is>
          <t>현행유지</t>
        </is>
      </c>
      <c r="AJ5" s="344" t="n"/>
      <c r="AK5" s="344" t="n"/>
      <c r="AL5" s="345" t="n"/>
      <c r="AM5" s="202" t="inlineStr">
        <is>
          <t>개선불가</t>
        </is>
      </c>
      <c r="AN5" s="344" t="n"/>
      <c r="AO5" s="344" t="n"/>
      <c r="AP5" s="345" t="n"/>
      <c r="AQ5" s="202" t="inlineStr">
        <is>
          <t>개선예정</t>
        </is>
      </c>
      <c r="AR5" s="344" t="n"/>
      <c r="AS5" s="344" t="n"/>
      <c r="AT5" s="345" t="n"/>
      <c r="AU5" s="202" t="inlineStr">
        <is>
          <t>1월</t>
        </is>
      </c>
      <c r="AV5" s="344" t="n"/>
      <c r="AW5" s="344" t="n"/>
      <c r="AX5" s="345" t="n"/>
      <c r="AY5" s="202" t="inlineStr">
        <is>
          <t>누적</t>
        </is>
      </c>
      <c r="AZ5" s="344" t="n"/>
      <c r="BA5" s="344" t="n"/>
      <c r="BB5" s="345" t="n"/>
      <c r="BC5" s="203" t="inlineStr">
        <is>
          <t>1월 대비</t>
        </is>
      </c>
      <c r="BD5" s="344" t="n"/>
      <c r="BE5" s="344" t="n"/>
      <c r="BF5" s="344" t="n"/>
      <c r="BI5" s="161" t="inlineStr">
        <is>
          <t>채널</t>
        </is>
      </c>
      <c r="BJ5" s="161" t="inlineStr">
        <is>
          <t>고객경험단계</t>
        </is>
      </c>
      <c r="BK5" s="161" t="inlineStr">
        <is>
          <t>부서명</t>
        </is>
      </c>
      <c r="BL5" s="161" t="inlineStr">
        <is>
          <t>VL키</t>
        </is>
      </c>
      <c r="BM5" s="161" t="inlineStr">
        <is>
          <t>배분</t>
        </is>
      </c>
      <c r="BN5" s="161" t="inlineStr">
        <is>
          <t>검토</t>
        </is>
      </c>
      <c r="BO5" s="161" t="inlineStr">
        <is>
          <t>검토율</t>
        </is>
      </c>
      <c r="BP5" s="161" t="inlineStr">
        <is>
          <t>현행유지</t>
        </is>
      </c>
      <c r="BQ5" s="161" t="inlineStr">
        <is>
          <t>현행유지비율</t>
        </is>
      </c>
      <c r="BR5" s="161" t="inlineStr">
        <is>
          <t>개선불가</t>
        </is>
      </c>
      <c r="BS5" s="161" t="inlineStr">
        <is>
          <t>개선불가비율</t>
        </is>
      </c>
      <c r="BT5" s="161" t="inlineStr">
        <is>
          <t>개선예정</t>
        </is>
      </c>
      <c r="BU5" s="161" t="inlineStr">
        <is>
          <t>개선예정비율</t>
        </is>
      </c>
    </row>
    <row r="6" ht="15" customHeight="1" s="292">
      <c r="B6" s="120" t="inlineStr">
        <is>
          <t>KB 스타뱅킹</t>
        </is>
      </c>
      <c r="C6" s="120" t="inlineStr">
        <is>
          <t>합계</t>
        </is>
      </c>
      <c r="D6" s="351" t="inlineStr">
        <is>
          <t>KB 스타뱅킹</t>
        </is>
      </c>
      <c r="E6" s="342" t="n"/>
      <c r="F6" s="342" t="n"/>
      <c r="G6" s="342" t="n"/>
      <c r="H6" s="342" t="n"/>
      <c r="I6" s="343" t="n"/>
      <c r="J6" s="91" t="inlineStr">
        <is>
          <t>합계</t>
        </is>
      </c>
      <c r="K6" s="95" t="n"/>
      <c r="L6" s="95" t="n"/>
      <c r="M6" s="95" t="n"/>
      <c r="N6" s="95" t="n"/>
      <c r="O6" s="96" t="n"/>
      <c r="P6" s="118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6" t="n"/>
      <c r="AA6" s="205">
        <f>IFERROR(VLOOKUP(B6&amp;C6&amp;P6, $BL$6:$BU$65, 2, 0), 0)</f>
        <v/>
      </c>
      <c r="AB6" s="344" t="n"/>
      <c r="AC6" s="344" t="n"/>
      <c r="AD6" s="345" t="n"/>
      <c r="AE6" s="205">
        <f>IFERROR(VLOOKUP(B6&amp;C6&amp;P6, $BL$6:$BU$65, 3, 0), 0)&amp;"("&amp;IFERROR(VLOOKUP(B6&amp;C6&amp;P6, $BL$6:$BU$65, 4, 0), 0)&amp;")"</f>
        <v/>
      </c>
      <c r="AF6" s="344" t="n"/>
      <c r="AG6" s="344" t="n"/>
      <c r="AH6" s="345" t="n"/>
      <c r="AI6" s="205">
        <f>IFERROR(VLOOKUP(B6&amp;C6&amp;P6, $BL$6:$BU$65, 5, 0),0)&amp;"("&amp;IFERROR(VLOOKUP(B6&amp;C6&amp;P6, $BL$6:$BU$65, 6, 0),0)&amp;")"</f>
        <v/>
      </c>
      <c r="AJ6" s="344" t="n"/>
      <c r="AK6" s="344" t="n"/>
      <c r="AL6" s="345" t="n"/>
      <c r="AM6" s="205">
        <f>IFERROR(VLOOKUP(B6&amp;C6&amp;P6, $BL$6:$BU$65, 7, 0),0)&amp;"("&amp;IFERROR(VLOOKUP(B6&amp;C6&amp;P6, $BL$6:$BU$65, 8, 0),0)&amp;")"</f>
        <v/>
      </c>
      <c r="AN6" s="344" t="n"/>
      <c r="AO6" s="344" t="n"/>
      <c r="AP6" s="345" t="n"/>
      <c r="AQ6" s="206">
        <f>IFERROR(VLOOKUP(B6&amp;C6&amp;P6, $BL$6:$BU$65, 9, 0),0)&amp;"("&amp;IFERROR(VLOOKUP(B6&amp;C6&amp;P6, $BL$6:$BU$65, 10, 0),0)&amp;")"</f>
        <v/>
      </c>
      <c r="AR6" s="344" t="n"/>
      <c r="AS6" s="344" t="n"/>
      <c r="AT6" s="345" t="n"/>
      <c r="AU6" s="361" t="n">
        <v>65</v>
      </c>
      <c r="AV6" s="344" t="n"/>
      <c r="AW6" s="344" t="n"/>
      <c r="AX6" s="345" t="n"/>
      <c r="AY6" s="361" t="n">
        <v>65.5</v>
      </c>
      <c r="AZ6" s="344" t="n"/>
      <c r="BA6" s="344" t="n"/>
      <c r="BB6" s="345" t="n"/>
      <c r="BC6" s="362" t="n">
        <v>0.5</v>
      </c>
      <c r="BD6" s="344" t="n"/>
      <c r="BE6" s="344" t="n"/>
      <c r="BF6" s="344" t="n"/>
      <c r="BI6" s="321" t="inlineStr">
        <is>
          <t>KB 스타뱅킹</t>
        </is>
      </c>
      <c r="BJ6" s="321" t="inlineStr">
        <is>
          <t>합계</t>
        </is>
      </c>
      <c r="BK6" s="321" t="inlineStr"/>
      <c r="BL6" s="321">
        <f>BI6&amp;BJ6&amp;BK6</f>
        <v/>
      </c>
      <c r="BM6" s="350" t="n">
        <v>43</v>
      </c>
      <c r="BN6" s="350" t="n">
        <v>34</v>
      </c>
      <c r="BO6" s="320" t="n">
        <v>79.09999999999999</v>
      </c>
      <c r="BP6" s="350" t="n">
        <v>18</v>
      </c>
      <c r="BQ6" s="320" t="n">
        <v>52.9</v>
      </c>
      <c r="BR6" s="350" t="n">
        <v>0</v>
      </c>
      <c r="BS6" s="320" t="n">
        <v>0</v>
      </c>
      <c r="BT6" s="350" t="n">
        <v>16</v>
      </c>
      <c r="BU6" s="320" t="n">
        <v>47.1</v>
      </c>
    </row>
    <row r="7" ht="15" customHeight="1" s="292">
      <c r="B7" s="120" t="inlineStr">
        <is>
          <t>KB 스타뱅킹</t>
        </is>
      </c>
      <c r="C7" s="120" t="inlineStr">
        <is>
          <t>로그인/인증</t>
        </is>
      </c>
      <c r="I7" s="355" t="n"/>
      <c r="J7" s="85" t="inlineStr">
        <is>
          <t>로그인/인증</t>
        </is>
      </c>
      <c r="K7" s="89" t="n"/>
      <c r="L7" s="89" t="n"/>
      <c r="M7" s="89" t="n"/>
      <c r="N7" s="89" t="n"/>
      <c r="O7" s="90" t="n"/>
      <c r="P7" s="88" t="inlineStr">
        <is>
          <t>스타뱅킹영업부(P)</t>
        </is>
      </c>
      <c r="Q7" s="89" t="n"/>
      <c r="R7" s="89" t="n"/>
      <c r="S7" s="89" t="n"/>
      <c r="T7" s="89" t="n"/>
      <c r="U7" s="89" t="n"/>
      <c r="V7" s="89" t="n"/>
      <c r="W7" s="89" t="n"/>
      <c r="X7" s="89" t="n"/>
      <c r="Y7" s="89" t="n"/>
      <c r="Z7" s="90" t="n"/>
      <c r="AA7" s="211">
        <f>IFERROR(VLOOKUP(B7&amp;C7&amp;P7, $BL$6:$BU$65, 2, 0), 0)</f>
        <v/>
      </c>
      <c r="AB7" s="344" t="n"/>
      <c r="AC7" s="344" t="n"/>
      <c r="AD7" s="345" t="n"/>
      <c r="AE7" s="211">
        <f>IFERROR(VLOOKUP(B7&amp;C7&amp;P7, $BL$6:$BU$65, 3, 0), 0)&amp;"("&amp;IFERROR(VLOOKUP(B7&amp;C7&amp;P7, $BL$6:$BU$65, 4, 0), 0)&amp;")"</f>
        <v/>
      </c>
      <c r="AF7" s="344" t="n"/>
      <c r="AG7" s="344" t="n"/>
      <c r="AH7" s="345" t="n"/>
      <c r="AI7" s="211">
        <f>IFERROR(VLOOKUP(B7&amp;C7&amp;P7, $BL$6:$BU$65, 5, 0),0)&amp;"("&amp;IFERROR(VLOOKUP(B7&amp;C7&amp;P7, $BL$6:$BU$65, 6, 0),0)&amp;")"</f>
        <v/>
      </c>
      <c r="AJ7" s="344" t="n"/>
      <c r="AK7" s="344" t="n"/>
      <c r="AL7" s="345" t="n"/>
      <c r="AM7" s="211">
        <f>IFERROR(VLOOKUP(B7&amp;C7&amp;P7, $BL$6:$BU$65, 7, 0),0)&amp;"("&amp;IFERROR(VLOOKUP(B7&amp;C7&amp;P7, $BL$6:$BU$65, 8, 0),0)&amp;")"</f>
        <v/>
      </c>
      <c r="AN7" s="344" t="n"/>
      <c r="AO7" s="344" t="n"/>
      <c r="AP7" s="345" t="n"/>
      <c r="AQ7" s="206">
        <f>IFERROR(VLOOKUP(B7&amp;C7&amp;P7, $BL$6:$BU$65, 9, 0),0)&amp;"("&amp;IFERROR(VLOOKUP(B7&amp;C7&amp;P7, $BL$6:$BU$65, 10, 0),0)&amp;")"</f>
        <v/>
      </c>
      <c r="AR7" s="344" t="n"/>
      <c r="AS7" s="344" t="n"/>
      <c r="AT7" s="345" t="n"/>
      <c r="AU7" s="211">
        <f>VLOOKUP($D$6&amp;$J7, $BK$68:$BN$107, 2, 0)</f>
        <v/>
      </c>
      <c r="AV7" s="344" t="n"/>
      <c r="AW7" s="344" t="n"/>
      <c r="AX7" s="345" t="n"/>
      <c r="AY7" s="211">
        <f>VLOOKUP($D$6&amp;$J7, $BK$68:$BN$107, 3, 0)</f>
        <v/>
      </c>
      <c r="AZ7" s="344" t="n"/>
      <c r="BA7" s="344" t="n"/>
      <c r="BB7" s="345" t="n"/>
      <c r="BC7" s="242">
        <f>VLOOKUP($D$6&amp;$J7, $BK$68:$BN$107, 4, 0)</f>
        <v/>
      </c>
      <c r="BD7" s="344" t="n"/>
      <c r="BE7" s="344" t="n"/>
      <c r="BF7" s="344" t="n"/>
      <c r="BI7" s="321" t="inlineStr">
        <is>
          <t>상품</t>
        </is>
      </c>
      <c r="BJ7" s="321" t="inlineStr">
        <is>
          <t>합계</t>
        </is>
      </c>
      <c r="BK7" s="321" t="inlineStr"/>
      <c r="BL7" s="321">
        <f>BI7&amp;BJ7&amp;BK7</f>
        <v/>
      </c>
      <c r="BM7" s="350" t="n">
        <v>110</v>
      </c>
      <c r="BN7" s="350" t="n">
        <v>107</v>
      </c>
      <c r="BO7" s="320" t="n">
        <v>97.3</v>
      </c>
      <c r="BP7" s="350" t="n">
        <v>105</v>
      </c>
      <c r="BQ7" s="320" t="n">
        <v>98.09999999999999</v>
      </c>
      <c r="BR7" s="350" t="n">
        <v>2</v>
      </c>
      <c r="BS7" s="320" t="n">
        <v>1.9</v>
      </c>
      <c r="BT7" s="350" t="n">
        <v>0</v>
      </c>
      <c r="BU7" s="320" t="n">
        <v>0</v>
      </c>
    </row>
    <row r="8" ht="15" customHeight="1" s="292">
      <c r="B8" s="120" t="inlineStr">
        <is>
          <t>KB 스타뱅킹</t>
        </is>
      </c>
      <c r="C8" s="120" t="inlineStr">
        <is>
          <t>홈화면</t>
        </is>
      </c>
      <c r="I8" s="355" t="n"/>
      <c r="J8" s="85" t="inlineStr">
        <is>
          <t>홈화면</t>
        </is>
      </c>
      <c r="K8" s="89" t="n"/>
      <c r="L8" s="89" t="n"/>
      <c r="M8" s="89" t="n"/>
      <c r="N8" s="89" t="n"/>
      <c r="O8" s="90" t="n"/>
      <c r="P8" s="88" t="inlineStr">
        <is>
          <t>스타뱅킹영업부(P)</t>
        </is>
      </c>
      <c r="Q8" s="89" t="n"/>
      <c r="R8" s="89" t="n"/>
      <c r="S8" s="89" t="n"/>
      <c r="T8" s="89" t="n"/>
      <c r="U8" s="89" t="n"/>
      <c r="V8" s="89" t="n"/>
      <c r="W8" s="89" t="n"/>
      <c r="X8" s="89" t="n"/>
      <c r="Y8" s="89" t="n"/>
      <c r="Z8" s="90" t="n"/>
      <c r="AA8" s="211">
        <f>IFERROR(VLOOKUP(B8&amp;C8&amp;P8, $BL$6:$BU$65, 2, 0), 0)</f>
        <v/>
      </c>
      <c r="AB8" s="344" t="n"/>
      <c r="AC8" s="344" t="n"/>
      <c r="AD8" s="345" t="n"/>
      <c r="AE8" s="211">
        <f>IFERROR(VLOOKUP(B8&amp;C8&amp;P8, $BL$6:$BU$65, 3, 0), 0)&amp;"("&amp;IFERROR(VLOOKUP(B8&amp;C8&amp;P8, $BL$6:$BU$65, 4, 0), 0)&amp;")"</f>
        <v/>
      </c>
      <c r="AF8" s="344" t="n"/>
      <c r="AG8" s="344" t="n"/>
      <c r="AH8" s="345" t="n"/>
      <c r="AI8" s="211">
        <f>IFERROR(VLOOKUP(B8&amp;C8&amp;P8, $BL$6:$BU$65, 5, 0),0)&amp;"("&amp;IFERROR(VLOOKUP(B8&amp;C8&amp;P8, $BL$6:$BU$65, 6, 0),0)&amp;")"</f>
        <v/>
      </c>
      <c r="AJ8" s="344" t="n"/>
      <c r="AK8" s="344" t="n"/>
      <c r="AL8" s="345" t="n"/>
      <c r="AM8" s="211">
        <f>IFERROR(VLOOKUP(B8&amp;C8&amp;P8, $BL$6:$BU$65, 7, 0),0)&amp;"("&amp;IFERROR(VLOOKUP(B8&amp;C8&amp;P8, $BL$6:$BU$65, 8, 0),0)&amp;")"</f>
        <v/>
      </c>
      <c r="AN8" s="344" t="n"/>
      <c r="AO8" s="344" t="n"/>
      <c r="AP8" s="345" t="n"/>
      <c r="AQ8" s="206">
        <f>IFERROR(VLOOKUP(B8&amp;C8&amp;P8, $BL$6:$BU$65, 9, 0),0)&amp;"("&amp;IFERROR(VLOOKUP(B8&amp;C8&amp;P8, $BL$6:$BU$65, 10, 0),0)&amp;")"</f>
        <v/>
      </c>
      <c r="AR8" s="344" t="n"/>
      <c r="AS8" s="344" t="n"/>
      <c r="AT8" s="345" t="n"/>
      <c r="AU8" s="211">
        <f>VLOOKUP($D$6&amp;$J8, $BK$68:$BN$107, 2, 0)</f>
        <v/>
      </c>
      <c r="AV8" s="344" t="n"/>
      <c r="AW8" s="344" t="n"/>
      <c r="AX8" s="345" t="n"/>
      <c r="AY8" s="211">
        <f>VLOOKUP($D$6&amp;$J8, $BK$68:$BN$107, 3, 0)</f>
        <v/>
      </c>
      <c r="AZ8" s="344" t="n"/>
      <c r="BA8" s="344" t="n"/>
      <c r="BB8" s="345" t="n"/>
      <c r="BC8" s="242">
        <f>VLOOKUP($D$6&amp;$J8, $BK$68:$BN$107, 4, 0)</f>
        <v/>
      </c>
      <c r="BD8" s="344" t="n"/>
      <c r="BE8" s="344" t="n"/>
      <c r="BF8" s="344" t="n"/>
      <c r="BI8" s="321" t="inlineStr">
        <is>
          <t>영업점</t>
        </is>
      </c>
      <c r="BJ8" s="321" t="inlineStr">
        <is>
          <t>합계</t>
        </is>
      </c>
      <c r="BK8" s="321" t="inlineStr"/>
      <c r="BL8" s="321">
        <f>BI8&amp;BJ8&amp;BK8</f>
        <v/>
      </c>
      <c r="BM8" s="350" t="n">
        <v>140</v>
      </c>
      <c r="BN8" s="350" t="n">
        <v>117</v>
      </c>
      <c r="BO8" s="320" t="n">
        <v>83.59999999999999</v>
      </c>
      <c r="BP8" s="350" t="n">
        <v>47</v>
      </c>
      <c r="BQ8" s="320" t="n">
        <v>40.2</v>
      </c>
      <c r="BR8" s="350" t="n">
        <v>4</v>
      </c>
      <c r="BS8" s="320" t="n">
        <v>3.4</v>
      </c>
      <c r="BT8" s="350" t="n">
        <v>66</v>
      </c>
      <c r="BU8" s="320" t="n">
        <v>56.4</v>
      </c>
    </row>
    <row r="9" ht="15" customHeight="1" s="292">
      <c r="B9" s="120" t="inlineStr">
        <is>
          <t>KB 스타뱅킹</t>
        </is>
      </c>
      <c r="C9" s="120" t="inlineStr">
        <is>
          <t>통합검색</t>
        </is>
      </c>
      <c r="I9" s="355" t="n"/>
      <c r="J9" s="85" t="inlineStr">
        <is>
          <t>통합검색</t>
        </is>
      </c>
      <c r="K9" s="89" t="n"/>
      <c r="L9" s="89" t="n"/>
      <c r="M9" s="89" t="n"/>
      <c r="N9" s="89" t="n"/>
      <c r="O9" s="90" t="n"/>
      <c r="P9" s="88" t="inlineStr">
        <is>
          <t>스타뱅킹영업부(P)</t>
        </is>
      </c>
      <c r="Q9" s="89" t="n"/>
      <c r="R9" s="89" t="n"/>
      <c r="S9" s="89" t="n"/>
      <c r="T9" s="89" t="n"/>
      <c r="U9" s="89" t="n"/>
      <c r="V9" s="89" t="n"/>
      <c r="W9" s="89" t="n"/>
      <c r="X9" s="89" t="n"/>
      <c r="Y9" s="89" t="n"/>
      <c r="Z9" s="90" t="n"/>
      <c r="AA9" s="211">
        <f>IFERROR(VLOOKUP(B9&amp;C9&amp;P9, $BL$6:$BU$65, 2, 0), 0)</f>
        <v/>
      </c>
      <c r="AB9" s="344" t="n"/>
      <c r="AC9" s="344" t="n"/>
      <c r="AD9" s="345" t="n"/>
      <c r="AE9" s="211">
        <f>IFERROR(VLOOKUP(B9&amp;C9&amp;P9, $BL$6:$BU$65, 3, 0), 0)&amp;"("&amp;IFERROR(VLOOKUP(B9&amp;C9&amp;P9, $BL$6:$BU$65, 4, 0), 0)&amp;")"</f>
        <v/>
      </c>
      <c r="AF9" s="344" t="n"/>
      <c r="AG9" s="344" t="n"/>
      <c r="AH9" s="345" t="n"/>
      <c r="AI9" s="211">
        <f>IFERROR(VLOOKUP(B9&amp;C9&amp;P9, $BL$6:$BU$65, 5, 0),0)&amp;"("&amp;IFERROR(VLOOKUP(B9&amp;C9&amp;P9, $BL$6:$BU$65, 6, 0),0)&amp;")"</f>
        <v/>
      </c>
      <c r="AJ9" s="344" t="n"/>
      <c r="AK9" s="344" t="n"/>
      <c r="AL9" s="345" t="n"/>
      <c r="AM9" s="211">
        <f>IFERROR(VLOOKUP(B9&amp;C9&amp;P9, $BL$6:$BU$65, 7, 0),0)&amp;"("&amp;IFERROR(VLOOKUP(B9&amp;C9&amp;P9, $BL$6:$BU$65, 8, 0),0)&amp;")"</f>
        <v/>
      </c>
      <c r="AN9" s="344" t="n"/>
      <c r="AO9" s="344" t="n"/>
      <c r="AP9" s="345" t="n"/>
      <c r="AQ9" s="210">
        <f>IFERROR(VLOOKUP(B9&amp;C9&amp;P9, $BL$6:$BU$65, 9, 0),0)&amp;"("&amp;IFERROR(VLOOKUP(B9&amp;C9&amp;P9, $BL$6:$BU$65, 10, 0),0)&amp;")"</f>
        <v/>
      </c>
      <c r="AR9" s="342" t="n"/>
      <c r="AS9" s="342" t="n"/>
      <c r="AT9" s="343" t="n"/>
      <c r="AU9" s="211">
        <f>VLOOKUP($D$6&amp;$J9, $BK$68:$BN$107, 2, 0)</f>
        <v/>
      </c>
      <c r="AV9" s="344" t="n"/>
      <c r="AW9" s="344" t="n"/>
      <c r="AX9" s="345" t="n"/>
      <c r="AY9" s="211">
        <f>VLOOKUP($D$6&amp;$J9, $BK$68:$BN$107, 3, 0)</f>
        <v/>
      </c>
      <c r="AZ9" s="344" t="n"/>
      <c r="BA9" s="344" t="n"/>
      <c r="BB9" s="345" t="n"/>
      <c r="BC9" s="242">
        <f>VLOOKUP($D$6&amp;$J9, $BK$68:$BN$107, 4, 0)</f>
        <v/>
      </c>
      <c r="BD9" s="344" t="n"/>
      <c r="BE9" s="344" t="n"/>
      <c r="BF9" s="344" t="n"/>
      <c r="BI9" s="321" t="inlineStr">
        <is>
          <t>고객센터</t>
        </is>
      </c>
      <c r="BJ9" s="321" t="inlineStr">
        <is>
          <t>합계</t>
        </is>
      </c>
      <c r="BK9" s="321" t="inlineStr"/>
      <c r="BL9" s="321">
        <f>BI9&amp;BJ9&amp;BK9</f>
        <v/>
      </c>
      <c r="BM9" s="350" t="n">
        <v>207</v>
      </c>
      <c r="BN9" s="350" t="n">
        <v>181</v>
      </c>
      <c r="BO9" s="320" t="n">
        <v>87.40000000000001</v>
      </c>
      <c r="BP9" s="350" t="n">
        <v>8</v>
      </c>
      <c r="BQ9" s="320" t="n">
        <v>4.4</v>
      </c>
      <c r="BR9" s="350" t="n">
        <v>0</v>
      </c>
      <c r="BS9" s="320" t="n">
        <v>0</v>
      </c>
      <c r="BT9" s="350" t="n">
        <v>173</v>
      </c>
      <c r="BU9" s="320" t="n">
        <v>95.59999999999999</v>
      </c>
    </row>
    <row r="10" ht="15" customHeight="1" s="292">
      <c r="B10" s="120" t="inlineStr">
        <is>
          <t>KB 스타뱅킹</t>
        </is>
      </c>
      <c r="C10" s="120" t="inlineStr">
        <is>
          <t>상품가입</t>
        </is>
      </c>
      <c r="I10" s="355" t="n"/>
      <c r="J10" s="363" t="inlineStr">
        <is>
          <t>상품가입</t>
        </is>
      </c>
      <c r="K10" s="342" t="n"/>
      <c r="L10" s="342" t="n"/>
      <c r="M10" s="342" t="n"/>
      <c r="N10" s="342" t="n"/>
      <c r="O10" s="343" t="n"/>
      <c r="P10" s="97" t="inlineStr">
        <is>
          <t>개인여신부(P)</t>
        </is>
      </c>
      <c r="Q10" s="99" t="n"/>
      <c r="R10" s="99" t="n"/>
      <c r="S10" s="99" t="n"/>
      <c r="T10" s="99" t="n"/>
      <c r="U10" s="99" t="n"/>
      <c r="V10" s="99" t="n"/>
      <c r="W10" s="99" t="n"/>
      <c r="X10" s="99" t="n"/>
      <c r="Y10" s="99" t="n"/>
      <c r="Z10" s="100" t="n"/>
      <c r="AA10" s="364">
        <f>IFERROR(VLOOKUP(B10&amp;C10&amp;P10, $BL$6:$BU$65, 2, 0), 0)</f>
        <v/>
      </c>
      <c r="AB10" s="342" t="n"/>
      <c r="AC10" s="342" t="n"/>
      <c r="AD10" s="343" t="n"/>
      <c r="AE10" s="364">
        <f>IFERROR(VLOOKUP(B10&amp;C10&amp;P10, $BL$6:$BU$65, 3, 0), 0)&amp;"("&amp;IFERROR(VLOOKUP(B10&amp;C10&amp;P10, $BL$6:$BU$65, 4, 0), 0)&amp;")"</f>
        <v/>
      </c>
      <c r="AF10" s="342" t="n"/>
      <c r="AG10" s="342" t="n"/>
      <c r="AH10" s="343" t="n"/>
      <c r="AI10" s="364">
        <f>IFERROR(VLOOKUP(B10&amp;C10&amp;P10, $BL$6:$BU$65, 5, 0),0)&amp;"("&amp;IFERROR(VLOOKUP(B10&amp;C10&amp;P10, $BL$6:$BU$65, 6, 0),0)&amp;")"</f>
        <v/>
      </c>
      <c r="AJ10" s="342" t="n"/>
      <c r="AK10" s="342" t="n"/>
      <c r="AL10" s="343" t="n"/>
      <c r="AM10" s="263">
        <f>IFERROR(VLOOKUP(B10&amp;C10&amp;P10, $BL$6:$BU$65, 7, 0),0)&amp;"("&amp;IFERROR(VLOOKUP(B10&amp;C10&amp;P10, $BL$6:$BU$65, 8, 0),0)&amp;")"</f>
        <v/>
      </c>
      <c r="AN10" s="342" t="n"/>
      <c r="AO10" s="342" t="n"/>
      <c r="AP10" s="342" t="n"/>
      <c r="AQ10" s="210">
        <f>IFERROR(VLOOKUP(B10&amp;C10&amp;P10, $BL$6:$BU$65, 9, 0),0)&amp;"("&amp;IFERROR(VLOOKUP(B10&amp;C10&amp;P10, $BL$6:$BU$65, 10, 0),0)&amp;")"</f>
        <v/>
      </c>
      <c r="AR10" s="342" t="n"/>
      <c r="AS10" s="342" t="n"/>
      <c r="AT10" s="343" t="n"/>
      <c r="AU10" s="244">
        <f>VLOOKUP($D$6&amp;$J10, $BK$68:$BN$107, 2, 0)</f>
        <v/>
      </c>
      <c r="AV10" s="342" t="n"/>
      <c r="AW10" s="342" t="n"/>
      <c r="AX10" s="343" t="n"/>
      <c r="AY10" s="211">
        <f>VLOOKUP($D$6&amp;$J10, $BK$68:$BN$107, 3, 0)</f>
        <v/>
      </c>
      <c r="AZ10" s="342" t="n"/>
      <c r="BA10" s="342" t="n"/>
      <c r="BB10" s="343" t="n"/>
      <c r="BC10" s="242">
        <f>VLOOKUP($D$6&amp;$J10, $BK$68:$BN$107, 4, 0)</f>
        <v/>
      </c>
      <c r="BD10" s="342" t="n"/>
      <c r="BE10" s="342" t="n"/>
      <c r="BF10" s="342" t="n"/>
      <c r="BI10" s="321" t="inlineStr">
        <is>
          <t>KB 스타뱅킹</t>
        </is>
      </c>
      <c r="BJ10" s="321" t="inlineStr">
        <is>
          <t>로그인/인증</t>
        </is>
      </c>
      <c r="BK10" s="321" t="inlineStr">
        <is>
          <t>스타뱅킹영업부(P)</t>
        </is>
      </c>
      <c r="BL10" s="321">
        <f>BI10&amp;BJ10&amp;BK10</f>
        <v/>
      </c>
      <c r="BM10" s="350" t="n">
        <v>12</v>
      </c>
      <c r="BN10" s="350" t="n">
        <v>9</v>
      </c>
      <c r="BO10" s="320" t="n">
        <v>75</v>
      </c>
      <c r="BP10" s="350" t="n">
        <v>9</v>
      </c>
      <c r="BQ10" s="320" t="n">
        <v>100</v>
      </c>
      <c r="BR10" s="350" t="n">
        <v>0</v>
      </c>
      <c r="BS10" s="320" t="n">
        <v>0</v>
      </c>
      <c r="BT10" s="350" t="n">
        <v>0</v>
      </c>
      <c r="BU10" s="320" t="n">
        <v>0</v>
      </c>
    </row>
    <row r="11" ht="15" customHeight="1" s="292">
      <c r="B11" s="120" t="inlineStr">
        <is>
          <t>KB 스타뱅킹</t>
        </is>
      </c>
      <c r="C11" s="120" t="inlineStr">
        <is>
          <t>상품가입</t>
        </is>
      </c>
      <c r="I11" s="355" t="n"/>
      <c r="J11" s="357" t="n"/>
      <c r="O11" s="355" t="n"/>
      <c r="P11" s="116" t="inlineStr">
        <is>
          <t>수신상품부(P)</t>
        </is>
      </c>
      <c r="Q11" s="117" t="n"/>
      <c r="R11" s="117" t="n"/>
      <c r="S11" s="117" t="n"/>
      <c r="T11" s="117" t="n"/>
      <c r="U11" s="117" t="n"/>
      <c r="V11" s="117" t="n"/>
      <c r="W11" s="117" t="n"/>
      <c r="X11" s="117" t="n"/>
      <c r="Y11" s="117" t="n"/>
      <c r="Z11" s="104" t="n"/>
      <c r="AA11" s="213">
        <f>IFERROR(VLOOKUP(B11&amp;C11&amp;P11, $BL$6:$BU$65, 2, 0), 0)</f>
        <v/>
      </c>
      <c r="AD11" s="355" t="n"/>
      <c r="AE11" s="213">
        <f>IFERROR(VLOOKUP(B11&amp;C11&amp;P11, $BL$6:$BU$65, 3, 0), 0)&amp;"("&amp;IFERROR(VLOOKUP(B11&amp;C11&amp;P11, $BL$6:$BU$65, 4, 0), 0)&amp;")"</f>
        <v/>
      </c>
      <c r="AH11" s="355" t="n"/>
      <c r="AI11" s="213">
        <f>IFERROR(VLOOKUP(B11&amp;C11&amp;P11, $BL$6:$BU$65, 5, 0),0)&amp;"("&amp;IFERROR(VLOOKUP(B11&amp;C11&amp;P11, $BL$6:$BU$65, 6, 0),0)&amp;")"</f>
        <v/>
      </c>
      <c r="AL11" s="355" t="n"/>
      <c r="AM11" s="275">
        <f>IFERROR(VLOOKUP(B11&amp;C11&amp;P11, $BL$6:$BU$65, 7, 0),0)&amp;"("&amp;IFERROR(VLOOKUP(B11&amp;C11&amp;P11, $BL$6:$BU$65, 8, 0),0)&amp;")"</f>
        <v/>
      </c>
      <c r="AQ11" s="214">
        <f>IFERROR(VLOOKUP(B11&amp;C11&amp;P11, $BL$6:$BU$65, 9, 0),0)&amp;"("&amp;IFERROR(VLOOKUP(B11&amp;C11&amp;P11, $BL$6:$BU$65, 10, 0),0)&amp;")"</f>
        <v/>
      </c>
      <c r="AT11" s="355" t="n"/>
      <c r="AX11" s="355" t="n"/>
      <c r="AY11" s="357" t="n"/>
      <c r="BB11" s="355" t="n"/>
      <c r="BC11" s="357" t="n"/>
      <c r="BI11" s="321" t="inlineStr">
        <is>
          <t>KB 스타뱅킹</t>
        </is>
      </c>
      <c r="BJ11" s="321" t="inlineStr">
        <is>
          <t>홈화면</t>
        </is>
      </c>
      <c r="BK11" s="321" t="inlineStr">
        <is>
          <t>스타뱅킹영업부(P)</t>
        </is>
      </c>
      <c r="BL11" s="321">
        <f>BI11&amp;BJ11&amp;BK11</f>
        <v/>
      </c>
      <c r="BM11" s="350" t="n">
        <v>2</v>
      </c>
      <c r="BN11" s="350" t="n">
        <v>2</v>
      </c>
      <c r="BO11" s="320" t="n">
        <v>100</v>
      </c>
      <c r="BP11" s="350" t="n">
        <v>0</v>
      </c>
      <c r="BQ11" s="320" t="n">
        <v>0</v>
      </c>
      <c r="BR11" s="350" t="n">
        <v>0</v>
      </c>
      <c r="BS11" s="320" t="n">
        <v>0</v>
      </c>
      <c r="BT11" s="350" t="n">
        <v>2</v>
      </c>
      <c r="BU11" s="320" t="n">
        <v>100</v>
      </c>
    </row>
    <row r="12" ht="15" customHeight="1" s="292">
      <c r="B12" s="120" t="inlineStr">
        <is>
          <t>KB 스타뱅킹</t>
        </is>
      </c>
      <c r="C12" s="120" t="inlineStr">
        <is>
          <t>상품가입</t>
        </is>
      </c>
      <c r="I12" s="355" t="n"/>
      <c r="J12" s="348" t="n"/>
      <c r="K12" s="346" t="n"/>
      <c r="L12" s="346" t="n"/>
      <c r="M12" s="346" t="n"/>
      <c r="N12" s="346" t="n"/>
      <c r="O12" s="347" t="n"/>
      <c r="P12" s="112" t="inlineStr">
        <is>
          <t>외환사업부</t>
        </is>
      </c>
      <c r="Q12" s="113" t="n"/>
      <c r="R12" s="113" t="n"/>
      <c r="S12" s="113" t="n"/>
      <c r="T12" s="113" t="n"/>
      <c r="U12" s="113" t="n"/>
      <c r="V12" s="113" t="n"/>
      <c r="W12" s="113" t="n"/>
      <c r="X12" s="113" t="n"/>
      <c r="Y12" s="113" t="n"/>
      <c r="Z12" s="108" t="n"/>
      <c r="AA12" s="225">
        <f>IFERROR(VLOOKUP(B12&amp;C12&amp;P12, $BL$6:$BU$65, 2, 0), 0)</f>
        <v/>
      </c>
      <c r="AB12" s="346" t="n"/>
      <c r="AC12" s="346" t="n"/>
      <c r="AD12" s="347" t="n"/>
      <c r="AE12" s="225">
        <f>IFERROR(VLOOKUP(B12&amp;C12&amp;P12, $BL$6:$BU$65, 3, 0), 0)&amp;"("&amp;IFERROR(VLOOKUP(B12&amp;C12&amp;P12, $BL$6:$BU$65, 4, 0), 0)&amp;")"</f>
        <v/>
      </c>
      <c r="AF12" s="346" t="n"/>
      <c r="AG12" s="346" t="n"/>
      <c r="AH12" s="347" t="n"/>
      <c r="AI12" s="225">
        <f>IFERROR(VLOOKUP(B12&amp;C12&amp;P12, $BL$6:$BU$65, 5, 0),0)&amp;"("&amp;IFERROR(VLOOKUP(B12&amp;C12&amp;P12, $BL$6:$BU$65, 6, 0),0)&amp;")"</f>
        <v/>
      </c>
      <c r="AJ12" s="346" t="n"/>
      <c r="AK12" s="346" t="n"/>
      <c r="AL12" s="347" t="n"/>
      <c r="AM12" s="245">
        <f>IFERROR(VLOOKUP(B12&amp;C12&amp;P12, $BL$6:$BU$65, 7, 0),0)&amp;"("&amp;IFERROR(VLOOKUP(B12&amp;C12&amp;P12, $BL$6:$BU$65, 8, 0),0)&amp;")"</f>
        <v/>
      </c>
      <c r="AN12" s="346" t="n"/>
      <c r="AO12" s="346" t="n"/>
      <c r="AP12" s="346" t="n"/>
      <c r="AQ12" s="212">
        <f>IFERROR(VLOOKUP(B12&amp;C12&amp;P12, $BL$6:$BU$65, 9, 0),0)&amp;"("&amp;IFERROR(VLOOKUP(B12&amp;C12&amp;P12, $BL$6:$BU$65, 10, 0),0)&amp;")"</f>
        <v/>
      </c>
      <c r="AR12" s="346" t="n"/>
      <c r="AS12" s="346" t="n"/>
      <c r="AT12" s="347" t="n"/>
      <c r="AU12" s="346" t="n"/>
      <c r="AV12" s="346" t="n"/>
      <c r="AW12" s="346" t="n"/>
      <c r="AX12" s="347" t="n"/>
      <c r="AY12" s="348" t="n"/>
      <c r="AZ12" s="346" t="n"/>
      <c r="BA12" s="346" t="n"/>
      <c r="BB12" s="347" t="n"/>
      <c r="BC12" s="348" t="n"/>
      <c r="BD12" s="346" t="n"/>
      <c r="BE12" s="346" t="n"/>
      <c r="BF12" s="346" t="n"/>
      <c r="BI12" s="321" t="inlineStr">
        <is>
          <t>KB 스타뱅킹</t>
        </is>
      </c>
      <c r="BJ12" s="321" t="inlineStr">
        <is>
          <t>통합검색</t>
        </is>
      </c>
      <c r="BK12" s="321" t="inlineStr">
        <is>
          <t>스타뱅킹영업부(P)</t>
        </is>
      </c>
      <c r="BL12" s="321">
        <f>BI12&amp;BJ12&amp;BK12</f>
        <v/>
      </c>
      <c r="BM12" s="350" t="n">
        <v>11</v>
      </c>
      <c r="BN12" s="350" t="n">
        <v>9</v>
      </c>
      <c r="BO12" s="320" t="n">
        <v>81.8</v>
      </c>
      <c r="BP12" s="350" t="n">
        <v>3</v>
      </c>
      <c r="BQ12" s="320" t="n">
        <v>33.3</v>
      </c>
      <c r="BR12" s="350" t="n">
        <v>0</v>
      </c>
      <c r="BS12" s="320" t="n">
        <v>0</v>
      </c>
      <c r="BT12" s="350" t="n">
        <v>6</v>
      </c>
      <c r="BU12" s="320" t="n">
        <v>66.7</v>
      </c>
    </row>
    <row r="13" ht="15" customHeight="1" s="292">
      <c r="B13" s="120" t="inlineStr">
        <is>
          <t>KB 스타뱅킹</t>
        </is>
      </c>
      <c r="C13" s="120" t="inlineStr">
        <is>
          <t>상품관리/해지</t>
        </is>
      </c>
      <c r="I13" s="355" t="n"/>
      <c r="J13" s="85" t="inlineStr">
        <is>
          <t>상품관리/해지</t>
        </is>
      </c>
      <c r="K13" s="89" t="n"/>
      <c r="L13" s="89" t="n"/>
      <c r="M13" s="89" t="n"/>
      <c r="N13" s="89" t="n"/>
      <c r="O13" s="90" t="n"/>
      <c r="P13" s="88" t="inlineStr">
        <is>
          <t>수신상품부(P)</t>
        </is>
      </c>
      <c r="Q13" s="89" t="n"/>
      <c r="R13" s="89" t="n"/>
      <c r="S13" s="89" t="n"/>
      <c r="T13" s="89" t="n"/>
      <c r="U13" s="89" t="n"/>
      <c r="V13" s="89" t="n"/>
      <c r="W13" s="89" t="n"/>
      <c r="X13" s="89" t="n"/>
      <c r="Y13" s="89" t="n"/>
      <c r="Z13" s="90" t="n"/>
      <c r="AA13" s="211">
        <f>IFERROR(VLOOKUP(B13&amp;C13&amp;P13, $BL$6:$BU$65, 2, 0), 0)</f>
        <v/>
      </c>
      <c r="AB13" s="344" t="n"/>
      <c r="AC13" s="344" t="n"/>
      <c r="AD13" s="345" t="n"/>
      <c r="AE13" s="211">
        <f>IFERROR(VLOOKUP(B13&amp;C13&amp;P13, $BL$6:$BU$65, 3, 0), 0)&amp;"("&amp;IFERROR(VLOOKUP(B13&amp;C13&amp;P13, $BL$6:$BU$65, 4, 0), 0)&amp;")"</f>
        <v/>
      </c>
      <c r="AF13" s="344" t="n"/>
      <c r="AG13" s="344" t="n"/>
      <c r="AH13" s="345" t="n"/>
      <c r="AI13" s="211">
        <f>IFERROR(VLOOKUP(B13&amp;C13&amp;P13, $BL$6:$BU$65, 5, 0),0)&amp;"("&amp;IFERROR(VLOOKUP(B13&amp;C13&amp;P13, $BL$6:$BU$65, 6, 0),0)&amp;")"</f>
        <v/>
      </c>
      <c r="AJ13" s="344" t="n"/>
      <c r="AK13" s="344" t="n"/>
      <c r="AL13" s="345" t="n"/>
      <c r="AM13" s="211">
        <f>IFERROR(VLOOKUP(B13&amp;C13&amp;P13, $BL$6:$BU$65, 7, 0),0)&amp;"("&amp;IFERROR(VLOOKUP(B13&amp;C13&amp;P13, $BL$6:$BU$65, 8, 0),0)&amp;")"</f>
        <v/>
      </c>
      <c r="AN13" s="344" t="n"/>
      <c r="AO13" s="344" t="n"/>
      <c r="AP13" s="345" t="n"/>
      <c r="AQ13" s="206">
        <f>IFERROR(VLOOKUP(B13&amp;C13&amp;P13, $BL$6:$BU$65, 9, 0),0)&amp;"("&amp;IFERROR(VLOOKUP(B13&amp;C13&amp;P13, $BL$6:$BU$65, 10, 0),0)&amp;")"</f>
        <v/>
      </c>
      <c r="AR13" s="344" t="n"/>
      <c r="AS13" s="344" t="n"/>
      <c r="AT13" s="345" t="n"/>
      <c r="AU13" s="211">
        <f>VLOOKUP($D$6&amp;$J13, $BK$68:$BN$107, 2, 0)</f>
        <v/>
      </c>
      <c r="AV13" s="344" t="n"/>
      <c r="AW13" s="344" t="n"/>
      <c r="AX13" s="345" t="n"/>
      <c r="AY13" s="211">
        <f>VLOOKUP($D$6&amp;$J13, $BK$68:$BN$107, 3, 0)</f>
        <v/>
      </c>
      <c r="AZ13" s="344" t="n"/>
      <c r="BA13" s="344" t="n"/>
      <c r="BB13" s="345" t="n"/>
      <c r="BC13" s="242">
        <f>VLOOKUP($D$6&amp;$J13, $BK$68:$BN$107, 4, 0)</f>
        <v/>
      </c>
      <c r="BD13" s="344" t="n"/>
      <c r="BE13" s="344" t="n"/>
      <c r="BF13" s="344" t="n"/>
      <c r="BI13" s="321" t="inlineStr">
        <is>
          <t>상품</t>
        </is>
      </c>
      <c r="BJ13" s="321" t="inlineStr">
        <is>
          <t>저축성</t>
        </is>
      </c>
      <c r="BK13" s="321" t="inlineStr">
        <is>
          <t>수신상품부(P)</t>
        </is>
      </c>
      <c r="BL13" s="321">
        <f>BI13&amp;BJ13&amp;BK13</f>
        <v/>
      </c>
      <c r="BM13" s="350" t="n">
        <v>87</v>
      </c>
      <c r="BN13" s="350" t="n">
        <v>86</v>
      </c>
      <c r="BO13" s="320" t="n">
        <v>98.90000000000001</v>
      </c>
      <c r="BP13" s="350" t="n">
        <v>84</v>
      </c>
      <c r="BQ13" s="320" t="n">
        <v>97.7</v>
      </c>
      <c r="BR13" s="350" t="n">
        <v>2</v>
      </c>
      <c r="BS13" s="320" t="n">
        <v>2.3</v>
      </c>
      <c r="BT13" s="350" t="n">
        <v>0</v>
      </c>
      <c r="BU13" s="320" t="n">
        <v>0</v>
      </c>
    </row>
    <row r="14" ht="15" customHeight="1" s="292">
      <c r="B14" s="120" t="inlineStr">
        <is>
          <t>KB 스타뱅킹</t>
        </is>
      </c>
      <c r="C14" s="120" t="inlineStr">
        <is>
          <t>콘텐츠/서비스</t>
        </is>
      </c>
      <c r="I14" s="355" t="n"/>
      <c r="J14" s="363" t="inlineStr">
        <is>
          <t>콘텐츠/서비스</t>
        </is>
      </c>
      <c r="K14" s="342" t="n"/>
      <c r="L14" s="342" t="n"/>
      <c r="M14" s="342" t="n"/>
      <c r="N14" s="342" t="n"/>
      <c r="O14" s="343" t="n"/>
      <c r="P14" s="97" t="inlineStr">
        <is>
          <t>WM플랫폼부(P)</t>
        </is>
      </c>
      <c r="Q14" s="99" t="n"/>
      <c r="R14" s="99" t="n"/>
      <c r="S14" s="99" t="n"/>
      <c r="T14" s="99" t="n"/>
      <c r="U14" s="99" t="n"/>
      <c r="V14" s="99" t="n"/>
      <c r="W14" s="99" t="n"/>
      <c r="X14" s="99" t="n"/>
      <c r="Y14" s="99" t="n"/>
      <c r="Z14" s="100" t="n"/>
      <c r="AA14" s="364">
        <f>IFERROR(VLOOKUP(B14&amp;C14&amp;P14, $BL$6:$BU$65, 2, 0), 0)</f>
        <v/>
      </c>
      <c r="AB14" s="342" t="n"/>
      <c r="AC14" s="342" t="n"/>
      <c r="AD14" s="343" t="n"/>
      <c r="AE14" s="364">
        <f>IFERROR(VLOOKUP(B14&amp;C14&amp;P14, $BL$6:$BU$65, 3, 0), 0)&amp;"("&amp;IFERROR(VLOOKUP(B14&amp;C14&amp;P14, $BL$6:$BU$65, 4, 0), 0)&amp;")"</f>
        <v/>
      </c>
      <c r="AF14" s="342" t="n"/>
      <c r="AG14" s="342" t="n"/>
      <c r="AH14" s="343" t="n"/>
      <c r="AI14" s="364">
        <f>IFERROR(VLOOKUP(B14&amp;C14&amp;P14, $BL$6:$BU$65, 5, 0),0)&amp;"("&amp;IFERROR(VLOOKUP(B14&amp;C14&amp;P14, $BL$6:$BU$65, 6, 0),0)&amp;")"</f>
        <v/>
      </c>
      <c r="AJ14" s="342" t="n"/>
      <c r="AK14" s="342" t="n"/>
      <c r="AL14" s="343" t="n"/>
      <c r="AM14" s="263">
        <f>IFERROR(VLOOKUP(B14&amp;C14&amp;P14, $BL$6:$BU$65, 7, 0),0)&amp;"("&amp;IFERROR(VLOOKUP(B14&amp;C14&amp;P14, $BL$6:$BU$65, 8, 0),0)&amp;")"</f>
        <v/>
      </c>
      <c r="AN14" s="342" t="n"/>
      <c r="AO14" s="342" t="n"/>
      <c r="AP14" s="342" t="n"/>
      <c r="AQ14" s="210">
        <f>IFERROR(VLOOKUP(B14&amp;C14&amp;P14, $BL$6:$BU$65, 9, 0),0)&amp;"("&amp;IFERROR(VLOOKUP(B14&amp;C14&amp;P14, $BL$6:$BU$65, 10, 0),0)&amp;")"</f>
        <v/>
      </c>
      <c r="AR14" s="342" t="n"/>
      <c r="AS14" s="342" t="n"/>
      <c r="AT14" s="343" t="n"/>
      <c r="AU14" s="244">
        <f>VLOOKUP($D$6&amp;$J14, $BK$68:$BN$107, 2, 0)</f>
        <v/>
      </c>
      <c r="AV14" s="342" t="n"/>
      <c r="AW14" s="342" t="n"/>
      <c r="AX14" s="343" t="n"/>
      <c r="AY14" s="211">
        <f>VLOOKUP($D$6&amp;$J14, $BK$68:$BN$107, 3, 0)</f>
        <v/>
      </c>
      <c r="AZ14" s="342" t="n"/>
      <c r="BA14" s="342" t="n"/>
      <c r="BB14" s="343" t="n"/>
      <c r="BC14" s="242">
        <f>VLOOKUP($D$6&amp;$J14, $BK$68:$BN$107, 4, 0)</f>
        <v/>
      </c>
      <c r="BD14" s="342" t="n"/>
      <c r="BE14" s="342" t="n"/>
      <c r="BF14" s="342" t="n"/>
      <c r="BI14" s="321" t="inlineStr">
        <is>
          <t>상품</t>
        </is>
      </c>
      <c r="BJ14" s="321" t="inlineStr">
        <is>
          <t>여신성</t>
        </is>
      </c>
      <c r="BK14" s="321" t="inlineStr">
        <is>
          <t>개인여신부(P)</t>
        </is>
      </c>
      <c r="BL14" s="321">
        <f>BI14&amp;BJ14&amp;BK14</f>
        <v/>
      </c>
      <c r="BM14" s="350" t="n">
        <v>8</v>
      </c>
      <c r="BN14" s="350" t="n">
        <v>8</v>
      </c>
      <c r="BO14" s="320" t="n">
        <v>100</v>
      </c>
      <c r="BP14" s="350" t="n">
        <v>8</v>
      </c>
      <c r="BQ14" s="320" t="n">
        <v>100</v>
      </c>
      <c r="BR14" s="350" t="n">
        <v>0</v>
      </c>
      <c r="BS14" s="320" t="n">
        <v>0</v>
      </c>
      <c r="BT14" s="350" t="n">
        <v>0</v>
      </c>
      <c r="BU14" s="320" t="n">
        <v>0</v>
      </c>
    </row>
    <row r="15" ht="15" customHeight="1" s="292">
      <c r="B15" s="120" t="inlineStr">
        <is>
          <t>KB 스타뱅킹</t>
        </is>
      </c>
      <c r="C15" s="120" t="inlineStr">
        <is>
          <t>콘텐츠/서비스</t>
        </is>
      </c>
      <c r="I15" s="355" t="n"/>
      <c r="J15" s="357" t="n"/>
      <c r="O15" s="355" t="n"/>
      <c r="P15" s="116" t="inlineStr">
        <is>
          <t>디지털영업부</t>
        </is>
      </c>
      <c r="Q15" s="117" t="n"/>
      <c r="R15" s="117" t="n"/>
      <c r="S15" s="117" t="n"/>
      <c r="T15" s="117" t="n"/>
      <c r="U15" s="117" t="n"/>
      <c r="V15" s="117" t="n"/>
      <c r="W15" s="117" t="n"/>
      <c r="X15" s="117" t="n"/>
      <c r="Y15" s="117" t="n"/>
      <c r="Z15" s="104" t="n"/>
      <c r="AA15" s="213">
        <f>IFERROR(VLOOKUP(B15&amp;C15&amp;P15, $BL$6:$BU$65, 2, 0), 0)</f>
        <v/>
      </c>
      <c r="AD15" s="355" t="n"/>
      <c r="AE15" s="213">
        <f>IFERROR(VLOOKUP(B15&amp;C15&amp;P15, $BL$6:$BU$65, 3, 0), 0)&amp;"("&amp;IFERROR(VLOOKUP(B15&amp;C15&amp;P15, $BL$6:$BU$65, 4, 0), 0)&amp;")"</f>
        <v/>
      </c>
      <c r="AH15" s="355" t="n"/>
      <c r="AI15" s="213">
        <f>IFERROR(VLOOKUP(B15&amp;C15&amp;P15, $BL$6:$BU$65, 5, 0),0)&amp;"("&amp;IFERROR(VLOOKUP(B15&amp;C15&amp;P15, $BL$6:$BU$65, 6, 0),0)&amp;")"</f>
        <v/>
      </c>
      <c r="AL15" s="355" t="n"/>
      <c r="AM15" s="275">
        <f>IFERROR(VLOOKUP(B15&amp;C15&amp;P15, $BL$6:$BU$65, 7, 0),0)&amp;"("&amp;IFERROR(VLOOKUP(B15&amp;C15&amp;P15, $BL$6:$BU$65, 8, 0),0)&amp;")"</f>
        <v/>
      </c>
      <c r="AQ15" s="214">
        <f>IFERROR(VLOOKUP(B15&amp;C15&amp;P15, $BL$6:$BU$65, 9, 0),0)&amp;"("&amp;IFERROR(VLOOKUP(B15&amp;C15&amp;P15, $BL$6:$BU$65, 10, 0),0)&amp;")"</f>
        <v/>
      </c>
      <c r="AT15" s="355" t="n"/>
      <c r="AX15" s="355" t="n"/>
      <c r="AY15" s="357" t="n"/>
      <c r="BB15" s="355" t="n"/>
      <c r="BC15" s="357" t="n"/>
      <c r="BI15" s="321" t="inlineStr">
        <is>
          <t>KB 스타뱅킹</t>
        </is>
      </c>
      <c r="BJ15" s="321" t="inlineStr">
        <is>
          <t>상품가입</t>
        </is>
      </c>
      <c r="BK15" s="321" t="inlineStr">
        <is>
          <t>외환사업부</t>
        </is>
      </c>
      <c r="BL15" s="321">
        <f>BI15&amp;BJ15&amp;BK15</f>
        <v/>
      </c>
      <c r="BM15" s="350" t="n">
        <v>1</v>
      </c>
      <c r="BN15" s="350" t="n">
        <v>1</v>
      </c>
      <c r="BO15" s="320" t="n">
        <v>100</v>
      </c>
      <c r="BP15" s="350" t="n">
        <v>1</v>
      </c>
      <c r="BQ15" s="320" t="n">
        <v>100</v>
      </c>
      <c r="BR15" s="350" t="n">
        <v>0</v>
      </c>
      <c r="BS15" s="320" t="n">
        <v>0</v>
      </c>
      <c r="BT15" s="350" t="n">
        <v>0</v>
      </c>
      <c r="BU15" s="320" t="n">
        <v>0</v>
      </c>
    </row>
    <row r="16" ht="15" customHeight="1" s="292">
      <c r="B16" s="120" t="inlineStr">
        <is>
          <t>KB 스타뱅킹</t>
        </is>
      </c>
      <c r="C16" s="120" t="inlineStr">
        <is>
          <t>콘텐츠/서비스</t>
        </is>
      </c>
      <c r="I16" s="355" t="n"/>
      <c r="J16" s="357" t="n"/>
      <c r="O16" s="355" t="n"/>
      <c r="P16" s="116" t="inlineStr">
        <is>
          <t>수신상품부(P)</t>
        </is>
      </c>
      <c r="Q16" s="117" t="n"/>
      <c r="R16" s="117" t="n"/>
      <c r="S16" s="117" t="n"/>
      <c r="T16" s="117" t="n"/>
      <c r="U16" s="117" t="n"/>
      <c r="V16" s="117" t="n"/>
      <c r="W16" s="117" t="n"/>
      <c r="X16" s="117" t="n"/>
      <c r="Y16" s="117" t="n"/>
      <c r="Z16" s="104" t="n"/>
      <c r="AA16" s="213">
        <f>IFERROR(VLOOKUP(B16&amp;C16&amp;P16, $BL$6:$BU$65, 2, 0), 0)</f>
        <v/>
      </c>
      <c r="AD16" s="355" t="n"/>
      <c r="AE16" s="213">
        <f>IFERROR(VLOOKUP(B16&amp;C16&amp;P16, $BL$6:$BU$65, 3, 0), 0)&amp;"("&amp;IFERROR(VLOOKUP(B16&amp;C16&amp;P16, $BL$6:$BU$65, 4, 0), 0)&amp;")"</f>
        <v/>
      </c>
      <c r="AH16" s="355" t="n"/>
      <c r="AI16" s="213">
        <f>IFERROR(VLOOKUP(B16&amp;C16&amp;P16, $BL$6:$BU$65, 5, 0),0)&amp;"("&amp;IFERROR(VLOOKUP(B16&amp;C16&amp;P16, $BL$6:$BU$65, 6, 0),0)&amp;")"</f>
        <v/>
      </c>
      <c r="AL16" s="355" t="n"/>
      <c r="AM16" s="275">
        <f>IFERROR(VLOOKUP(B16&amp;C16&amp;P16, $BL$6:$BU$65, 7, 0),0)&amp;"("&amp;IFERROR(VLOOKUP(B16&amp;C16&amp;P16, $BL$6:$BU$65, 8, 0),0)&amp;")"</f>
        <v/>
      </c>
      <c r="AQ16" s="214">
        <f>IFERROR(VLOOKUP(B16&amp;C16&amp;P16, $BL$6:$BU$65, 9, 0),0)&amp;"("&amp;IFERROR(VLOOKUP(B16&amp;C16&amp;P16, $BL$6:$BU$65, 10, 0),0)&amp;")"</f>
        <v/>
      </c>
      <c r="AT16" s="355" t="n"/>
      <c r="AX16" s="355" t="n"/>
      <c r="AY16" s="357" t="n"/>
      <c r="BB16" s="355" t="n"/>
      <c r="BC16" s="357" t="n"/>
      <c r="BI16" s="321" t="inlineStr">
        <is>
          <t>KB 스타뱅킹</t>
        </is>
      </c>
      <c r="BJ16" s="321" t="inlineStr">
        <is>
          <t>상품가입</t>
        </is>
      </c>
      <c r="BK16" s="321" t="inlineStr">
        <is>
          <t>수신상품부(P)</t>
        </is>
      </c>
      <c r="BL16" s="321">
        <f>BI16&amp;BJ16&amp;BK16</f>
        <v/>
      </c>
      <c r="BM16" s="350" t="n">
        <v>5</v>
      </c>
      <c r="BN16" s="350" t="n">
        <v>2</v>
      </c>
      <c r="BO16" s="320" t="n">
        <v>40</v>
      </c>
      <c r="BP16" s="350" t="n">
        <v>2</v>
      </c>
      <c r="BQ16" s="320" t="n">
        <v>100</v>
      </c>
      <c r="BR16" s="350" t="n">
        <v>0</v>
      </c>
      <c r="BS16" s="320" t="n">
        <v>0</v>
      </c>
      <c r="BT16" s="350" t="n">
        <v>0</v>
      </c>
      <c r="BU16" s="320" t="n">
        <v>0</v>
      </c>
    </row>
    <row r="17" ht="15" customHeight="1" s="292">
      <c r="B17" s="120" t="inlineStr">
        <is>
          <t>KB 스타뱅킹</t>
        </is>
      </c>
      <c r="C17" s="120" t="inlineStr">
        <is>
          <t>콘텐츠/서비스</t>
        </is>
      </c>
      <c r="D17" s="346" t="n"/>
      <c r="E17" s="346" t="n"/>
      <c r="F17" s="346" t="n"/>
      <c r="G17" s="346" t="n"/>
      <c r="H17" s="346" t="n"/>
      <c r="I17" s="347" t="n"/>
      <c r="J17" s="348" t="n"/>
      <c r="K17" s="346" t="n"/>
      <c r="L17" s="346" t="n"/>
      <c r="M17" s="346" t="n"/>
      <c r="N17" s="346" t="n"/>
      <c r="O17" s="347" t="n"/>
      <c r="P17" s="112" t="inlineStr">
        <is>
          <t>스타뱅킹영업부(P)</t>
        </is>
      </c>
      <c r="Q17" s="113" t="n"/>
      <c r="R17" s="113" t="n"/>
      <c r="S17" s="113" t="n"/>
      <c r="T17" s="113" t="n"/>
      <c r="U17" s="113" t="n"/>
      <c r="V17" s="113" t="n"/>
      <c r="W17" s="113" t="n"/>
      <c r="X17" s="113" t="n"/>
      <c r="Y17" s="113" t="n"/>
      <c r="Z17" s="108" t="n"/>
      <c r="AA17" s="225">
        <f>IFERROR(VLOOKUP(B17&amp;C17&amp;P17, $BL$6:$BU$65, 2, 0), 0)</f>
        <v/>
      </c>
      <c r="AB17" s="346" t="n"/>
      <c r="AC17" s="346" t="n"/>
      <c r="AD17" s="347" t="n"/>
      <c r="AE17" s="225">
        <f>IFERROR(VLOOKUP(B17&amp;C17&amp;P17, $BL$6:$BU$65, 3, 0), 0)&amp;"("&amp;IFERROR(VLOOKUP(B17&amp;C17&amp;P17, $BL$6:$BU$65, 4, 0), 0)&amp;")"</f>
        <v/>
      </c>
      <c r="AF17" s="346" t="n"/>
      <c r="AG17" s="346" t="n"/>
      <c r="AH17" s="347" t="n"/>
      <c r="AI17" s="225">
        <f>IFERROR(VLOOKUP(B17&amp;C17&amp;P17, $BL$6:$BU$65, 5, 0),0)&amp;"("&amp;IFERROR(VLOOKUP(B17&amp;C17&amp;P17, $BL$6:$BU$65, 6, 0),0)&amp;")"</f>
        <v/>
      </c>
      <c r="AJ17" s="346" t="n"/>
      <c r="AK17" s="346" t="n"/>
      <c r="AL17" s="347" t="n"/>
      <c r="AM17" s="245">
        <f>IFERROR(VLOOKUP(B17&amp;C17&amp;P17, $BL$6:$BU$65, 7, 0),0)&amp;"("&amp;IFERROR(VLOOKUP(B17&amp;C17&amp;P17, $BL$6:$BU$65, 8, 0),0)&amp;")"</f>
        <v/>
      </c>
      <c r="AN17" s="346" t="n"/>
      <c r="AO17" s="346" t="n"/>
      <c r="AP17" s="346" t="n"/>
      <c r="AQ17" s="212">
        <f>IFERROR(VLOOKUP(B17&amp;C17&amp;P17, $BL$6:$BU$65, 9, 0),0)&amp;"("&amp;IFERROR(VLOOKUP(B17&amp;C17&amp;P17, $BL$6:$BU$65, 10, 0),0)&amp;")"</f>
        <v/>
      </c>
      <c r="AR17" s="346" t="n"/>
      <c r="AS17" s="346" t="n"/>
      <c r="AT17" s="347" t="n"/>
      <c r="AU17" s="346" t="n"/>
      <c r="AV17" s="346" t="n"/>
      <c r="AW17" s="346" t="n"/>
      <c r="AX17" s="347" t="n"/>
      <c r="AY17" s="348" t="n"/>
      <c r="AZ17" s="346" t="n"/>
      <c r="BA17" s="346" t="n"/>
      <c r="BB17" s="347" t="n"/>
      <c r="BC17" s="348" t="n"/>
      <c r="BD17" s="346" t="n"/>
      <c r="BE17" s="346" t="n"/>
      <c r="BF17" s="346" t="n"/>
      <c r="BI17" s="321" t="inlineStr">
        <is>
          <t>상품</t>
        </is>
      </c>
      <c r="BJ17" s="321" t="inlineStr">
        <is>
          <t>투자성</t>
        </is>
      </c>
      <c r="BK17" s="321" t="inlineStr">
        <is>
          <t>WM투자상품부</t>
        </is>
      </c>
      <c r="BL17" s="321">
        <f>BI17&amp;BJ17&amp;BK17</f>
        <v/>
      </c>
      <c r="BM17" s="350" t="n">
        <v>11</v>
      </c>
      <c r="BN17" s="350" t="n">
        <v>11</v>
      </c>
      <c r="BO17" s="320" t="n">
        <v>100</v>
      </c>
      <c r="BP17" s="350" t="n">
        <v>11</v>
      </c>
      <c r="BQ17" s="320" t="n">
        <v>100</v>
      </c>
      <c r="BR17" s="350" t="n">
        <v>0</v>
      </c>
      <c r="BS17" s="320" t="n">
        <v>0</v>
      </c>
      <c r="BT17" s="350" t="n">
        <v>0</v>
      </c>
      <c r="BU17" s="320" t="n">
        <v>0</v>
      </c>
    </row>
    <row r="18" ht="15" customHeight="1" s="292">
      <c r="B18" s="120" t="inlineStr">
        <is>
          <t>영업점</t>
        </is>
      </c>
      <c r="C18" s="120" t="inlineStr">
        <is>
          <t>합계</t>
        </is>
      </c>
      <c r="D18" s="351" t="inlineStr">
        <is>
          <t>영업점</t>
        </is>
      </c>
      <c r="E18" s="342" t="n"/>
      <c r="F18" s="342" t="n"/>
      <c r="G18" s="342" t="n"/>
      <c r="H18" s="342" t="n"/>
      <c r="I18" s="343" t="n"/>
      <c r="J18" s="91" t="inlineStr">
        <is>
          <t>합계</t>
        </is>
      </c>
      <c r="K18" s="95" t="n"/>
      <c r="L18" s="95" t="n"/>
      <c r="M18" s="95" t="n"/>
      <c r="N18" s="95" t="n"/>
      <c r="O18" s="96" t="n"/>
      <c r="P18" s="118" t="n"/>
      <c r="Q18" s="95" t="n"/>
      <c r="R18" s="95" t="n"/>
      <c r="S18" s="95" t="n"/>
      <c r="T18" s="95" t="n"/>
      <c r="U18" s="95" t="n"/>
      <c r="V18" s="95" t="n"/>
      <c r="W18" s="95" t="n"/>
      <c r="X18" s="95" t="n"/>
      <c r="Y18" s="95" t="n"/>
      <c r="Z18" s="96" t="n"/>
      <c r="AA18" s="205">
        <f>IFERROR(VLOOKUP(B18&amp;C18&amp;P18, $BL$6:$BU$65, 2, 0), 0)</f>
        <v/>
      </c>
      <c r="AB18" s="344" t="n"/>
      <c r="AC18" s="344" t="n"/>
      <c r="AD18" s="345" t="n"/>
      <c r="AE18" s="205">
        <f>IFERROR(VLOOKUP(B18&amp;C18&amp;P18, $BL$6:$BU$65, 3, 0), 0)&amp;"("&amp;IFERROR(VLOOKUP(B18&amp;C18&amp;P18, $BL$6:$BU$65, 4, 0), 0)&amp;")"</f>
        <v/>
      </c>
      <c r="AF18" s="344" t="n"/>
      <c r="AG18" s="344" t="n"/>
      <c r="AH18" s="345" t="n"/>
      <c r="AI18" s="205">
        <f>IFERROR(VLOOKUP(B18&amp;C18&amp;P18, $BL$6:$BU$65, 5, 0),0)&amp;"("&amp;IFERROR(VLOOKUP(B18&amp;C18&amp;P18, $BL$6:$BU$65, 6, 0),0)&amp;")"</f>
        <v/>
      </c>
      <c r="AJ18" s="344" t="n"/>
      <c r="AK18" s="344" t="n"/>
      <c r="AL18" s="345" t="n"/>
      <c r="AM18" s="205">
        <f>IFERROR(VLOOKUP(B18&amp;C18&amp;P18, $BL$6:$BU$65, 7, 0),0)&amp;"("&amp;IFERROR(VLOOKUP(B18&amp;C18&amp;P18, $BL$6:$BU$65, 8, 0),0)&amp;")"</f>
        <v/>
      </c>
      <c r="AN18" s="344" t="n"/>
      <c r="AO18" s="344" t="n"/>
      <c r="AP18" s="345" t="n"/>
      <c r="AQ18" s="206">
        <f>IFERROR(VLOOKUP(B18&amp;C18&amp;P18, $BL$6:$BU$65, 9, 0),0)&amp;"("&amp;IFERROR(VLOOKUP(B18&amp;C18&amp;P18, $BL$6:$BU$65, 10, 0),0)&amp;")"</f>
        <v/>
      </c>
      <c r="AR18" s="344" t="n"/>
      <c r="AS18" s="344" t="n"/>
      <c r="AT18" s="345" t="n"/>
      <c r="AU18" s="361" t="n">
        <v>66.8</v>
      </c>
      <c r="AV18" s="344" t="n"/>
      <c r="AW18" s="344" t="n"/>
      <c r="AX18" s="345" t="n"/>
      <c r="AY18" s="361" t="n">
        <v>66.90000000000001</v>
      </c>
      <c r="AZ18" s="344" t="n"/>
      <c r="BA18" s="344" t="n"/>
      <c r="BB18" s="345" t="n"/>
      <c r="BC18" s="362" t="n">
        <v>0.1</v>
      </c>
      <c r="BD18" s="344" t="n"/>
      <c r="BE18" s="344" t="n"/>
      <c r="BF18" s="344" t="n"/>
      <c r="BI18" s="321" t="inlineStr">
        <is>
          <t>상품</t>
        </is>
      </c>
      <c r="BJ18" s="321" t="inlineStr">
        <is>
          <t>보장성</t>
        </is>
      </c>
      <c r="BK18" s="321" t="inlineStr">
        <is>
          <t>방카Unit</t>
        </is>
      </c>
      <c r="BL18" s="321">
        <f>BI18&amp;BJ18&amp;BK18</f>
        <v/>
      </c>
      <c r="BM18" s="350" t="n">
        <v>1</v>
      </c>
      <c r="BN18" s="350" t="n">
        <v>0</v>
      </c>
      <c r="BO18" s="320" t="n">
        <v>0</v>
      </c>
      <c r="BP18" s="350" t="n">
        <v>0</v>
      </c>
      <c r="BQ18" s="321" t="inlineStr"/>
      <c r="BR18" s="350" t="n">
        <v>0</v>
      </c>
      <c r="BS18" s="321" t="inlineStr"/>
      <c r="BT18" s="350" t="n">
        <v>0</v>
      </c>
      <c r="BU18" s="321" t="inlineStr"/>
    </row>
    <row r="19" ht="15" customHeight="1" s="292">
      <c r="B19" s="120" t="inlineStr">
        <is>
          <t>영업점</t>
        </is>
      </c>
      <c r="C19" s="120" t="inlineStr">
        <is>
          <t>내점/방문</t>
        </is>
      </c>
      <c r="I19" s="355" t="n"/>
      <c r="J19" s="363" t="inlineStr">
        <is>
          <t>내점/방문</t>
        </is>
      </c>
      <c r="K19" s="342" t="n"/>
      <c r="L19" s="342" t="n"/>
      <c r="M19" s="342" t="n"/>
      <c r="N19" s="342" t="n"/>
      <c r="O19" s="343" t="n"/>
      <c r="P19" s="97" t="inlineStr">
        <is>
          <t>영업추진부</t>
        </is>
      </c>
      <c r="Q19" s="99" t="n"/>
      <c r="R19" s="99" t="n"/>
      <c r="S19" s="99" t="n"/>
      <c r="T19" s="99" t="n"/>
      <c r="U19" s="99" t="n"/>
      <c r="V19" s="99" t="n"/>
      <c r="W19" s="99" t="n"/>
      <c r="X19" s="99" t="n"/>
      <c r="Y19" s="99" t="n"/>
      <c r="Z19" s="100" t="n"/>
      <c r="AA19" s="364">
        <f>IFERROR(VLOOKUP(B19&amp;C19&amp;P19, $BL$6:$BU$65, 2, 0), 0)</f>
        <v/>
      </c>
      <c r="AB19" s="342" t="n"/>
      <c r="AC19" s="342" t="n"/>
      <c r="AD19" s="343" t="n"/>
      <c r="AE19" s="364">
        <f>IFERROR(VLOOKUP(B19&amp;C19&amp;P19, $BL$6:$BU$65, 3, 0), 0)&amp;"("&amp;IFERROR(VLOOKUP(B19&amp;C19&amp;P19, $BL$6:$BU$65, 4, 0), 0)&amp;")"</f>
        <v/>
      </c>
      <c r="AF19" s="342" t="n"/>
      <c r="AG19" s="342" t="n"/>
      <c r="AH19" s="343" t="n"/>
      <c r="AI19" s="364">
        <f>IFERROR(VLOOKUP(B19&amp;C19&amp;P19, $BL$6:$BU$65, 5, 0),0)&amp;"("&amp;IFERROR(VLOOKUP(B19&amp;C19&amp;P19, $BL$6:$BU$65, 6, 0),0)&amp;")"</f>
        <v/>
      </c>
      <c r="AJ19" s="342" t="n"/>
      <c r="AK19" s="342" t="n"/>
      <c r="AL19" s="343" t="n"/>
      <c r="AM19" s="263">
        <f>IFERROR(VLOOKUP(B19&amp;C19&amp;P19, $BL$6:$BU$65, 7, 0),0)&amp;"("&amp;IFERROR(VLOOKUP(B19&amp;C19&amp;P19, $BL$6:$BU$65, 8, 0),0)&amp;")"</f>
        <v/>
      </c>
      <c r="AN19" s="342" t="n"/>
      <c r="AO19" s="342" t="n"/>
      <c r="AP19" s="342" t="n"/>
      <c r="AQ19" s="210">
        <f>IFERROR(VLOOKUP(B19&amp;C19&amp;P19, $BL$6:$BU$65, 9, 0),0)&amp;"("&amp;IFERROR(VLOOKUP(B19&amp;C19&amp;P19, $BL$6:$BU$65, 10, 0),0)&amp;")"</f>
        <v/>
      </c>
      <c r="AR19" s="342" t="n"/>
      <c r="AS19" s="342" t="n"/>
      <c r="AT19" s="343" t="n"/>
      <c r="AU19" s="244">
        <f>VLOOKUP($D$18&amp;$J19, $BK$68:$BN$107, 2, 0)</f>
        <v/>
      </c>
      <c r="AV19" s="342" t="n"/>
      <c r="AW19" s="342" t="n"/>
      <c r="AX19" s="343" t="n"/>
      <c r="AY19" s="211">
        <f>VLOOKUP($D$18&amp;$J19, $BK$68:$BN$107, 3, 0)</f>
        <v/>
      </c>
      <c r="AZ19" s="342" t="n"/>
      <c r="BA19" s="342" t="n"/>
      <c r="BB19" s="343" t="n"/>
      <c r="BC19" s="242">
        <f>VLOOKUP($D$18&amp;$J19, $BK$68:$BN$107, 4, 0)</f>
        <v/>
      </c>
      <c r="BD19" s="342" t="n"/>
      <c r="BE19" s="342" t="n"/>
      <c r="BF19" s="342" t="n"/>
      <c r="BI19" s="321" t="inlineStr">
        <is>
          <t>상품</t>
        </is>
      </c>
      <c r="BJ19" s="321" t="inlineStr">
        <is>
          <t>외화환전</t>
        </is>
      </c>
      <c r="BK19" s="321" t="inlineStr">
        <is>
          <t>외환사업부</t>
        </is>
      </c>
      <c r="BL19" s="321">
        <f>BI19&amp;BJ19&amp;BK19</f>
        <v/>
      </c>
      <c r="BM19" s="350" t="n">
        <v>2</v>
      </c>
      <c r="BN19" s="350" t="n">
        <v>2</v>
      </c>
      <c r="BO19" s="320" t="n">
        <v>100</v>
      </c>
      <c r="BP19" s="350" t="n">
        <v>2</v>
      </c>
      <c r="BQ19" s="320" t="n">
        <v>100</v>
      </c>
      <c r="BR19" s="350" t="n">
        <v>0</v>
      </c>
      <c r="BS19" s="320" t="n">
        <v>0</v>
      </c>
      <c r="BT19" s="350" t="n">
        <v>0</v>
      </c>
      <c r="BU19" s="320" t="n">
        <v>0</v>
      </c>
    </row>
    <row r="20" ht="15" customHeight="1" s="292">
      <c r="B20" s="120" t="inlineStr">
        <is>
          <t>영업점</t>
        </is>
      </c>
      <c r="C20" s="120" t="inlineStr">
        <is>
          <t>내점/방문</t>
        </is>
      </c>
      <c r="I20" s="355" t="n"/>
      <c r="J20" s="357" t="n"/>
      <c r="O20" s="355" t="n"/>
      <c r="P20" s="116" t="inlineStr">
        <is>
          <t>채널운영Unit(P)</t>
        </is>
      </c>
      <c r="Q20" s="117" t="n"/>
      <c r="R20" s="117" t="n"/>
      <c r="S20" s="117" t="n"/>
      <c r="T20" s="117" t="n"/>
      <c r="U20" s="117" t="n"/>
      <c r="V20" s="117" t="n"/>
      <c r="W20" s="117" t="n"/>
      <c r="X20" s="117" t="n"/>
      <c r="Y20" s="117" t="n"/>
      <c r="Z20" s="104" t="n"/>
      <c r="AA20" s="213">
        <f>IFERROR(VLOOKUP(B20&amp;C20&amp;P20, $BL$6:$BU$65, 2, 0), 0)</f>
        <v/>
      </c>
      <c r="AD20" s="355" t="n"/>
      <c r="AE20" s="213">
        <f>IFERROR(VLOOKUP(B20&amp;C20&amp;P20, $BL$6:$BU$65, 3, 0), 0)&amp;"("&amp;IFERROR(VLOOKUP(B20&amp;C20&amp;P20, $BL$6:$BU$65, 4, 0), 0)&amp;")"</f>
        <v/>
      </c>
      <c r="AH20" s="355" t="n"/>
      <c r="AI20" s="213">
        <f>IFERROR(VLOOKUP(B20&amp;C20&amp;P20, $BL$6:$BU$65, 5, 0),0)&amp;"("&amp;IFERROR(VLOOKUP(B20&amp;C20&amp;P20, $BL$6:$BU$65, 6, 0),0)&amp;")"</f>
        <v/>
      </c>
      <c r="AL20" s="355" t="n"/>
      <c r="AM20" s="275">
        <f>IFERROR(VLOOKUP(B20&amp;C20&amp;P20, $BL$6:$BU$65, 7, 0),0)&amp;"("&amp;IFERROR(VLOOKUP(B20&amp;C20&amp;P20, $BL$6:$BU$65, 8, 0),0)&amp;")"</f>
        <v/>
      </c>
      <c r="AQ20" s="214">
        <f>IFERROR(VLOOKUP(B20&amp;C20&amp;P20, $BL$6:$BU$65, 9, 0),0)&amp;"("&amp;IFERROR(VLOOKUP(B20&amp;C20&amp;P20, $BL$6:$BU$65, 10, 0),0)&amp;")"</f>
        <v/>
      </c>
      <c r="AT20" s="355" t="n"/>
      <c r="AX20" s="355" t="n"/>
      <c r="AY20" s="357" t="n"/>
      <c r="BB20" s="355" t="n"/>
      <c r="BC20" s="357" t="n"/>
      <c r="BI20" s="321" t="inlineStr">
        <is>
          <t>상품</t>
        </is>
      </c>
      <c r="BJ20" s="321" t="inlineStr">
        <is>
          <t>해외송금</t>
        </is>
      </c>
      <c r="BK20" s="321" t="inlineStr">
        <is>
          <t>외환사업부</t>
        </is>
      </c>
      <c r="BL20" s="321">
        <f>BI20&amp;BJ20&amp;BK20</f>
        <v/>
      </c>
      <c r="BM20" s="350" t="n">
        <v>1</v>
      </c>
      <c r="BN20" s="350" t="n">
        <v>0</v>
      </c>
      <c r="BO20" s="320" t="n">
        <v>0</v>
      </c>
      <c r="BP20" s="350" t="n">
        <v>0</v>
      </c>
      <c r="BQ20" s="321" t="inlineStr"/>
      <c r="BR20" s="350" t="n">
        <v>0</v>
      </c>
      <c r="BS20" s="321" t="inlineStr"/>
      <c r="BT20" s="350" t="n">
        <v>0</v>
      </c>
      <c r="BU20" s="321" t="inlineStr"/>
    </row>
    <row r="21" ht="15" customHeight="1" s="292">
      <c r="B21" s="120" t="inlineStr">
        <is>
          <t>영업점</t>
        </is>
      </c>
      <c r="C21" s="120" t="inlineStr">
        <is>
          <t>내점/방문</t>
        </is>
      </c>
      <c r="I21" s="355" t="n"/>
      <c r="J21" s="348" t="n"/>
      <c r="K21" s="346" t="n"/>
      <c r="L21" s="346" t="n"/>
      <c r="M21" s="346" t="n"/>
      <c r="N21" s="346" t="n"/>
      <c r="O21" s="347" t="n"/>
      <c r="P21" s="112" t="inlineStr">
        <is>
          <t>총무부</t>
        </is>
      </c>
      <c r="Q21" s="113" t="n"/>
      <c r="R21" s="113" t="n"/>
      <c r="S21" s="113" t="n"/>
      <c r="T21" s="113" t="n"/>
      <c r="U21" s="113" t="n"/>
      <c r="V21" s="113" t="n"/>
      <c r="W21" s="113" t="n"/>
      <c r="X21" s="113" t="n"/>
      <c r="Y21" s="113" t="n"/>
      <c r="Z21" s="108" t="n"/>
      <c r="AA21" s="225">
        <f>IFERROR(VLOOKUP(B21&amp;C21&amp;P21, $BL$6:$BU$65, 2, 0), 0)</f>
        <v/>
      </c>
      <c r="AB21" s="346" t="n"/>
      <c r="AC21" s="346" t="n"/>
      <c r="AD21" s="347" t="n"/>
      <c r="AE21" s="225">
        <f>IFERROR(VLOOKUP(B21&amp;C21&amp;P21, $BL$6:$BU$65, 3, 0), 0)&amp;"("&amp;IFERROR(VLOOKUP(B21&amp;C21&amp;P21, $BL$6:$BU$65, 4, 0), 0)&amp;")"</f>
        <v/>
      </c>
      <c r="AF21" s="346" t="n"/>
      <c r="AG21" s="346" t="n"/>
      <c r="AH21" s="347" t="n"/>
      <c r="AI21" s="225">
        <f>IFERROR(VLOOKUP(B21&amp;C21&amp;P21, $BL$6:$BU$65, 5, 0),0)&amp;"("&amp;IFERROR(VLOOKUP(B21&amp;C21&amp;P21, $BL$6:$BU$65, 6, 0),0)&amp;")"</f>
        <v/>
      </c>
      <c r="AJ21" s="346" t="n"/>
      <c r="AK21" s="346" t="n"/>
      <c r="AL21" s="347" t="n"/>
      <c r="AM21" s="245">
        <f>IFERROR(VLOOKUP(B21&amp;C21&amp;P21, $BL$6:$BU$65, 7, 0),0)&amp;"("&amp;IFERROR(VLOOKUP(B21&amp;C21&amp;P21, $BL$6:$BU$65, 8, 0),0)&amp;")"</f>
        <v/>
      </c>
      <c r="AN21" s="346" t="n"/>
      <c r="AO21" s="346" t="n"/>
      <c r="AP21" s="346" t="n"/>
      <c r="AQ21" s="212">
        <f>IFERROR(VLOOKUP(B21&amp;C21&amp;P21, $BL$6:$BU$65, 9, 0),0)&amp;"("&amp;IFERROR(VLOOKUP(B21&amp;C21&amp;P21, $BL$6:$BU$65, 10, 0),0)&amp;")"</f>
        <v/>
      </c>
      <c r="AR21" s="346" t="n"/>
      <c r="AS21" s="346" t="n"/>
      <c r="AT21" s="347" t="n"/>
      <c r="AU21" s="346" t="n"/>
      <c r="AV21" s="346" t="n"/>
      <c r="AW21" s="346" t="n"/>
      <c r="AX21" s="347" t="n"/>
      <c r="AY21" s="348" t="n"/>
      <c r="AZ21" s="346" t="n"/>
      <c r="BA21" s="346" t="n"/>
      <c r="BB21" s="347" t="n"/>
      <c r="BC21" s="348" t="n"/>
      <c r="BD21" s="346" t="n"/>
      <c r="BE21" s="346" t="n"/>
      <c r="BF21" s="346" t="n"/>
      <c r="BI21" s="321" t="inlineStr">
        <is>
          <t>KB 스타뱅킹</t>
        </is>
      </c>
      <c r="BJ21" s="321" t="inlineStr">
        <is>
          <t>콘텐츠/서비스</t>
        </is>
      </c>
      <c r="BK21" s="321" t="inlineStr">
        <is>
          <t>디지털영업부</t>
        </is>
      </c>
      <c r="BL21" s="321">
        <f>BI21&amp;BJ21&amp;BK21</f>
        <v/>
      </c>
      <c r="BM21" s="350" t="n">
        <v>11</v>
      </c>
      <c r="BN21" s="350" t="n">
        <v>11</v>
      </c>
      <c r="BO21" s="320" t="n">
        <v>100</v>
      </c>
      <c r="BP21" s="350" t="n">
        <v>3</v>
      </c>
      <c r="BQ21" s="320" t="n">
        <v>27.3</v>
      </c>
      <c r="BR21" s="350" t="n">
        <v>0</v>
      </c>
      <c r="BS21" s="320" t="n">
        <v>0</v>
      </c>
      <c r="BT21" s="350" t="n">
        <v>8</v>
      </c>
      <c r="BU21" s="320" t="n">
        <v>72.7</v>
      </c>
    </row>
    <row r="22" ht="15" customHeight="1" s="292">
      <c r="B22" s="120" t="inlineStr">
        <is>
          <t>영업점</t>
        </is>
      </c>
      <c r="C22" s="120" t="inlineStr">
        <is>
          <t>대기</t>
        </is>
      </c>
      <c r="I22" s="355" t="n"/>
      <c r="J22" s="363" t="inlineStr">
        <is>
          <t>대기</t>
        </is>
      </c>
      <c r="K22" s="342" t="n"/>
      <c r="L22" s="342" t="n"/>
      <c r="M22" s="342" t="n"/>
      <c r="N22" s="342" t="n"/>
      <c r="O22" s="343" t="n"/>
      <c r="P22" s="97" t="inlineStr">
        <is>
          <t>영업추진부</t>
        </is>
      </c>
      <c r="Q22" s="99" t="n"/>
      <c r="R22" s="99" t="n"/>
      <c r="S22" s="99" t="n"/>
      <c r="T22" s="99" t="n"/>
      <c r="U22" s="99" t="n"/>
      <c r="V22" s="99" t="n"/>
      <c r="W22" s="99" t="n"/>
      <c r="X22" s="99" t="n"/>
      <c r="Y22" s="99" t="n"/>
      <c r="Z22" s="100" t="n"/>
      <c r="AA22" s="364">
        <f>IFERROR(VLOOKUP(B22&amp;C22&amp;P22, $BL$6:$BU$65, 2, 0), 0)</f>
        <v/>
      </c>
      <c r="AB22" s="342" t="n"/>
      <c r="AC22" s="342" t="n"/>
      <c r="AD22" s="343" t="n"/>
      <c r="AE22" s="364">
        <f>IFERROR(VLOOKUP(B22&amp;C22&amp;P22, $BL$6:$BU$65, 3, 0), 0)&amp;"("&amp;IFERROR(VLOOKUP(B22&amp;C22&amp;P22, $BL$6:$BU$65, 4, 0), 0)&amp;")"</f>
        <v/>
      </c>
      <c r="AF22" s="342" t="n"/>
      <c r="AG22" s="342" t="n"/>
      <c r="AH22" s="343" t="n"/>
      <c r="AI22" s="364">
        <f>IFERROR(VLOOKUP(B22&amp;C22&amp;P22, $BL$6:$BU$65, 5, 0),0)&amp;"("&amp;IFERROR(VLOOKUP(B22&amp;C22&amp;P22, $BL$6:$BU$65, 6, 0),0)&amp;")"</f>
        <v/>
      </c>
      <c r="AJ22" s="342" t="n"/>
      <c r="AK22" s="342" t="n"/>
      <c r="AL22" s="343" t="n"/>
      <c r="AM22" s="263">
        <f>IFERROR(VLOOKUP(B22&amp;C22&amp;P22, $BL$6:$BU$65, 7, 0),0)&amp;"("&amp;IFERROR(VLOOKUP(B22&amp;C22&amp;P22, $BL$6:$BU$65, 8, 0),0)&amp;")"</f>
        <v/>
      </c>
      <c r="AN22" s="342" t="n"/>
      <c r="AO22" s="342" t="n"/>
      <c r="AP22" s="342" t="n"/>
      <c r="AQ22" s="210">
        <f>IFERROR(VLOOKUP(B22&amp;C22&amp;P22, $BL$6:$BU$65, 9, 0),0)&amp;"("&amp;IFERROR(VLOOKUP(B22&amp;C22&amp;P22, $BL$6:$BU$65, 10, 0),0)&amp;")"</f>
        <v/>
      </c>
      <c r="AR22" s="342" t="n"/>
      <c r="AS22" s="342" t="n"/>
      <c r="AT22" s="343" t="n"/>
      <c r="AU22" s="244">
        <f>VLOOKUP($D$18&amp;$J22, $BK$68:$BN$107, 2, 0)</f>
        <v/>
      </c>
      <c r="AV22" s="342" t="n"/>
      <c r="AW22" s="342" t="n"/>
      <c r="AX22" s="343" t="n"/>
      <c r="AY22" s="211">
        <f>VLOOKUP($D$18&amp;$J22, $BK$68:$BN$107, 3, 0)</f>
        <v/>
      </c>
      <c r="AZ22" s="342" t="n"/>
      <c r="BA22" s="342" t="n"/>
      <c r="BB22" s="343" t="n"/>
      <c r="BC22" s="242">
        <f>VLOOKUP($D$18&amp;$J22, $BK$68:$BN$107, 4, 0)</f>
        <v/>
      </c>
      <c r="BD22" s="342" t="n"/>
      <c r="BE22" s="342" t="n"/>
      <c r="BF22" s="342" t="n"/>
      <c r="BI22" s="321" t="inlineStr">
        <is>
          <t>KB 스타뱅킹</t>
        </is>
      </c>
      <c r="BJ22" s="321" t="inlineStr">
        <is>
          <t>콘텐츠/서비스</t>
        </is>
      </c>
      <c r="BK22" s="321" t="inlineStr">
        <is>
          <t>수신상품부(P)</t>
        </is>
      </c>
      <c r="BL22" s="321">
        <f>BI22&amp;BJ22&amp;BK22</f>
        <v/>
      </c>
      <c r="BM22" s="350" t="n">
        <v>1</v>
      </c>
      <c r="BN22" s="350" t="n">
        <v>0</v>
      </c>
      <c r="BO22" s="320" t="n">
        <v>0</v>
      </c>
      <c r="BP22" s="350" t="n">
        <v>0</v>
      </c>
      <c r="BQ22" s="321" t="inlineStr"/>
      <c r="BR22" s="350" t="n">
        <v>0</v>
      </c>
      <c r="BS22" s="321" t="inlineStr"/>
      <c r="BT22" s="350" t="n">
        <v>0</v>
      </c>
      <c r="BU22" s="321" t="inlineStr"/>
    </row>
    <row r="23" ht="15" customHeight="1" s="292">
      <c r="B23" s="120" t="inlineStr">
        <is>
          <t>영업점</t>
        </is>
      </c>
      <c r="C23" s="120" t="inlineStr">
        <is>
          <t>대기</t>
        </is>
      </c>
      <c r="I23" s="355" t="n"/>
      <c r="J23" s="357" t="n"/>
      <c r="O23" s="355" t="n"/>
      <c r="P23" s="116" t="inlineStr">
        <is>
          <t>채널운영Unit(P)</t>
        </is>
      </c>
      <c r="Q23" s="117" t="n"/>
      <c r="R23" s="117" t="n"/>
      <c r="S23" s="117" t="n"/>
      <c r="T23" s="117" t="n"/>
      <c r="U23" s="117" t="n"/>
      <c r="V23" s="117" t="n"/>
      <c r="W23" s="117" t="n"/>
      <c r="X23" s="117" t="n"/>
      <c r="Y23" s="117" t="n"/>
      <c r="Z23" s="104" t="n"/>
      <c r="AA23" s="213">
        <f>IFERROR(VLOOKUP(B23&amp;C23&amp;P23, $BL$6:$BU$65, 2, 0), 0)</f>
        <v/>
      </c>
      <c r="AD23" s="355" t="n"/>
      <c r="AE23" s="213">
        <f>IFERROR(VLOOKUP(B23&amp;C23&amp;P23, $BL$6:$BU$65, 3, 0), 0)&amp;"("&amp;IFERROR(VLOOKUP(B23&amp;C23&amp;P23, $BL$6:$BU$65, 4, 0), 0)&amp;")"</f>
        <v/>
      </c>
      <c r="AH23" s="355" t="n"/>
      <c r="AI23" s="213">
        <f>IFERROR(VLOOKUP(B23&amp;C23&amp;P23, $BL$6:$BU$65, 5, 0),0)&amp;"("&amp;IFERROR(VLOOKUP(B23&amp;C23&amp;P23, $BL$6:$BU$65, 6, 0),0)&amp;")"</f>
        <v/>
      </c>
      <c r="AL23" s="355" t="n"/>
      <c r="AM23" s="275">
        <f>IFERROR(VLOOKUP(B23&amp;C23&amp;P23, $BL$6:$BU$65, 7, 0),0)&amp;"("&amp;IFERROR(VLOOKUP(B23&amp;C23&amp;P23, $BL$6:$BU$65, 8, 0),0)&amp;")"</f>
        <v/>
      </c>
      <c r="AQ23" s="214">
        <f>IFERROR(VLOOKUP(B23&amp;C23&amp;P23, $BL$6:$BU$65, 9, 0),0)&amp;"("&amp;IFERROR(VLOOKUP(B23&amp;C23&amp;P23, $BL$6:$BU$65, 10, 0),0)&amp;")"</f>
        <v/>
      </c>
      <c r="AT23" s="355" t="n"/>
      <c r="AX23" s="355" t="n"/>
      <c r="AY23" s="357" t="n"/>
      <c r="BB23" s="355" t="n"/>
      <c r="BC23" s="357" t="n"/>
      <c r="BI23" s="321" t="inlineStr">
        <is>
          <t>영업점</t>
        </is>
      </c>
      <c r="BJ23" s="321" t="inlineStr">
        <is>
          <t>내점/방문</t>
        </is>
      </c>
      <c r="BK23" s="321" t="inlineStr">
        <is>
          <t>채널운영Unit(P)</t>
        </is>
      </c>
      <c r="BL23" s="321">
        <f>BI23&amp;BJ23&amp;BK23</f>
        <v/>
      </c>
      <c r="BM23" s="350" t="n">
        <v>41</v>
      </c>
      <c r="BN23" s="350" t="n">
        <v>37</v>
      </c>
      <c r="BO23" s="320" t="n">
        <v>90.2</v>
      </c>
      <c r="BP23" s="350" t="n">
        <v>2</v>
      </c>
      <c r="BQ23" s="320" t="n">
        <v>5.4</v>
      </c>
      <c r="BR23" s="350" t="n">
        <v>2</v>
      </c>
      <c r="BS23" s="320" t="n">
        <v>5.4</v>
      </c>
      <c r="BT23" s="350" t="n">
        <v>33</v>
      </c>
      <c r="BU23" s="320" t="n">
        <v>89.2</v>
      </c>
    </row>
    <row r="24" ht="15" customHeight="1" s="292">
      <c r="B24" s="120" t="inlineStr">
        <is>
          <t>영업점</t>
        </is>
      </c>
      <c r="C24" s="120" t="inlineStr">
        <is>
          <t>대기</t>
        </is>
      </c>
      <c r="I24" s="355" t="n"/>
      <c r="J24" s="348" t="n"/>
      <c r="K24" s="346" t="n"/>
      <c r="L24" s="346" t="n"/>
      <c r="M24" s="346" t="n"/>
      <c r="N24" s="346" t="n"/>
      <c r="O24" s="347" t="n"/>
      <c r="P24" s="112" t="inlineStr">
        <is>
          <t>총무부</t>
        </is>
      </c>
      <c r="Q24" s="113" t="n"/>
      <c r="R24" s="113" t="n"/>
      <c r="S24" s="113" t="n"/>
      <c r="T24" s="113" t="n"/>
      <c r="U24" s="113" t="n"/>
      <c r="V24" s="113" t="n"/>
      <c r="W24" s="113" t="n"/>
      <c r="X24" s="113" t="n"/>
      <c r="Y24" s="113" t="n"/>
      <c r="Z24" s="108" t="n"/>
      <c r="AA24" s="225">
        <f>IFERROR(VLOOKUP(B24&amp;C24&amp;P24, $BL$6:$BU$65, 2, 0), 0)</f>
        <v/>
      </c>
      <c r="AB24" s="346" t="n"/>
      <c r="AC24" s="346" t="n"/>
      <c r="AD24" s="347" t="n"/>
      <c r="AE24" s="225">
        <f>IFERROR(VLOOKUP(B24&amp;C24&amp;P24, $BL$6:$BU$65, 3, 0), 0)&amp;"("&amp;IFERROR(VLOOKUP(B24&amp;C24&amp;P24, $BL$6:$BU$65, 4, 0), 0)&amp;")"</f>
        <v/>
      </c>
      <c r="AF24" s="346" t="n"/>
      <c r="AG24" s="346" t="n"/>
      <c r="AH24" s="347" t="n"/>
      <c r="AI24" s="225">
        <f>IFERROR(VLOOKUP(B24&amp;C24&amp;P24, $BL$6:$BU$65, 5, 0),0)&amp;"("&amp;IFERROR(VLOOKUP(B24&amp;C24&amp;P24, $BL$6:$BU$65, 6, 0),0)&amp;")"</f>
        <v/>
      </c>
      <c r="AJ24" s="346" t="n"/>
      <c r="AK24" s="346" t="n"/>
      <c r="AL24" s="347" t="n"/>
      <c r="AM24" s="245">
        <f>IFERROR(VLOOKUP(B24&amp;C24&amp;P24, $BL$6:$BU$65, 7, 0),0)&amp;"("&amp;IFERROR(VLOOKUP(B24&amp;C24&amp;P24, $BL$6:$BU$65, 8, 0),0)&amp;")"</f>
        <v/>
      </c>
      <c r="AN24" s="346" t="n"/>
      <c r="AO24" s="346" t="n"/>
      <c r="AP24" s="346" t="n"/>
      <c r="AQ24" s="212">
        <f>IFERROR(VLOOKUP(B24&amp;C24&amp;P24, $BL$6:$BU$65, 9, 0),0)&amp;"("&amp;IFERROR(VLOOKUP(B24&amp;C24&amp;P24, $BL$6:$BU$65, 10, 0),0)&amp;")"</f>
        <v/>
      </c>
      <c r="AR24" s="346" t="n"/>
      <c r="AS24" s="346" t="n"/>
      <c r="AT24" s="347" t="n"/>
      <c r="AU24" s="346" t="n"/>
      <c r="AV24" s="346" t="n"/>
      <c r="AW24" s="346" t="n"/>
      <c r="AX24" s="347" t="n"/>
      <c r="AY24" s="348" t="n"/>
      <c r="AZ24" s="346" t="n"/>
      <c r="BA24" s="346" t="n"/>
      <c r="BB24" s="347" t="n"/>
      <c r="BC24" s="348" t="n"/>
      <c r="BD24" s="346" t="n"/>
      <c r="BE24" s="346" t="n"/>
      <c r="BF24" s="346" t="n"/>
      <c r="BI24" s="321" t="inlineStr">
        <is>
          <t>영업점</t>
        </is>
      </c>
      <c r="BJ24" s="321" t="inlineStr">
        <is>
          <t>내점/방문</t>
        </is>
      </c>
      <c r="BK24" s="321" t="inlineStr">
        <is>
          <t>영업추진부</t>
        </is>
      </c>
      <c r="BL24" s="321">
        <f>BI24&amp;BJ24&amp;BK24</f>
        <v/>
      </c>
      <c r="BM24" s="350" t="n">
        <v>12</v>
      </c>
      <c r="BN24" s="350" t="n">
        <v>10</v>
      </c>
      <c r="BO24" s="320" t="n">
        <v>83.3</v>
      </c>
      <c r="BP24" s="350" t="n">
        <v>4</v>
      </c>
      <c r="BQ24" s="320" t="n">
        <v>40</v>
      </c>
      <c r="BR24" s="350" t="n">
        <v>0</v>
      </c>
      <c r="BS24" s="320" t="n">
        <v>0</v>
      </c>
      <c r="BT24" s="350" t="n">
        <v>6</v>
      </c>
      <c r="BU24" s="320" t="n">
        <v>60</v>
      </c>
    </row>
    <row r="25" ht="15" customHeight="1" s="292">
      <c r="B25" s="120" t="inlineStr">
        <is>
          <t>영업점</t>
        </is>
      </c>
      <c r="C25" s="120" t="inlineStr">
        <is>
          <t>맞이/의도파악</t>
        </is>
      </c>
      <c r="I25" s="355" t="n"/>
      <c r="J25" s="85" t="inlineStr">
        <is>
          <t>맞이/의도파악</t>
        </is>
      </c>
      <c r="K25" s="89" t="n"/>
      <c r="L25" s="89" t="n"/>
      <c r="M25" s="89" t="n"/>
      <c r="N25" s="89" t="n"/>
      <c r="O25" s="90" t="n"/>
      <c r="P25" s="88" t="inlineStr">
        <is>
          <t>소비자보호부</t>
        </is>
      </c>
      <c r="Q25" s="89" t="n"/>
      <c r="R25" s="89" t="n"/>
      <c r="S25" s="89" t="n"/>
      <c r="T25" s="89" t="n"/>
      <c r="U25" s="89" t="n"/>
      <c r="V25" s="89" t="n"/>
      <c r="W25" s="89" t="n"/>
      <c r="X25" s="89" t="n"/>
      <c r="Y25" s="89" t="n"/>
      <c r="Z25" s="90" t="n"/>
      <c r="AA25" s="211">
        <f>IFERROR(VLOOKUP(B25&amp;C25&amp;P25, $BL$6:$BU$65, 2, 0), 0)</f>
        <v/>
      </c>
      <c r="AB25" s="344" t="n"/>
      <c r="AC25" s="344" t="n"/>
      <c r="AD25" s="345" t="n"/>
      <c r="AE25" s="211">
        <f>IFERROR(VLOOKUP(B25&amp;C25&amp;P25, $BL$6:$BU$65, 3, 0), 0)&amp;"("&amp;IFERROR(VLOOKUP(B25&amp;C25&amp;P25, $BL$6:$BU$65, 4, 0), 0)&amp;")"</f>
        <v/>
      </c>
      <c r="AF25" s="344" t="n"/>
      <c r="AG25" s="344" t="n"/>
      <c r="AH25" s="345" t="n"/>
      <c r="AI25" s="211">
        <f>IFERROR(VLOOKUP(B25&amp;C25&amp;P25, $BL$6:$BU$65, 5, 0),0)&amp;"("&amp;IFERROR(VLOOKUP(B25&amp;C25&amp;P25, $BL$6:$BU$65, 6, 0),0)&amp;")"</f>
        <v/>
      </c>
      <c r="AJ25" s="344" t="n"/>
      <c r="AK25" s="344" t="n"/>
      <c r="AL25" s="345" t="n"/>
      <c r="AM25" s="211">
        <f>IFERROR(VLOOKUP(B25&amp;C25&amp;P25, $BL$6:$BU$65, 7, 0),0)&amp;"("&amp;IFERROR(VLOOKUP(B25&amp;C25&amp;P25, $BL$6:$BU$65, 8, 0),0)&amp;")"</f>
        <v/>
      </c>
      <c r="AN25" s="344" t="n"/>
      <c r="AO25" s="344" t="n"/>
      <c r="AP25" s="345" t="n"/>
      <c r="AQ25" s="206">
        <f>IFERROR(VLOOKUP(B25&amp;C25&amp;P25, $BL$6:$BU$65, 9, 0),0)&amp;"("&amp;IFERROR(VLOOKUP(B25&amp;C25&amp;P25, $BL$6:$BU$65, 10, 0),0)&amp;")"</f>
        <v/>
      </c>
      <c r="AR25" s="344" t="n"/>
      <c r="AS25" s="344" t="n"/>
      <c r="AT25" s="345" t="n"/>
      <c r="AU25" s="211">
        <f>VLOOKUP($D$18&amp;$J25, $BK$68:$BN$107, 2, 0)</f>
        <v/>
      </c>
      <c r="AV25" s="344" t="n"/>
      <c r="AW25" s="344" t="n"/>
      <c r="AX25" s="345" t="n"/>
      <c r="AY25" s="211">
        <f>VLOOKUP($D$18&amp;$J25, $BK$68:$BN$107, 3, 0)</f>
        <v/>
      </c>
      <c r="AZ25" s="344" t="n"/>
      <c r="BA25" s="344" t="n"/>
      <c r="BB25" s="345" t="n"/>
      <c r="BC25" s="242">
        <f>VLOOKUP($D$18&amp;$J25, $BK$68:$BN$107, 4, 0)</f>
        <v/>
      </c>
      <c r="BD25" s="344" t="n"/>
      <c r="BE25" s="344" t="n"/>
      <c r="BF25" s="344" t="n"/>
      <c r="BI25" s="321" t="inlineStr">
        <is>
          <t>영업점</t>
        </is>
      </c>
      <c r="BJ25" s="321" t="inlineStr">
        <is>
          <t>대기</t>
        </is>
      </c>
      <c r="BK25" s="321" t="inlineStr">
        <is>
          <t>영업추진부</t>
        </is>
      </c>
      <c r="BL25" s="321">
        <f>BI25&amp;BJ25&amp;BK25</f>
        <v/>
      </c>
      <c r="BM25" s="350" t="n">
        <v>73</v>
      </c>
      <c r="BN25" s="350" t="n">
        <v>57</v>
      </c>
      <c r="BO25" s="320" t="n">
        <v>78.09999999999999</v>
      </c>
      <c r="BP25" s="350" t="n">
        <v>30</v>
      </c>
      <c r="BQ25" s="320" t="n">
        <v>52.6</v>
      </c>
      <c r="BR25" s="350" t="n">
        <v>0</v>
      </c>
      <c r="BS25" s="320" t="n">
        <v>0</v>
      </c>
      <c r="BT25" s="350" t="n">
        <v>27</v>
      </c>
      <c r="BU25" s="320" t="n">
        <v>47.4</v>
      </c>
    </row>
    <row r="26" ht="15" customHeight="1" s="292">
      <c r="B26" s="120" t="inlineStr">
        <is>
          <t>영업점</t>
        </is>
      </c>
      <c r="C26" s="120" t="inlineStr">
        <is>
          <t>직원상담</t>
        </is>
      </c>
      <c r="I26" s="355" t="n"/>
      <c r="J26" s="85" t="inlineStr">
        <is>
          <t>직원상담</t>
        </is>
      </c>
      <c r="K26" s="89" t="n"/>
      <c r="L26" s="89" t="n"/>
      <c r="M26" s="89" t="n"/>
      <c r="N26" s="89" t="n"/>
      <c r="O26" s="90" t="n"/>
      <c r="P26" s="88" t="inlineStr">
        <is>
          <t>인재개발부</t>
        </is>
      </c>
      <c r="Q26" s="89" t="n"/>
      <c r="R26" s="89" t="n"/>
      <c r="S26" s="89" t="n"/>
      <c r="T26" s="89" t="n"/>
      <c r="U26" s="89" t="n"/>
      <c r="V26" s="89" t="n"/>
      <c r="W26" s="89" t="n"/>
      <c r="X26" s="89" t="n"/>
      <c r="Y26" s="89" t="n"/>
      <c r="Z26" s="90" t="n"/>
      <c r="AA26" s="211">
        <f>IFERROR(VLOOKUP(B26&amp;C26&amp;P26, $BL$6:$BU$65, 2, 0), 0)</f>
        <v/>
      </c>
      <c r="AB26" s="344" t="n"/>
      <c r="AC26" s="344" t="n"/>
      <c r="AD26" s="345" t="n"/>
      <c r="AE26" s="211">
        <f>IFERROR(VLOOKUP(B26&amp;C26&amp;P26, $BL$6:$BU$65, 3, 0), 0)&amp;"("&amp;IFERROR(VLOOKUP(B26&amp;C26&amp;P26, $BL$6:$BU$65, 4, 0), 0)&amp;")"</f>
        <v/>
      </c>
      <c r="AF26" s="344" t="n"/>
      <c r="AG26" s="344" t="n"/>
      <c r="AH26" s="345" t="n"/>
      <c r="AI26" s="211">
        <f>IFERROR(VLOOKUP(B26&amp;C26&amp;P26, $BL$6:$BU$65, 5, 0),0)&amp;"("&amp;IFERROR(VLOOKUP(B26&amp;C26&amp;P26, $BL$6:$BU$65, 6, 0),0)&amp;")"</f>
        <v/>
      </c>
      <c r="AJ26" s="344" t="n"/>
      <c r="AK26" s="344" t="n"/>
      <c r="AL26" s="345" t="n"/>
      <c r="AM26" s="211">
        <f>IFERROR(VLOOKUP(B26&amp;C26&amp;P26, $BL$6:$BU$65, 7, 0),0)&amp;"("&amp;IFERROR(VLOOKUP(B26&amp;C26&amp;P26, $BL$6:$BU$65, 8, 0),0)&amp;")"</f>
        <v/>
      </c>
      <c r="AN26" s="344" t="n"/>
      <c r="AO26" s="344" t="n"/>
      <c r="AP26" s="345" t="n"/>
      <c r="AQ26" s="206">
        <f>IFERROR(VLOOKUP(B26&amp;C26&amp;P26, $BL$6:$BU$65, 9, 0),0)&amp;"("&amp;IFERROR(VLOOKUP(B26&amp;C26&amp;P26, $BL$6:$BU$65, 10, 0),0)&amp;")"</f>
        <v/>
      </c>
      <c r="AR26" s="344" t="n"/>
      <c r="AS26" s="344" t="n"/>
      <c r="AT26" s="345" t="n"/>
      <c r="AU26" s="211">
        <f>VLOOKUP($D$18&amp;$J26, $BK$68:$BN$107, 2, 0)</f>
        <v/>
      </c>
      <c r="AV26" s="344" t="n"/>
      <c r="AW26" s="344" t="n"/>
      <c r="AX26" s="345" t="n"/>
      <c r="AY26" s="211">
        <f>VLOOKUP($D$18&amp;$J26, $BK$68:$BN$107, 3, 0)</f>
        <v/>
      </c>
      <c r="AZ26" s="344" t="n"/>
      <c r="BA26" s="344" t="n"/>
      <c r="BB26" s="345" t="n"/>
      <c r="BC26" s="242">
        <f>VLOOKUP($D$18&amp;$J26, $BK$68:$BN$107, 4, 0)</f>
        <v/>
      </c>
      <c r="BD26" s="344" t="n"/>
      <c r="BE26" s="344" t="n"/>
      <c r="BF26" s="344" t="n"/>
      <c r="BI26" s="321" t="inlineStr">
        <is>
          <t>영업점</t>
        </is>
      </c>
      <c r="BJ26" s="321" t="inlineStr">
        <is>
          <t>대기</t>
        </is>
      </c>
      <c r="BK26" s="321" t="inlineStr">
        <is>
          <t>채널운영Unit(P)</t>
        </is>
      </c>
      <c r="BL26" s="321">
        <f>BI26&amp;BJ26&amp;BK26</f>
        <v/>
      </c>
      <c r="BM26" s="350" t="n">
        <v>2</v>
      </c>
      <c r="BN26" s="350" t="n">
        <v>2</v>
      </c>
      <c r="BO26" s="320" t="n">
        <v>100</v>
      </c>
      <c r="BP26" s="350" t="n">
        <v>2</v>
      </c>
      <c r="BQ26" s="320" t="n">
        <v>100</v>
      </c>
      <c r="BR26" s="350" t="n">
        <v>0</v>
      </c>
      <c r="BS26" s="320" t="n">
        <v>0</v>
      </c>
      <c r="BT26" s="350" t="n">
        <v>0</v>
      </c>
      <c r="BU26" s="320" t="n">
        <v>0</v>
      </c>
    </row>
    <row r="27" ht="15" customHeight="1" s="292">
      <c r="B27" s="120" t="inlineStr">
        <is>
          <t>영업점</t>
        </is>
      </c>
      <c r="C27" s="120" t="inlineStr">
        <is>
          <t>업무처리/배웅</t>
        </is>
      </c>
      <c r="I27" s="355" t="n"/>
      <c r="J27" s="363" t="inlineStr">
        <is>
          <t>업무처리/배웅</t>
        </is>
      </c>
      <c r="K27" s="342" t="n"/>
      <c r="L27" s="342" t="n"/>
      <c r="M27" s="342" t="n"/>
      <c r="N27" s="342" t="n"/>
      <c r="O27" s="343" t="n"/>
      <c r="P27" s="97" t="inlineStr">
        <is>
          <t>소비자보호부</t>
        </is>
      </c>
      <c r="Q27" s="99" t="n"/>
      <c r="R27" s="99" t="n"/>
      <c r="S27" s="99" t="n"/>
      <c r="T27" s="99" t="n"/>
      <c r="U27" s="99" t="n"/>
      <c r="V27" s="99" t="n"/>
      <c r="W27" s="99" t="n"/>
      <c r="X27" s="99" t="n"/>
      <c r="Y27" s="99" t="n"/>
      <c r="Z27" s="100" t="n"/>
      <c r="AA27" s="364">
        <f>IFERROR(VLOOKUP(B27&amp;C27&amp;P27, $BL$6:$BU$65, 2, 0), 0)</f>
        <v/>
      </c>
      <c r="AB27" s="342" t="n"/>
      <c r="AC27" s="342" t="n"/>
      <c r="AD27" s="343" t="n"/>
      <c r="AE27" s="364">
        <f>IFERROR(VLOOKUP(B27&amp;C27&amp;P27, $BL$6:$BU$65, 3, 0), 0)&amp;"("&amp;IFERROR(VLOOKUP(B27&amp;C27&amp;P27, $BL$6:$BU$65, 4, 0), 0)&amp;")"</f>
        <v/>
      </c>
      <c r="AF27" s="342" t="n"/>
      <c r="AG27" s="342" t="n"/>
      <c r="AH27" s="343" t="n"/>
      <c r="AI27" s="364">
        <f>IFERROR(VLOOKUP(B27&amp;C27&amp;P27, $BL$6:$BU$65, 5, 0),0)&amp;"("&amp;IFERROR(VLOOKUP(B27&amp;C27&amp;P27, $BL$6:$BU$65, 6, 0),0)&amp;")"</f>
        <v/>
      </c>
      <c r="AJ27" s="342" t="n"/>
      <c r="AK27" s="342" t="n"/>
      <c r="AL27" s="343" t="n"/>
      <c r="AM27" s="263">
        <f>IFERROR(VLOOKUP(B27&amp;C27&amp;P27, $BL$6:$BU$65, 7, 0),0)&amp;"("&amp;IFERROR(VLOOKUP(B27&amp;C27&amp;P27, $BL$6:$BU$65, 8, 0),0)&amp;")"</f>
        <v/>
      </c>
      <c r="AN27" s="342" t="n"/>
      <c r="AO27" s="342" t="n"/>
      <c r="AP27" s="342" t="n"/>
      <c r="AQ27" s="210">
        <f>IFERROR(VLOOKUP(B27&amp;C27&amp;P27, $BL$6:$BU$65, 9, 0),0)&amp;"("&amp;IFERROR(VLOOKUP(B27&amp;C27&amp;P27, $BL$6:$BU$65, 10, 0),0)&amp;")"</f>
        <v/>
      </c>
      <c r="AR27" s="342" t="n"/>
      <c r="AS27" s="342" t="n"/>
      <c r="AT27" s="343" t="n"/>
      <c r="AU27" s="244">
        <f>VLOOKUP($D$18&amp;$J27, $BK$68:$BN$107, 2, 0)</f>
        <v/>
      </c>
      <c r="AV27" s="342" t="n"/>
      <c r="AW27" s="342" t="n"/>
      <c r="AX27" s="343" t="n"/>
      <c r="AY27" s="211">
        <f>VLOOKUP($D$18&amp;$J27, $BK$68:$BN$107, 3, 0)</f>
        <v/>
      </c>
      <c r="AZ27" s="342" t="n"/>
      <c r="BA27" s="342" t="n"/>
      <c r="BB27" s="343" t="n"/>
      <c r="BC27" s="242">
        <f>VLOOKUP($D$18&amp;$J27, $BK$68:$BN$107, 4, 0)</f>
        <v/>
      </c>
      <c r="BD27" s="342" t="n"/>
      <c r="BE27" s="342" t="n"/>
      <c r="BF27" s="342" t="n"/>
      <c r="BI27" s="321" t="inlineStr">
        <is>
          <t>영업점</t>
        </is>
      </c>
      <c r="BJ27" s="321" t="inlineStr">
        <is>
          <t>대기</t>
        </is>
      </c>
      <c r="BK27" s="321" t="inlineStr">
        <is>
          <t>총무부</t>
        </is>
      </c>
      <c r="BL27" s="321">
        <f>BI27&amp;BJ27&amp;BK27</f>
        <v/>
      </c>
      <c r="BM27" s="350" t="n">
        <v>3</v>
      </c>
      <c r="BN27" s="350" t="n">
        <v>3</v>
      </c>
      <c r="BO27" s="320" t="n">
        <v>100</v>
      </c>
      <c r="BP27" s="350" t="n">
        <v>1</v>
      </c>
      <c r="BQ27" s="320" t="n">
        <v>33.3</v>
      </c>
      <c r="BR27" s="350" t="n">
        <v>2</v>
      </c>
      <c r="BS27" s="320" t="n">
        <v>66.7</v>
      </c>
      <c r="BT27" s="350" t="n">
        <v>0</v>
      </c>
      <c r="BU27" s="320" t="n">
        <v>0</v>
      </c>
    </row>
    <row r="28" ht="15" customHeight="1" s="292">
      <c r="B28" s="120" t="inlineStr">
        <is>
          <t>영업점</t>
        </is>
      </c>
      <c r="C28" s="120" t="inlineStr">
        <is>
          <t>업무처리/배웅</t>
        </is>
      </c>
      <c r="D28" s="346" t="n"/>
      <c r="E28" s="346" t="n"/>
      <c r="F28" s="346" t="n"/>
      <c r="G28" s="346" t="n"/>
      <c r="H28" s="346" t="n"/>
      <c r="I28" s="347" t="n"/>
      <c r="J28" s="348" t="n"/>
      <c r="K28" s="346" t="n"/>
      <c r="L28" s="346" t="n"/>
      <c r="M28" s="346" t="n"/>
      <c r="N28" s="346" t="n"/>
      <c r="O28" s="347" t="n"/>
      <c r="P28" s="112" t="inlineStr">
        <is>
          <t>인재개발부</t>
        </is>
      </c>
      <c r="Q28" s="113" t="n"/>
      <c r="R28" s="113" t="n"/>
      <c r="S28" s="113" t="n"/>
      <c r="T28" s="113" t="n"/>
      <c r="U28" s="113" t="n"/>
      <c r="V28" s="113" t="n"/>
      <c r="W28" s="113" t="n"/>
      <c r="X28" s="113" t="n"/>
      <c r="Y28" s="113" t="n"/>
      <c r="Z28" s="108" t="n"/>
      <c r="AA28" s="225">
        <f>IFERROR(VLOOKUP(B28&amp;C28&amp;P28, $BL$6:$BU$65, 2, 0), 0)</f>
        <v/>
      </c>
      <c r="AB28" s="346" t="n"/>
      <c r="AC28" s="346" t="n"/>
      <c r="AD28" s="347" t="n"/>
      <c r="AE28" s="225">
        <f>IFERROR(VLOOKUP(B28&amp;C28&amp;P28, $BL$6:$BU$65, 3, 0), 0)&amp;"("&amp;IFERROR(VLOOKUP(B28&amp;C28&amp;P28, $BL$6:$BU$65, 4, 0), 0)&amp;")"</f>
        <v/>
      </c>
      <c r="AF28" s="346" t="n"/>
      <c r="AG28" s="346" t="n"/>
      <c r="AH28" s="347" t="n"/>
      <c r="AI28" s="225">
        <f>IFERROR(VLOOKUP(B28&amp;C28&amp;P28, $BL$6:$BU$65, 5, 0),0)&amp;"("&amp;IFERROR(VLOOKUP(B28&amp;C28&amp;P28, $BL$6:$BU$65, 6, 0),0)&amp;")"</f>
        <v/>
      </c>
      <c r="AJ28" s="346" t="n"/>
      <c r="AK28" s="346" t="n"/>
      <c r="AL28" s="347" t="n"/>
      <c r="AM28" s="245">
        <f>IFERROR(VLOOKUP(B28&amp;C28&amp;P28, $BL$6:$BU$65, 7, 0),0)&amp;"("&amp;IFERROR(VLOOKUP(B28&amp;C28&amp;P28, $BL$6:$BU$65, 8, 0),0)&amp;")"</f>
        <v/>
      </c>
      <c r="AN28" s="346" t="n"/>
      <c r="AO28" s="346" t="n"/>
      <c r="AP28" s="346" t="n"/>
      <c r="AQ28" s="212">
        <f>IFERROR(VLOOKUP(B28&amp;C28&amp;P28, $BL$6:$BU$65, 9, 0),0)&amp;"("&amp;IFERROR(VLOOKUP(B28&amp;C28&amp;P28, $BL$6:$BU$65, 10, 0),0)&amp;")"</f>
        <v/>
      </c>
      <c r="AR28" s="346" t="n"/>
      <c r="AS28" s="346" t="n"/>
      <c r="AT28" s="347" t="n"/>
      <c r="AU28" s="346" t="n"/>
      <c r="AV28" s="346" t="n"/>
      <c r="AW28" s="346" t="n"/>
      <c r="AX28" s="347" t="n"/>
      <c r="AY28" s="348" t="n"/>
      <c r="AZ28" s="346" t="n"/>
      <c r="BA28" s="346" t="n"/>
      <c r="BB28" s="347" t="n"/>
      <c r="BC28" s="348" t="n"/>
      <c r="BD28" s="346" t="n"/>
      <c r="BE28" s="346" t="n"/>
      <c r="BF28" s="346" t="n"/>
      <c r="BI28" s="321" t="inlineStr">
        <is>
          <t>영업점</t>
        </is>
      </c>
      <c r="BJ28" s="321" t="inlineStr">
        <is>
          <t>맞이/의도파악</t>
        </is>
      </c>
      <c r="BK28" s="321" t="inlineStr">
        <is>
          <t>소비자보호부</t>
        </is>
      </c>
      <c r="BL28" s="321">
        <f>BI28&amp;BJ28&amp;BK28</f>
        <v/>
      </c>
      <c r="BM28" s="350" t="n">
        <v>7</v>
      </c>
      <c r="BN28" s="350" t="n">
        <v>6</v>
      </c>
      <c r="BO28" s="320" t="n">
        <v>85.7</v>
      </c>
      <c r="BP28" s="350" t="n">
        <v>6</v>
      </c>
      <c r="BQ28" s="320" t="n">
        <v>100</v>
      </c>
      <c r="BR28" s="350" t="n">
        <v>0</v>
      </c>
      <c r="BS28" s="320" t="n">
        <v>0</v>
      </c>
      <c r="BT28" s="350" t="n">
        <v>0</v>
      </c>
      <c r="BU28" s="320" t="n">
        <v>0</v>
      </c>
    </row>
    <row r="29" ht="15" customHeight="1" s="292">
      <c r="B29" s="120" t="inlineStr">
        <is>
          <t>고객센터</t>
        </is>
      </c>
      <c r="C29" s="120" t="inlineStr">
        <is>
          <t>합계</t>
        </is>
      </c>
      <c r="D29" s="351" t="inlineStr">
        <is>
          <t>고객센터</t>
        </is>
      </c>
      <c r="E29" s="342" t="n"/>
      <c r="F29" s="342" t="n"/>
      <c r="G29" s="342" t="n"/>
      <c r="H29" s="342" t="n"/>
      <c r="I29" s="343" t="n"/>
      <c r="J29" s="91" t="inlineStr">
        <is>
          <t>합계</t>
        </is>
      </c>
      <c r="K29" s="95" t="n"/>
      <c r="L29" s="95" t="n"/>
      <c r="M29" s="95" t="n"/>
      <c r="N29" s="95" t="n"/>
      <c r="O29" s="96" t="n"/>
      <c r="P29" s="118" t="n"/>
      <c r="Q29" s="95" t="n"/>
      <c r="R29" s="95" t="n"/>
      <c r="S29" s="95" t="n"/>
      <c r="T29" s="95" t="n"/>
      <c r="U29" s="95" t="n"/>
      <c r="V29" s="95" t="n"/>
      <c r="W29" s="95" t="n"/>
      <c r="X29" s="95" t="n"/>
      <c r="Y29" s="95" t="n"/>
      <c r="Z29" s="96" t="n"/>
      <c r="AA29" s="205">
        <f>IFERROR(VLOOKUP(B29&amp;C29&amp;P29, $BL$6:$BU$65, 2, 0), 0)</f>
        <v/>
      </c>
      <c r="AB29" s="344" t="n"/>
      <c r="AC29" s="344" t="n"/>
      <c r="AD29" s="345" t="n"/>
      <c r="AE29" s="205">
        <f>IFERROR(VLOOKUP(B29&amp;C29&amp;P29, $BL$6:$BU$65, 3, 0), 0)&amp;"("&amp;IFERROR(VLOOKUP(B29&amp;C29&amp;P29, $BL$6:$BU$65, 4, 0), 0)&amp;")"</f>
        <v/>
      </c>
      <c r="AF29" s="344" t="n"/>
      <c r="AG29" s="344" t="n"/>
      <c r="AH29" s="345" t="n"/>
      <c r="AI29" s="205">
        <f>IFERROR(VLOOKUP(B29&amp;C29&amp;P29, $BL$6:$BU$65, 5, 0),0)&amp;"("&amp;IFERROR(VLOOKUP(B29&amp;C29&amp;P29, $BL$6:$BU$65, 6, 0),0)&amp;")"</f>
        <v/>
      </c>
      <c r="AJ29" s="344" t="n"/>
      <c r="AK29" s="344" t="n"/>
      <c r="AL29" s="345" t="n"/>
      <c r="AM29" s="205">
        <f>IFERROR(VLOOKUP(B29&amp;C29&amp;P29, $BL$6:$BU$65, 7, 0),0)&amp;"("&amp;IFERROR(VLOOKUP(B29&amp;C29&amp;P29, $BL$6:$BU$65, 8, 0),0)&amp;")"</f>
        <v/>
      </c>
      <c r="AN29" s="344" t="n"/>
      <c r="AO29" s="344" t="n"/>
      <c r="AP29" s="345" t="n"/>
      <c r="AQ29" s="206">
        <f>IFERROR(VLOOKUP(B29&amp;C29&amp;P29, $BL$6:$BU$65, 9, 0),0)&amp;"("&amp;IFERROR(VLOOKUP(B29&amp;C29&amp;P29, $BL$6:$BU$65, 10, 0),0)&amp;")"</f>
        <v/>
      </c>
      <c r="AR29" s="344" t="n"/>
      <c r="AS29" s="344" t="n"/>
      <c r="AT29" s="345" t="n"/>
      <c r="AU29" s="361" t="n">
        <v>36.2</v>
      </c>
      <c r="AV29" s="344" t="n"/>
      <c r="AW29" s="344" t="n"/>
      <c r="AX29" s="345" t="n"/>
      <c r="AY29" s="361" t="n">
        <v>36.8</v>
      </c>
      <c r="AZ29" s="344" t="n"/>
      <c r="BA29" s="344" t="n"/>
      <c r="BB29" s="345" t="n"/>
      <c r="BC29" s="362" t="n">
        <v>0.6</v>
      </c>
      <c r="BD29" s="344" t="n"/>
      <c r="BE29" s="344" t="n"/>
      <c r="BF29" s="344" t="n"/>
      <c r="BI29" s="321" t="inlineStr">
        <is>
          <t>영업점</t>
        </is>
      </c>
      <c r="BJ29" s="321" t="inlineStr">
        <is>
          <t>직원상담</t>
        </is>
      </c>
      <c r="BK29" s="321" t="inlineStr">
        <is>
          <t>인재개발부</t>
        </is>
      </c>
      <c r="BL29" s="321">
        <f>BI29&amp;BJ29&amp;BK29</f>
        <v/>
      </c>
      <c r="BM29" s="350" t="n">
        <v>1</v>
      </c>
      <c r="BN29" s="350" t="n">
        <v>1</v>
      </c>
      <c r="BO29" s="320" t="n">
        <v>100</v>
      </c>
      <c r="BP29" s="350" t="n">
        <v>1</v>
      </c>
      <c r="BQ29" s="320" t="n">
        <v>100</v>
      </c>
      <c r="BR29" s="350" t="n">
        <v>0</v>
      </c>
      <c r="BS29" s="320" t="n">
        <v>0</v>
      </c>
      <c r="BT29" s="350" t="n">
        <v>0</v>
      </c>
      <c r="BU29" s="320" t="n">
        <v>0</v>
      </c>
    </row>
    <row r="30" ht="15" customHeight="1" s="292">
      <c r="B30" s="120" t="inlineStr">
        <is>
          <t>고객센터</t>
        </is>
      </c>
      <c r="C30" s="120" t="inlineStr">
        <is>
          <t>버튼식ARS</t>
        </is>
      </c>
      <c r="I30" s="355" t="n"/>
      <c r="J30" s="85" t="inlineStr">
        <is>
          <t>버튼식ARS</t>
        </is>
      </c>
      <c r="K30" s="89" t="n"/>
      <c r="L30" s="89" t="n"/>
      <c r="M30" s="89" t="n"/>
      <c r="N30" s="89" t="n"/>
      <c r="O30" s="90" t="n"/>
      <c r="P30" s="88" t="inlineStr">
        <is>
          <t>고객컨택혁신부(P)</t>
        </is>
      </c>
      <c r="Q30" s="89" t="n"/>
      <c r="R30" s="89" t="n"/>
      <c r="S30" s="89" t="n"/>
      <c r="T30" s="89" t="n"/>
      <c r="U30" s="89" t="n"/>
      <c r="V30" s="89" t="n"/>
      <c r="W30" s="89" t="n"/>
      <c r="X30" s="89" t="n"/>
      <c r="Y30" s="89" t="n"/>
      <c r="Z30" s="90" t="n"/>
      <c r="AA30" s="211">
        <f>IFERROR(VLOOKUP(B30&amp;C30&amp;P30, $BL$6:$BU$65, 2, 0), 0)</f>
        <v/>
      </c>
      <c r="AB30" s="344" t="n"/>
      <c r="AC30" s="344" t="n"/>
      <c r="AD30" s="345" t="n"/>
      <c r="AE30" s="211">
        <f>IFERROR(VLOOKUP(B30&amp;C30&amp;P30, $BL$6:$BU$65, 3, 0), 0)&amp;"("&amp;IFERROR(VLOOKUP(B30&amp;C30&amp;P30, $BL$6:$BU$65, 4, 0), 0)&amp;")"</f>
        <v/>
      </c>
      <c r="AF30" s="344" t="n"/>
      <c r="AG30" s="344" t="n"/>
      <c r="AH30" s="345" t="n"/>
      <c r="AI30" s="211">
        <f>IFERROR(VLOOKUP(B30&amp;C30&amp;P30, $BL$6:$BU$65, 5, 0),0)&amp;"("&amp;IFERROR(VLOOKUP(B30&amp;C30&amp;P30, $BL$6:$BU$65, 6, 0),0)&amp;")"</f>
        <v/>
      </c>
      <c r="AJ30" s="344" t="n"/>
      <c r="AK30" s="344" t="n"/>
      <c r="AL30" s="345" t="n"/>
      <c r="AM30" s="242">
        <f>IFERROR(VLOOKUP(B30&amp;C30&amp;P30, $BL$6:$BU$65, 7, 0),0)&amp;"("&amp;IFERROR(VLOOKUP(B30&amp;C30&amp;P30, $BL$6:$BU$65, 8, 0),0)&amp;")"</f>
        <v/>
      </c>
      <c r="AN30" s="344" t="n"/>
      <c r="AO30" s="344" t="n"/>
      <c r="AP30" s="344" t="n"/>
      <c r="AQ30" s="269">
        <f>IFERROR(VLOOKUP(B30&amp;C30&amp;P30, $BL$6:$BU$65, 9, 0),0)&amp;"("&amp;IFERROR(VLOOKUP(B30&amp;C30&amp;P30, $BL$6:$BU$65, 10, 0),0)&amp;")"</f>
        <v/>
      </c>
      <c r="AR30" s="344" t="n"/>
      <c r="AS30" s="344" t="n"/>
      <c r="AT30" s="365" t="n"/>
      <c r="AU30" s="244">
        <f>VLOOKUP($D$29&amp;$J30, $BK$68:$BN$107, 2, 0)</f>
        <v/>
      </c>
      <c r="AV30" s="344" t="n"/>
      <c r="AW30" s="344" t="n"/>
      <c r="AX30" s="345" t="n"/>
      <c r="AY30" s="211">
        <f>VLOOKUP($D$29&amp;$J30, $BK$68:$BN$107, 3, 0)</f>
        <v/>
      </c>
      <c r="AZ30" s="344" t="n"/>
      <c r="BA30" s="344" t="n"/>
      <c r="BB30" s="345" t="n"/>
      <c r="BC30" s="242">
        <f>VLOOKUP($D$29&amp;$J30, $BK$68:$BN$107, 4, 0)</f>
        <v/>
      </c>
      <c r="BD30" s="344" t="n"/>
      <c r="BE30" s="344" t="n"/>
      <c r="BF30" s="344" t="n"/>
      <c r="BI30" s="321" t="inlineStr">
        <is>
          <t>영업점</t>
        </is>
      </c>
      <c r="BJ30" s="321" t="inlineStr">
        <is>
          <t>업무처리/배웅</t>
        </is>
      </c>
      <c r="BK30" s="321" t="inlineStr">
        <is>
          <t>소비자보호부</t>
        </is>
      </c>
      <c r="BL30" s="321">
        <f>BI30&amp;BJ30&amp;BK30</f>
        <v/>
      </c>
      <c r="BM30" s="350" t="n">
        <v>1</v>
      </c>
      <c r="BN30" s="350" t="n">
        <v>1</v>
      </c>
      <c r="BO30" s="320" t="n">
        <v>100</v>
      </c>
      <c r="BP30" s="350" t="n">
        <v>1</v>
      </c>
      <c r="BQ30" s="320" t="n">
        <v>100</v>
      </c>
      <c r="BR30" s="350" t="n">
        <v>0</v>
      </c>
      <c r="BS30" s="320" t="n">
        <v>0</v>
      </c>
      <c r="BT30" s="350" t="n">
        <v>0</v>
      </c>
      <c r="BU30" s="320" t="n">
        <v>0</v>
      </c>
    </row>
    <row r="31" ht="15" customHeight="1" s="292">
      <c r="B31" s="120" t="inlineStr">
        <is>
          <t>고객센터</t>
        </is>
      </c>
      <c r="C31" s="120" t="inlineStr">
        <is>
          <t>보이는ARS</t>
        </is>
      </c>
      <c r="I31" s="355" t="n"/>
      <c r="J31" s="85" t="inlineStr">
        <is>
          <t>보이는ARS</t>
        </is>
      </c>
      <c r="K31" s="89" t="n"/>
      <c r="L31" s="89" t="n"/>
      <c r="M31" s="89" t="n"/>
      <c r="N31" s="89" t="n"/>
      <c r="O31" s="90" t="n"/>
      <c r="P31" s="88" t="inlineStr">
        <is>
          <t>고객컨택혁신부(P)</t>
        </is>
      </c>
      <c r="Q31" s="89" t="n"/>
      <c r="R31" s="89" t="n"/>
      <c r="S31" s="89" t="n"/>
      <c r="T31" s="89" t="n"/>
      <c r="U31" s="89" t="n"/>
      <c r="V31" s="89" t="n"/>
      <c r="W31" s="89" t="n"/>
      <c r="X31" s="89" t="n"/>
      <c r="Y31" s="89" t="n"/>
      <c r="Z31" s="90" t="n"/>
      <c r="AA31" s="211">
        <f>IFERROR(VLOOKUP(B31&amp;C31&amp;P31, $BL$6:$BU$65, 2, 0), 0)</f>
        <v/>
      </c>
      <c r="AB31" s="344" t="n"/>
      <c r="AC31" s="344" t="n"/>
      <c r="AD31" s="345" t="n"/>
      <c r="AE31" s="211">
        <f>IFERROR(VLOOKUP(B31&amp;C31&amp;P31, $BL$6:$BU$65, 3, 0), 0)&amp;"("&amp;IFERROR(VLOOKUP(B31&amp;C31&amp;P31, $BL$6:$BU$65, 4, 0), 0)&amp;")"</f>
        <v/>
      </c>
      <c r="AF31" s="344" t="n"/>
      <c r="AG31" s="344" t="n"/>
      <c r="AH31" s="345" t="n"/>
      <c r="AI31" s="211">
        <f>IFERROR(VLOOKUP(B31&amp;C31&amp;P31, $BL$6:$BU$65, 5, 0),0)&amp;"("&amp;IFERROR(VLOOKUP(B31&amp;C31&amp;P31, $BL$6:$BU$65, 6, 0),0)&amp;")"</f>
        <v/>
      </c>
      <c r="AJ31" s="344" t="n"/>
      <c r="AK31" s="344" t="n"/>
      <c r="AL31" s="345" t="n"/>
      <c r="AM31" s="242">
        <f>IFERROR(VLOOKUP(B31&amp;C31&amp;P31, $BL$6:$BU$65, 7, 0),0)&amp;"("&amp;IFERROR(VLOOKUP(B31&amp;C31&amp;P31, $BL$6:$BU$65, 8, 0),0)&amp;")"</f>
        <v/>
      </c>
      <c r="AN31" s="344" t="n"/>
      <c r="AO31" s="344" t="n"/>
      <c r="AP31" s="344" t="n"/>
      <c r="AQ31" s="269">
        <f>IFERROR(VLOOKUP(B31&amp;C31&amp;P31, $BL$6:$BU$65, 9, 0),0)&amp;"("&amp;IFERROR(VLOOKUP(B31&amp;C31&amp;P31, $BL$6:$BU$65, 10, 0),0)&amp;")"</f>
        <v/>
      </c>
      <c r="AR31" s="344" t="n"/>
      <c r="AS31" s="344" t="n"/>
      <c r="AT31" s="365" t="n"/>
      <c r="AU31" s="244">
        <f>VLOOKUP($D$29&amp;$J31, $BK$68:$BN$107, 2, 0)</f>
        <v/>
      </c>
      <c r="AV31" s="344" t="n"/>
      <c r="AW31" s="344" t="n"/>
      <c r="AX31" s="345" t="n"/>
      <c r="AY31" s="211">
        <f>VLOOKUP($D$29&amp;$J31, $BK$68:$BN$107, 3, 0)</f>
        <v/>
      </c>
      <c r="AZ31" s="344" t="n"/>
      <c r="BA31" s="344" t="n"/>
      <c r="BB31" s="345" t="n"/>
      <c r="BC31" s="242">
        <f>VLOOKUP($D$29&amp;$J31, $BK$68:$BN$107, 4, 0)</f>
        <v/>
      </c>
      <c r="BD31" s="344" t="n"/>
      <c r="BE31" s="344" t="n"/>
      <c r="BF31" s="344" t="n"/>
      <c r="BI31" s="321" t="inlineStr">
        <is>
          <t>고객센터</t>
        </is>
      </c>
      <c r="BJ31" s="321" t="inlineStr">
        <is>
          <t>대기</t>
        </is>
      </c>
      <c r="BK31" s="321" t="inlineStr">
        <is>
          <t>고객컨택혁신부(P)</t>
        </is>
      </c>
      <c r="BL31" s="321">
        <f>BI31&amp;BJ31&amp;BK31</f>
        <v/>
      </c>
      <c r="BM31" s="350" t="n">
        <v>184</v>
      </c>
      <c r="BN31" s="350" t="n">
        <v>158</v>
      </c>
      <c r="BO31" s="320" t="n">
        <v>85.90000000000001</v>
      </c>
      <c r="BP31" s="350" t="n">
        <v>0</v>
      </c>
      <c r="BQ31" s="320" t="n">
        <v>0</v>
      </c>
      <c r="BR31" s="350" t="n">
        <v>0</v>
      </c>
      <c r="BS31" s="320" t="n">
        <v>0</v>
      </c>
      <c r="BT31" s="350" t="n">
        <v>158</v>
      </c>
      <c r="BU31" s="320" t="n">
        <v>100</v>
      </c>
    </row>
    <row r="32" ht="15" customHeight="1" s="292">
      <c r="B32" s="120" t="inlineStr">
        <is>
          <t>고객센터</t>
        </is>
      </c>
      <c r="C32" s="120" t="inlineStr">
        <is>
          <t>대기</t>
        </is>
      </c>
      <c r="I32" s="355" t="n"/>
      <c r="J32" s="85" t="inlineStr">
        <is>
          <t>대기</t>
        </is>
      </c>
      <c r="K32" s="89" t="n"/>
      <c r="L32" s="89" t="n"/>
      <c r="M32" s="89" t="n"/>
      <c r="N32" s="89" t="n"/>
      <c r="O32" s="90" t="n"/>
      <c r="P32" s="88" t="inlineStr">
        <is>
          <t>고객컨택혁신부(P)</t>
        </is>
      </c>
      <c r="Q32" s="89" t="n"/>
      <c r="R32" s="89" t="n"/>
      <c r="S32" s="89" t="n"/>
      <c r="T32" s="89" t="n"/>
      <c r="U32" s="89" t="n"/>
      <c r="V32" s="89" t="n"/>
      <c r="W32" s="89" t="n"/>
      <c r="X32" s="89" t="n"/>
      <c r="Y32" s="89" t="n"/>
      <c r="Z32" s="90" t="n"/>
      <c r="AA32" s="211">
        <f>IFERROR(VLOOKUP(B32&amp;C32&amp;P32, $BL$6:$BU$65, 2, 0), 0)</f>
        <v/>
      </c>
      <c r="AB32" s="344" t="n"/>
      <c r="AC32" s="344" t="n"/>
      <c r="AD32" s="345" t="n"/>
      <c r="AE32" s="211">
        <f>IFERROR(VLOOKUP(B32&amp;C32&amp;P32, $BL$6:$BU$65, 3, 0), 0)&amp;"("&amp;IFERROR(VLOOKUP(B32&amp;C32&amp;P32, $BL$6:$BU$65, 4, 0), 0)&amp;")"</f>
        <v/>
      </c>
      <c r="AF32" s="344" t="n"/>
      <c r="AG32" s="344" t="n"/>
      <c r="AH32" s="345" t="n"/>
      <c r="AI32" s="211">
        <f>IFERROR(VLOOKUP(B32&amp;C32&amp;P32, $BL$6:$BU$65, 5, 0),0)&amp;"("&amp;IFERROR(VLOOKUP(B32&amp;C32&amp;P32, $BL$6:$BU$65, 6, 0),0)&amp;")"</f>
        <v/>
      </c>
      <c r="AJ32" s="344" t="n"/>
      <c r="AK32" s="344" t="n"/>
      <c r="AL32" s="345" t="n"/>
      <c r="AM32" s="242">
        <f>IFERROR(VLOOKUP(B32&amp;C32&amp;P32, $BL$6:$BU$65, 7, 0),0)&amp;"("&amp;IFERROR(VLOOKUP(B32&amp;C32&amp;P32, $BL$6:$BU$65, 8, 0),0)&amp;")"</f>
        <v/>
      </c>
      <c r="AN32" s="344" t="n"/>
      <c r="AO32" s="344" t="n"/>
      <c r="AP32" s="344" t="n"/>
      <c r="AQ32" s="269">
        <f>IFERROR(VLOOKUP(B32&amp;C32&amp;P32, $BL$6:$BU$65, 9, 0),0)&amp;"("&amp;IFERROR(VLOOKUP(B32&amp;C32&amp;P32, $BL$6:$BU$65, 10, 0),0)&amp;")"</f>
        <v/>
      </c>
      <c r="AR32" s="344" t="n"/>
      <c r="AS32" s="344" t="n"/>
      <c r="AT32" s="365" t="n"/>
      <c r="AU32" s="244">
        <f>VLOOKUP($D$29&amp;$J32, $BK$68:$BN$107, 2, 0)</f>
        <v/>
      </c>
      <c r="AV32" s="344" t="n"/>
      <c r="AW32" s="344" t="n"/>
      <c r="AX32" s="345" t="n"/>
      <c r="AY32" s="211">
        <f>VLOOKUP($D$29&amp;$J32, $BK$68:$BN$107, 3, 0)</f>
        <v/>
      </c>
      <c r="AZ32" s="344" t="n"/>
      <c r="BA32" s="344" t="n"/>
      <c r="BB32" s="345" t="n"/>
      <c r="BC32" s="242">
        <f>VLOOKUP($D$29&amp;$J32, $BK$68:$BN$107, 4, 0)</f>
        <v/>
      </c>
      <c r="BD32" s="344" t="n"/>
      <c r="BE32" s="344" t="n"/>
      <c r="BF32" s="344" t="n"/>
      <c r="BI32" s="321" t="inlineStr">
        <is>
          <t>고객센터</t>
        </is>
      </c>
      <c r="BJ32" s="321" t="inlineStr">
        <is>
          <t>챗봇상담</t>
        </is>
      </c>
      <c r="BK32" s="321" t="inlineStr">
        <is>
          <t>고객컨택혁신부(P)</t>
        </is>
      </c>
      <c r="BL32" s="321">
        <f>BI32&amp;BJ32&amp;BK32</f>
        <v/>
      </c>
      <c r="BM32" s="350" t="n">
        <v>3</v>
      </c>
      <c r="BN32" s="350" t="n">
        <v>3</v>
      </c>
      <c r="BO32" s="320" t="n">
        <v>100</v>
      </c>
      <c r="BP32" s="350" t="n">
        <v>0</v>
      </c>
      <c r="BQ32" s="320" t="n">
        <v>0</v>
      </c>
      <c r="BR32" s="350" t="n">
        <v>0</v>
      </c>
      <c r="BS32" s="320" t="n">
        <v>0</v>
      </c>
      <c r="BT32" s="350" t="n">
        <v>3</v>
      </c>
      <c r="BU32" s="320" t="n">
        <v>100</v>
      </c>
    </row>
    <row r="33" ht="15" customHeight="1" s="292">
      <c r="B33" s="120" t="inlineStr">
        <is>
          <t>고객센터</t>
        </is>
      </c>
      <c r="C33" s="120" t="inlineStr">
        <is>
          <t>챗봇상담</t>
        </is>
      </c>
      <c r="I33" s="355" t="n"/>
      <c r="J33" s="85" t="inlineStr">
        <is>
          <t>챗봇상담</t>
        </is>
      </c>
      <c r="K33" s="89" t="n"/>
      <c r="L33" s="89" t="n"/>
      <c r="M33" s="89" t="n"/>
      <c r="N33" s="89" t="n"/>
      <c r="O33" s="90" t="n"/>
      <c r="P33" s="88" t="inlineStr">
        <is>
          <t>고객컨택혁신부(P)</t>
        </is>
      </c>
      <c r="Q33" s="89" t="n"/>
      <c r="R33" s="89" t="n"/>
      <c r="S33" s="89" t="n"/>
      <c r="T33" s="89" t="n"/>
      <c r="U33" s="89" t="n"/>
      <c r="V33" s="89" t="n"/>
      <c r="W33" s="89" t="n"/>
      <c r="X33" s="89" t="n"/>
      <c r="Y33" s="89" t="n"/>
      <c r="Z33" s="90" t="n"/>
      <c r="AA33" s="211">
        <f>IFERROR(VLOOKUP(B33&amp;C33&amp;P33, $BL$6:$BU$65, 2, 0), 0)</f>
        <v/>
      </c>
      <c r="AB33" s="344" t="n"/>
      <c r="AC33" s="344" t="n"/>
      <c r="AD33" s="345" t="n"/>
      <c r="AE33" s="211">
        <f>IFERROR(VLOOKUP(B33&amp;C33&amp;P33, $BL$6:$BU$65, 3, 0), 0)&amp;"("&amp;IFERROR(VLOOKUP(B33&amp;C33&amp;P33, $BL$6:$BU$65, 4, 0), 0)&amp;")"</f>
        <v/>
      </c>
      <c r="AF33" s="344" t="n"/>
      <c r="AG33" s="344" t="n"/>
      <c r="AH33" s="345" t="n"/>
      <c r="AI33" s="211">
        <f>IFERROR(VLOOKUP(B33&amp;C33&amp;P33, $BL$6:$BU$65, 5, 0),0)&amp;"("&amp;IFERROR(VLOOKUP(B33&amp;C33&amp;P33, $BL$6:$BU$65, 6, 0),0)&amp;")"</f>
        <v/>
      </c>
      <c r="AJ33" s="344" t="n"/>
      <c r="AK33" s="344" t="n"/>
      <c r="AL33" s="345" t="n"/>
      <c r="AM33" s="242">
        <f>IFERROR(VLOOKUP(B33&amp;C33&amp;P33, $BL$6:$BU$65, 7, 0),0)&amp;"("&amp;IFERROR(VLOOKUP(B33&amp;C33&amp;P33, $BL$6:$BU$65, 8, 0),0)&amp;")"</f>
        <v/>
      </c>
      <c r="AN33" s="344" t="n"/>
      <c r="AO33" s="344" t="n"/>
      <c r="AP33" s="344" t="n"/>
      <c r="AQ33" s="269">
        <f>IFERROR(VLOOKUP(B33&amp;C33&amp;P33, $BL$6:$BU$65, 9, 0),0)&amp;"("&amp;IFERROR(VLOOKUP(B33&amp;C33&amp;P33, $BL$6:$BU$65, 10, 0),0)&amp;")"</f>
        <v/>
      </c>
      <c r="AR33" s="344" t="n"/>
      <c r="AS33" s="344" t="n"/>
      <c r="AT33" s="365" t="n"/>
      <c r="AU33" s="244">
        <f>VLOOKUP($D$29&amp;$J33, $BK$68:$BN$107, 2, 0)</f>
        <v/>
      </c>
      <c r="AV33" s="344" t="n"/>
      <c r="AW33" s="344" t="n"/>
      <c r="AX33" s="345" t="n"/>
      <c r="AY33" s="211">
        <f>VLOOKUP($D$29&amp;$J33, $BK$68:$BN$107, 3, 0)</f>
        <v/>
      </c>
      <c r="AZ33" s="344" t="n"/>
      <c r="BA33" s="344" t="n"/>
      <c r="BB33" s="345" t="n"/>
      <c r="BC33" s="242">
        <f>VLOOKUP($D$29&amp;$J33, $BK$68:$BN$107, 4, 0)</f>
        <v/>
      </c>
      <c r="BD33" s="344" t="n"/>
      <c r="BE33" s="344" t="n"/>
      <c r="BF33" s="344" t="n"/>
      <c r="BI33" s="321" t="inlineStr">
        <is>
          <t>고객센터</t>
        </is>
      </c>
      <c r="BJ33" s="321" t="inlineStr">
        <is>
          <t>콜봇상담</t>
        </is>
      </c>
      <c r="BK33" s="321" t="inlineStr">
        <is>
          <t>고객컨택혁신부(P)</t>
        </is>
      </c>
      <c r="BL33" s="321">
        <f>BI33&amp;BJ33&amp;BK33</f>
        <v/>
      </c>
      <c r="BM33" s="350" t="n">
        <v>12</v>
      </c>
      <c r="BN33" s="350" t="n">
        <v>12</v>
      </c>
      <c r="BO33" s="320" t="n">
        <v>100</v>
      </c>
      <c r="BP33" s="350" t="n">
        <v>8</v>
      </c>
      <c r="BQ33" s="320" t="n">
        <v>66.7</v>
      </c>
      <c r="BR33" s="350" t="n">
        <v>0</v>
      </c>
      <c r="BS33" s="320" t="n">
        <v>0</v>
      </c>
      <c r="BT33" s="350" t="n">
        <v>4</v>
      </c>
      <c r="BU33" s="320" t="n">
        <v>33.3</v>
      </c>
    </row>
    <row r="34" ht="15" customHeight="1" s="292">
      <c r="B34" s="120" t="inlineStr">
        <is>
          <t>고객센터</t>
        </is>
      </c>
      <c r="C34" s="120" t="inlineStr">
        <is>
          <t>콜봇상담</t>
        </is>
      </c>
      <c r="I34" s="355" t="n"/>
      <c r="J34" s="85" t="inlineStr">
        <is>
          <t>콜봇상담</t>
        </is>
      </c>
      <c r="K34" s="89" t="n"/>
      <c r="L34" s="89" t="n"/>
      <c r="M34" s="89" t="n"/>
      <c r="N34" s="89" t="n"/>
      <c r="O34" s="90" t="n"/>
      <c r="P34" s="88" t="inlineStr">
        <is>
          <t>고객컨택혁신부(P)</t>
        </is>
      </c>
      <c r="Q34" s="89" t="n"/>
      <c r="R34" s="89" t="n"/>
      <c r="S34" s="89" t="n"/>
      <c r="T34" s="89" t="n"/>
      <c r="U34" s="89" t="n"/>
      <c r="V34" s="89" t="n"/>
      <c r="W34" s="89" t="n"/>
      <c r="X34" s="89" t="n"/>
      <c r="Y34" s="89" t="n"/>
      <c r="Z34" s="90" t="n"/>
      <c r="AA34" s="211">
        <f>IFERROR(VLOOKUP(B34&amp;C34&amp;P34, $BL$6:$BU$65, 2, 0), 0)</f>
        <v/>
      </c>
      <c r="AB34" s="344" t="n"/>
      <c r="AC34" s="344" t="n"/>
      <c r="AD34" s="345" t="n"/>
      <c r="AE34" s="211">
        <f>IFERROR(VLOOKUP(B34&amp;C34&amp;P34, $BL$6:$BU$65, 3, 0), 0)&amp;"("&amp;IFERROR(VLOOKUP(B34&amp;C34&amp;P34, $BL$6:$BU$65, 4, 0), 0)&amp;")"</f>
        <v/>
      </c>
      <c r="AF34" s="344" t="n"/>
      <c r="AG34" s="344" t="n"/>
      <c r="AH34" s="345" t="n"/>
      <c r="AI34" s="211">
        <f>IFERROR(VLOOKUP(B34&amp;C34&amp;P34, $BL$6:$BU$65, 5, 0),0)&amp;"("&amp;IFERROR(VLOOKUP(B34&amp;C34&amp;P34, $BL$6:$BU$65, 6, 0),0)&amp;")"</f>
        <v/>
      </c>
      <c r="AJ34" s="344" t="n"/>
      <c r="AK34" s="344" t="n"/>
      <c r="AL34" s="345" t="n"/>
      <c r="AM34" s="242">
        <f>IFERROR(VLOOKUP(B34&amp;C34&amp;P34, $BL$6:$BU$65, 7, 0),0)&amp;"("&amp;IFERROR(VLOOKUP(B34&amp;C34&amp;P34, $BL$6:$BU$65, 8, 0),0)&amp;")"</f>
        <v/>
      </c>
      <c r="AN34" s="344" t="n"/>
      <c r="AO34" s="344" t="n"/>
      <c r="AP34" s="344" t="n"/>
      <c r="AQ34" s="269">
        <f>IFERROR(VLOOKUP(B34&amp;C34&amp;P34, $BL$6:$BU$65, 9, 0),0)&amp;"("&amp;IFERROR(VLOOKUP(B34&amp;C34&amp;P34, $BL$6:$BU$65, 10, 0),0)&amp;")"</f>
        <v/>
      </c>
      <c r="AR34" s="344" t="n"/>
      <c r="AS34" s="344" t="n"/>
      <c r="AT34" s="365" t="n"/>
      <c r="AU34" s="244">
        <f>VLOOKUP($D$29&amp;$J34, $BK$68:$BN$107, 2, 0)</f>
        <v/>
      </c>
      <c r="AV34" s="344" t="n"/>
      <c r="AW34" s="344" t="n"/>
      <c r="AX34" s="345" t="n"/>
      <c r="AY34" s="211">
        <f>VLOOKUP($D$29&amp;$J34, $BK$68:$BN$107, 3, 0)</f>
        <v/>
      </c>
      <c r="AZ34" s="344" t="n"/>
      <c r="BA34" s="344" t="n"/>
      <c r="BB34" s="345" t="n"/>
      <c r="BC34" s="242">
        <f>VLOOKUP($D$29&amp;$J34, $BK$68:$BN$107, 4, 0)</f>
        <v/>
      </c>
      <c r="BD34" s="344" t="n"/>
      <c r="BE34" s="344" t="n"/>
      <c r="BF34" s="344" t="n"/>
      <c r="BI34" s="321" t="inlineStr">
        <is>
          <t>고객센터</t>
        </is>
      </c>
      <c r="BJ34" s="321" t="inlineStr">
        <is>
          <t>직원상담</t>
        </is>
      </c>
      <c r="BK34" s="321" t="inlineStr">
        <is>
          <t>고객컨택혁신부(P)</t>
        </is>
      </c>
      <c r="BL34" s="321">
        <f>BI34&amp;BJ34&amp;BK34</f>
        <v/>
      </c>
      <c r="BM34" s="350" t="n">
        <v>8</v>
      </c>
      <c r="BN34" s="350" t="n">
        <v>8</v>
      </c>
      <c r="BO34" s="320" t="n">
        <v>100</v>
      </c>
      <c r="BP34" s="350" t="n">
        <v>0</v>
      </c>
      <c r="BQ34" s="320" t="n">
        <v>0</v>
      </c>
      <c r="BR34" s="350" t="n">
        <v>0</v>
      </c>
      <c r="BS34" s="320" t="n">
        <v>0</v>
      </c>
      <c r="BT34" s="350" t="n">
        <v>8</v>
      </c>
      <c r="BU34" s="320" t="n">
        <v>100</v>
      </c>
    </row>
    <row r="35" ht="15" customHeight="1" s="292">
      <c r="B35" s="120" t="inlineStr">
        <is>
          <t>고객센터</t>
        </is>
      </c>
      <c r="C35" s="120" t="inlineStr">
        <is>
          <t>직원상담</t>
        </is>
      </c>
      <c r="D35" s="346" t="n"/>
      <c r="E35" s="346" t="n"/>
      <c r="F35" s="346" t="n"/>
      <c r="G35" s="346" t="n"/>
      <c r="H35" s="346" t="n"/>
      <c r="I35" s="347" t="n"/>
      <c r="J35" s="85" t="inlineStr">
        <is>
          <t>직원상담</t>
        </is>
      </c>
      <c r="K35" s="89" t="n"/>
      <c r="L35" s="89" t="n"/>
      <c r="M35" s="89" t="n"/>
      <c r="N35" s="89" t="n"/>
      <c r="O35" s="90" t="n"/>
      <c r="P35" s="88" t="inlineStr">
        <is>
          <t>고객컨택추진부</t>
        </is>
      </c>
      <c r="Q35" s="89" t="n"/>
      <c r="R35" s="89" t="n"/>
      <c r="S35" s="89" t="n"/>
      <c r="T35" s="89" t="n"/>
      <c r="U35" s="89" t="n"/>
      <c r="V35" s="89" t="n"/>
      <c r="W35" s="89" t="n"/>
      <c r="X35" s="89" t="n"/>
      <c r="Y35" s="89" t="n"/>
      <c r="Z35" s="90" t="n"/>
      <c r="AA35" s="211">
        <f>IFERROR(VLOOKUP(B35&amp;C35&amp;P35, $BL$6:$BU$65, 2, 0), 0)</f>
        <v/>
      </c>
      <c r="AB35" s="344" t="n"/>
      <c r="AC35" s="344" t="n"/>
      <c r="AD35" s="345" t="n"/>
      <c r="AE35" s="211">
        <f>IFERROR(VLOOKUP(B35&amp;C35&amp;P35, $BL$6:$BU$65, 3, 0), 0)&amp;"("&amp;IFERROR(VLOOKUP(B35&amp;C35&amp;P35, $BL$6:$BU$65, 4, 0), 0)&amp;")"</f>
        <v/>
      </c>
      <c r="AF35" s="344" t="n"/>
      <c r="AG35" s="344" t="n"/>
      <c r="AH35" s="345" t="n"/>
      <c r="AI35" s="211">
        <f>IFERROR(VLOOKUP(B35&amp;C35&amp;P35, $BL$6:$BU$65, 5, 0),0)&amp;"("&amp;IFERROR(VLOOKUP(B35&amp;C35&amp;P35, $BL$6:$BU$65, 6, 0),0)&amp;")"</f>
        <v/>
      </c>
      <c r="AJ35" s="344" t="n"/>
      <c r="AK35" s="344" t="n"/>
      <c r="AL35" s="345" t="n"/>
      <c r="AM35" s="242">
        <f>IFERROR(VLOOKUP(B35&amp;C35&amp;P35, $BL$6:$BU$65, 7, 0),0)&amp;"("&amp;IFERROR(VLOOKUP(B35&amp;C35&amp;P35, $BL$6:$BU$65, 8, 0),0)&amp;")"</f>
        <v/>
      </c>
      <c r="AN35" s="344" t="n"/>
      <c r="AO35" s="344" t="n"/>
      <c r="AP35" s="344" t="n"/>
      <c r="AQ35" s="269">
        <f>IFERROR(VLOOKUP(B35&amp;C35&amp;P35, $BL$6:$BU$65, 9, 0),0)&amp;"("&amp;IFERROR(VLOOKUP(B35&amp;C35&amp;P35, $BL$6:$BU$65, 10, 0),0)&amp;")"</f>
        <v/>
      </c>
      <c r="AR35" s="344" t="n"/>
      <c r="AS35" s="344" t="n"/>
      <c r="AT35" s="365" t="n"/>
      <c r="AU35" s="244">
        <f>VLOOKUP($D$29&amp;$J35, $BK$68:$BN$107, 2, 0)</f>
        <v/>
      </c>
      <c r="AV35" s="344" t="n"/>
      <c r="AW35" s="344" t="n"/>
      <c r="AX35" s="345" t="n"/>
      <c r="AY35" s="211">
        <f>VLOOKUP($D$29&amp;$J35, $BK$68:$BN$107, 3, 0)</f>
        <v/>
      </c>
      <c r="AZ35" s="344" t="n"/>
      <c r="BA35" s="344" t="n"/>
      <c r="BB35" s="345" t="n"/>
      <c r="BC35" s="242">
        <f>VLOOKUP($D$29&amp;$J35, $BK$68:$BN$107, 4, 0)</f>
        <v/>
      </c>
      <c r="BD35" s="344" t="n"/>
      <c r="BE35" s="344" t="n"/>
      <c r="BF35" s="344" t="n"/>
      <c r="BI35" s="321" t="n"/>
      <c r="BJ35" s="321" t="n"/>
      <c r="BK35" s="321" t="n"/>
      <c r="BL35" s="321">
        <f>BI35&amp;BJ35&amp;BK35</f>
        <v/>
      </c>
      <c r="BM35" s="321" t="n"/>
      <c r="BN35" s="321" t="n"/>
      <c r="BO35" s="321" t="n"/>
      <c r="BP35" s="321" t="n"/>
      <c r="BQ35" s="321" t="n"/>
      <c r="BR35" s="321" t="n"/>
      <c r="BS35" s="321" t="n"/>
      <c r="BT35" s="321" t="n"/>
      <c r="BU35" s="321" t="n"/>
    </row>
    <row r="36" ht="15" customHeight="1" s="292">
      <c r="B36" s="120" t="inlineStr">
        <is>
          <t>상품</t>
        </is>
      </c>
      <c r="C36" s="120" t="inlineStr">
        <is>
          <t>합계</t>
        </is>
      </c>
      <c r="D36" s="351" t="inlineStr">
        <is>
          <t>상품</t>
        </is>
      </c>
      <c r="E36" s="342" t="n"/>
      <c r="F36" s="342" t="n"/>
      <c r="G36" s="342" t="n"/>
      <c r="H36" s="342" t="n"/>
      <c r="I36" s="343" t="n"/>
      <c r="J36" s="91" t="inlineStr">
        <is>
          <t>합계</t>
        </is>
      </c>
      <c r="K36" s="95" t="n"/>
      <c r="L36" s="95" t="n"/>
      <c r="M36" s="95" t="n"/>
      <c r="N36" s="95" t="n"/>
      <c r="O36" s="96" t="n"/>
      <c r="P36" s="118" t="n"/>
      <c r="Q36" s="95" t="n"/>
      <c r="R36" s="95" t="n"/>
      <c r="S36" s="95" t="n"/>
      <c r="T36" s="95" t="n"/>
      <c r="U36" s="95" t="n"/>
      <c r="V36" s="95" t="n"/>
      <c r="W36" s="95" t="n"/>
      <c r="X36" s="95" t="n"/>
      <c r="Y36" s="95" t="n"/>
      <c r="Z36" s="96" t="n"/>
      <c r="AA36" s="205">
        <f>IFERROR(VLOOKUP(B36&amp;C36&amp;P36, $BL$6:$BU$65, 2, 0), 0)</f>
        <v/>
      </c>
      <c r="AB36" s="344" t="n"/>
      <c r="AC36" s="344" t="n"/>
      <c r="AD36" s="345" t="n"/>
      <c r="AE36" s="205">
        <f>IFERROR(VLOOKUP(B36&amp;C36&amp;P36, $BL$6:$BU$65, 3, 0), 0)&amp;"("&amp;IFERROR(VLOOKUP(B36&amp;C36&amp;P36, $BL$6:$BU$65, 4, 0), 0)&amp;")"</f>
        <v/>
      </c>
      <c r="AF36" s="344" t="n"/>
      <c r="AG36" s="344" t="n"/>
      <c r="AH36" s="345" t="n"/>
      <c r="AI36" s="205">
        <f>IFERROR(VLOOKUP(B36&amp;C36&amp;P36, $BL$6:$BU$65, 5, 0),0)&amp;"("&amp;IFERROR(VLOOKUP(B36&amp;C36&amp;P36, $BL$6:$BU$65, 6, 0),0)&amp;")"</f>
        <v/>
      </c>
      <c r="AJ36" s="344" t="n"/>
      <c r="AK36" s="344" t="n"/>
      <c r="AL36" s="345" t="n"/>
      <c r="AM36" s="205">
        <f>IFERROR(VLOOKUP(B36&amp;C36&amp;P36, $BL$6:$BU$65, 7, 0),0)&amp;"("&amp;IFERROR(VLOOKUP(B36&amp;C36&amp;P36, $BL$6:$BU$65, 8, 0),0)&amp;")"</f>
        <v/>
      </c>
      <c r="AN36" s="344" t="n"/>
      <c r="AO36" s="344" t="n"/>
      <c r="AP36" s="345" t="n"/>
      <c r="AQ36" s="206">
        <f>IFERROR(VLOOKUP(B36&amp;C36&amp;P36, $BL$6:$BU$65, 9, 0),0)&amp;"("&amp;IFERROR(VLOOKUP(B36&amp;C36&amp;P36, $BL$6:$BU$65, 10, 0),0)&amp;")"</f>
        <v/>
      </c>
      <c r="AR36" s="344" t="n"/>
      <c r="AS36" s="344" t="n"/>
      <c r="AT36" s="345" t="n"/>
      <c r="AU36" s="361" t="n">
        <v>69.2</v>
      </c>
      <c r="AV36" s="344" t="n"/>
      <c r="AW36" s="344" t="n"/>
      <c r="AX36" s="345" t="n"/>
      <c r="AY36" s="361" t="n">
        <v>69.7</v>
      </c>
      <c r="AZ36" s="344" t="n"/>
      <c r="BA36" s="344" t="n"/>
      <c r="BB36" s="345" t="n"/>
      <c r="BC36" s="362" t="n">
        <v>0.5</v>
      </c>
      <c r="BD36" s="344" t="n"/>
      <c r="BE36" s="344" t="n"/>
      <c r="BF36" s="344" t="n"/>
      <c r="BI36" s="321" t="n"/>
      <c r="BJ36" s="321" t="n"/>
      <c r="BK36" s="321" t="n"/>
      <c r="BL36" s="321">
        <f>BI36&amp;BJ36&amp;BK36</f>
        <v/>
      </c>
      <c r="BM36" s="321" t="n"/>
      <c r="BN36" s="321" t="n"/>
      <c r="BO36" s="321" t="n"/>
      <c r="BP36" s="321" t="n"/>
      <c r="BQ36" s="321" t="n"/>
      <c r="BR36" s="321" t="n"/>
      <c r="BS36" s="321" t="n"/>
      <c r="BT36" s="321" t="n"/>
      <c r="BU36" s="321" t="n"/>
    </row>
    <row r="37" ht="15" customHeight="1" s="292">
      <c r="B37" s="120" t="inlineStr">
        <is>
          <t>상품</t>
        </is>
      </c>
      <c r="C37" s="120" t="inlineStr">
        <is>
          <t>저축성</t>
        </is>
      </c>
      <c r="I37" s="355" t="n"/>
      <c r="J37" s="85" t="inlineStr">
        <is>
          <t>저축성</t>
        </is>
      </c>
      <c r="K37" s="89" t="n"/>
      <c r="L37" s="89" t="n"/>
      <c r="M37" s="89" t="n"/>
      <c r="N37" s="89" t="n"/>
      <c r="O37" s="90" t="n"/>
      <c r="P37" s="88" t="inlineStr">
        <is>
          <t>수신상품부(P)</t>
        </is>
      </c>
      <c r="Q37" s="89" t="n"/>
      <c r="R37" s="89" t="n"/>
      <c r="S37" s="89" t="n"/>
      <c r="T37" s="89" t="n"/>
      <c r="U37" s="89" t="n"/>
      <c r="V37" s="89" t="n"/>
      <c r="W37" s="89" t="n"/>
      <c r="X37" s="89" t="n"/>
      <c r="Y37" s="89" t="n"/>
      <c r="Z37" s="90" t="n"/>
      <c r="AA37" s="211">
        <f>IFERROR(VLOOKUP(B37&amp;C37&amp;P37, $BL$6:$BU$65, 2, 0), 0)</f>
        <v/>
      </c>
      <c r="AB37" s="344" t="n"/>
      <c r="AC37" s="344" t="n"/>
      <c r="AD37" s="345" t="n"/>
      <c r="AE37" s="211">
        <f>IFERROR(VLOOKUP(B37&amp;C37&amp;P37, $BL$6:$BU$65, 3, 0), 0)&amp;"("&amp;IFERROR(VLOOKUP(B37&amp;C37&amp;P37, $BL$6:$BU$65, 4, 0), 0)&amp;")"</f>
        <v/>
      </c>
      <c r="AF37" s="344" t="n"/>
      <c r="AG37" s="344" t="n"/>
      <c r="AH37" s="345" t="n"/>
      <c r="AI37" s="211">
        <f>IFERROR(VLOOKUP(B37&amp;C37&amp;P37, $BL$6:$BU$65, 5, 0),0)&amp;"("&amp;IFERROR(VLOOKUP(B37&amp;C37&amp;P37, $BL$6:$BU$65, 6, 0),0)&amp;")"</f>
        <v/>
      </c>
      <c r="AJ37" s="344" t="n"/>
      <c r="AK37" s="344" t="n"/>
      <c r="AL37" s="345" t="n"/>
      <c r="AM37" s="211">
        <f>IFERROR(VLOOKUP(B37&amp;C37&amp;P37, $BL$6:$BU$65, 7, 0),0)&amp;"("&amp;IFERROR(VLOOKUP(B37&amp;C37&amp;P37, $BL$6:$BU$65, 8, 0),0)&amp;")"</f>
        <v/>
      </c>
      <c r="AN37" s="344" t="n"/>
      <c r="AO37" s="344" t="n"/>
      <c r="AP37" s="345" t="n"/>
      <c r="AQ37" s="206">
        <f>IFERROR(VLOOKUP(B37&amp;C37&amp;P37, $BL$6:$BU$65, 9, 0),0)&amp;"("&amp;IFERROR(VLOOKUP(B37&amp;C37&amp;P37, $BL$6:$BU$65, 10, 0),0)&amp;")"</f>
        <v/>
      </c>
      <c r="AR37" s="344" t="n"/>
      <c r="AS37" s="344" t="n"/>
      <c r="AT37" s="345" t="n"/>
      <c r="AU37" s="211">
        <f>VLOOKUP($D$36&amp;$J37, $BK$68:$BN$107, 2, 0)</f>
        <v/>
      </c>
      <c r="AV37" s="344" t="n"/>
      <c r="AW37" s="344" t="n"/>
      <c r="AX37" s="345" t="n"/>
      <c r="AY37" s="211">
        <f>VLOOKUP($D$36&amp;$J37, $BK$68:$BN$107, 3, 0)</f>
        <v/>
      </c>
      <c r="AZ37" s="344" t="n"/>
      <c r="BA37" s="344" t="n"/>
      <c r="BB37" s="345" t="n"/>
      <c r="BC37" s="242">
        <f>VLOOKUP($D$36&amp;$J37, $BK$68:$BN$107, 4, 0)</f>
        <v/>
      </c>
      <c r="BD37" s="344" t="n"/>
      <c r="BE37" s="344" t="n"/>
      <c r="BF37" s="344" t="n"/>
      <c r="BI37" s="321" t="n"/>
      <c r="BJ37" s="321" t="n"/>
      <c r="BK37" s="321" t="n"/>
      <c r="BL37" s="321">
        <f>BI37&amp;BJ37&amp;BK37</f>
        <v/>
      </c>
      <c r="BM37" s="321" t="n"/>
      <c r="BN37" s="321" t="n"/>
      <c r="BO37" s="321" t="n"/>
      <c r="BP37" s="321" t="n"/>
      <c r="BQ37" s="321" t="n"/>
      <c r="BR37" s="321" t="n"/>
      <c r="BS37" s="321" t="n"/>
      <c r="BT37" s="321" t="n"/>
      <c r="BU37" s="321" t="n"/>
    </row>
    <row r="38" ht="15" customHeight="1" s="292">
      <c r="B38" s="120" t="inlineStr">
        <is>
          <t>상품</t>
        </is>
      </c>
      <c r="C38" s="120" t="inlineStr">
        <is>
          <t>여신성</t>
        </is>
      </c>
      <c r="I38" s="355" t="n"/>
      <c r="J38" s="85" t="inlineStr">
        <is>
          <t>여신성</t>
        </is>
      </c>
      <c r="K38" s="89" t="n"/>
      <c r="L38" s="89" t="n"/>
      <c r="M38" s="89" t="n"/>
      <c r="N38" s="89" t="n"/>
      <c r="O38" s="90" t="n"/>
      <c r="P38" s="88" t="inlineStr">
        <is>
          <t>개인여신부(P)</t>
        </is>
      </c>
      <c r="Q38" s="89" t="n"/>
      <c r="R38" s="89" t="n"/>
      <c r="S38" s="89" t="n"/>
      <c r="T38" s="89" t="n"/>
      <c r="U38" s="89" t="n"/>
      <c r="V38" s="89" t="n"/>
      <c r="W38" s="89" t="n"/>
      <c r="X38" s="89" t="n"/>
      <c r="Y38" s="89" t="n"/>
      <c r="Z38" s="90" t="n"/>
      <c r="AA38" s="211">
        <f>IFERROR(VLOOKUP(B38&amp;C38&amp;P38, $BL$6:$BU$65, 2, 0), 0)</f>
        <v/>
      </c>
      <c r="AB38" s="344" t="n"/>
      <c r="AC38" s="344" t="n"/>
      <c r="AD38" s="345" t="n"/>
      <c r="AE38" s="211">
        <f>IFERROR(VLOOKUP(B38&amp;C38&amp;P38, $BL$6:$BU$65, 3, 0), 0)&amp;"("&amp;IFERROR(VLOOKUP(B38&amp;C38&amp;P38, $BL$6:$BU$65, 4, 0), 0)&amp;")"</f>
        <v/>
      </c>
      <c r="AF38" s="344" t="n"/>
      <c r="AG38" s="344" t="n"/>
      <c r="AH38" s="345" t="n"/>
      <c r="AI38" s="211">
        <f>IFERROR(VLOOKUP(B38&amp;C38&amp;P38, $BL$6:$BU$65, 5, 0),0)&amp;"("&amp;IFERROR(VLOOKUP(B38&amp;C38&amp;P38, $BL$6:$BU$65, 6, 0),0)&amp;")"</f>
        <v/>
      </c>
      <c r="AJ38" s="344" t="n"/>
      <c r="AK38" s="344" t="n"/>
      <c r="AL38" s="345" t="n"/>
      <c r="AM38" s="211">
        <f>IFERROR(VLOOKUP(B38&amp;C38&amp;P38, $BL$6:$BU$65, 7, 0),0)&amp;"("&amp;IFERROR(VLOOKUP(B38&amp;C38&amp;P38, $BL$6:$BU$65, 8, 0),0)&amp;")"</f>
        <v/>
      </c>
      <c r="AN38" s="344" t="n"/>
      <c r="AO38" s="344" t="n"/>
      <c r="AP38" s="345" t="n"/>
      <c r="AQ38" s="206">
        <f>IFERROR(VLOOKUP(B38&amp;C38&amp;P38, $BL$6:$BU$65, 9, 0),0)&amp;"("&amp;IFERROR(VLOOKUP(B38&amp;C38&amp;P38, $BL$6:$BU$65, 10, 0),0)&amp;")"</f>
        <v/>
      </c>
      <c r="AR38" s="344" t="n"/>
      <c r="AS38" s="344" t="n"/>
      <c r="AT38" s="345" t="n"/>
      <c r="AU38" s="211">
        <f>VLOOKUP($D$36&amp;$J38, $BK$68:$BN$107, 2, 0)</f>
        <v/>
      </c>
      <c r="AV38" s="344" t="n"/>
      <c r="AW38" s="344" t="n"/>
      <c r="AX38" s="345" t="n"/>
      <c r="AY38" s="211">
        <f>VLOOKUP($D$36&amp;$J38, $BK$68:$BN$107, 3, 0)</f>
        <v/>
      </c>
      <c r="AZ38" s="344" t="n"/>
      <c r="BA38" s="344" t="n"/>
      <c r="BB38" s="345" t="n"/>
      <c r="BC38" s="242">
        <f>VLOOKUP($D$36&amp;$J38, $BK$68:$BN$107, 4, 0)</f>
        <v/>
      </c>
      <c r="BD38" s="344" t="n"/>
      <c r="BE38" s="344" t="n"/>
      <c r="BF38" s="344" t="n"/>
      <c r="BI38" s="321" t="n"/>
      <c r="BJ38" s="321" t="n"/>
      <c r="BK38" s="321" t="n"/>
      <c r="BL38" s="321">
        <f>BI38&amp;BJ38&amp;BK38</f>
        <v/>
      </c>
      <c r="BM38" s="321" t="n"/>
      <c r="BN38" s="321" t="n"/>
      <c r="BO38" s="321" t="n"/>
      <c r="BP38" s="321" t="n"/>
      <c r="BQ38" s="321" t="n"/>
      <c r="BR38" s="321" t="n"/>
      <c r="BS38" s="321" t="n"/>
      <c r="BT38" s="321" t="n"/>
      <c r="BU38" s="321" t="n"/>
    </row>
    <row r="39" ht="15" customHeight="1" s="292">
      <c r="B39" s="120" t="inlineStr">
        <is>
          <t>상품</t>
        </is>
      </c>
      <c r="C39" s="120" t="inlineStr">
        <is>
          <t>투자성</t>
        </is>
      </c>
      <c r="I39" s="355" t="n"/>
      <c r="J39" s="85" t="inlineStr">
        <is>
          <t>투자성</t>
        </is>
      </c>
      <c r="K39" s="89" t="n"/>
      <c r="L39" s="89" t="n"/>
      <c r="M39" s="89" t="n"/>
      <c r="N39" s="89" t="n"/>
      <c r="O39" s="90" t="n"/>
      <c r="P39" s="88" t="inlineStr">
        <is>
          <t>WM투자상품부</t>
        </is>
      </c>
      <c r="Q39" s="89" t="n"/>
      <c r="R39" s="89" t="n"/>
      <c r="S39" s="89" t="n"/>
      <c r="T39" s="89" t="n"/>
      <c r="U39" s="89" t="n"/>
      <c r="V39" s="89" t="n"/>
      <c r="W39" s="89" t="n"/>
      <c r="X39" s="89" t="n"/>
      <c r="Y39" s="89" t="n"/>
      <c r="Z39" s="90" t="n"/>
      <c r="AA39" s="211">
        <f>IFERROR(VLOOKUP(B39&amp;C39&amp;P39, $BL$6:$BU$65, 2, 0), 0)</f>
        <v/>
      </c>
      <c r="AB39" s="344" t="n"/>
      <c r="AC39" s="344" t="n"/>
      <c r="AD39" s="345" t="n"/>
      <c r="AE39" s="211">
        <f>IFERROR(VLOOKUP(B39&amp;C39&amp;P39, $BL$6:$BU$65, 3, 0), 0)&amp;"("&amp;IFERROR(VLOOKUP(B39&amp;C39&amp;P39, $BL$6:$BU$65, 4, 0), 0)&amp;")"</f>
        <v/>
      </c>
      <c r="AF39" s="344" t="n"/>
      <c r="AG39" s="344" t="n"/>
      <c r="AH39" s="345" t="n"/>
      <c r="AI39" s="211">
        <f>IFERROR(VLOOKUP(B39&amp;C39&amp;P39, $BL$6:$BU$65, 5, 0),0)&amp;"("&amp;IFERROR(VLOOKUP(B39&amp;C39&amp;P39, $BL$6:$BU$65, 6, 0),0)&amp;")"</f>
        <v/>
      </c>
      <c r="AJ39" s="344" t="n"/>
      <c r="AK39" s="344" t="n"/>
      <c r="AL39" s="345" t="n"/>
      <c r="AM39" s="211">
        <f>IFERROR(VLOOKUP(B39&amp;C39&amp;P39, $BL$6:$BU$65, 7, 0),0)&amp;"("&amp;IFERROR(VLOOKUP(B39&amp;C39&amp;P39, $BL$6:$BU$65, 8, 0),0)&amp;")"</f>
        <v/>
      </c>
      <c r="AN39" s="344" t="n"/>
      <c r="AO39" s="344" t="n"/>
      <c r="AP39" s="345" t="n"/>
      <c r="AQ39" s="206">
        <f>IFERROR(VLOOKUP(B39&amp;C39&amp;P39, $BL$6:$BU$65, 9, 0),0)&amp;"("&amp;IFERROR(VLOOKUP(B39&amp;C39&amp;P39, $BL$6:$BU$65, 10, 0),0)&amp;")"</f>
        <v/>
      </c>
      <c r="AR39" s="344" t="n"/>
      <c r="AS39" s="344" t="n"/>
      <c r="AT39" s="345" t="n"/>
      <c r="AU39" s="211">
        <f>VLOOKUP($D$36&amp;$J39, $BK$68:$BN$107, 2, 0)</f>
        <v/>
      </c>
      <c r="AV39" s="344" t="n"/>
      <c r="AW39" s="344" t="n"/>
      <c r="AX39" s="345" t="n"/>
      <c r="AY39" s="211">
        <f>VLOOKUP($D$36&amp;$J39, $BK$68:$BN$107, 3, 0)</f>
        <v/>
      </c>
      <c r="AZ39" s="344" t="n"/>
      <c r="BA39" s="344" t="n"/>
      <c r="BB39" s="345" t="n"/>
      <c r="BC39" s="242">
        <f>VLOOKUP($D$36&amp;$J39, $BK$68:$BN$107, 4, 0)</f>
        <v/>
      </c>
      <c r="BD39" s="344" t="n"/>
      <c r="BE39" s="344" t="n"/>
      <c r="BF39" s="344" t="n"/>
      <c r="BI39" s="321" t="n"/>
      <c r="BJ39" s="321" t="n"/>
      <c r="BK39" s="321" t="n"/>
      <c r="BL39" s="321">
        <f>BI39&amp;BJ39&amp;BK39</f>
        <v/>
      </c>
      <c r="BM39" s="321" t="n"/>
      <c r="BN39" s="321" t="n"/>
      <c r="BO39" s="321" t="n"/>
      <c r="BP39" s="321" t="n"/>
      <c r="BQ39" s="321" t="n"/>
      <c r="BR39" s="321" t="n"/>
      <c r="BS39" s="321" t="n"/>
      <c r="BT39" s="321" t="n"/>
      <c r="BU39" s="321" t="n"/>
    </row>
    <row r="40" ht="15" customHeight="1" s="292">
      <c r="B40" s="120" t="inlineStr">
        <is>
          <t>상품</t>
        </is>
      </c>
      <c r="C40" s="120" t="inlineStr">
        <is>
          <t>보장성</t>
        </is>
      </c>
      <c r="I40" s="355" t="n"/>
      <c r="J40" s="85" t="inlineStr">
        <is>
          <t>보장성</t>
        </is>
      </c>
      <c r="K40" s="89" t="n"/>
      <c r="L40" s="89" t="n"/>
      <c r="M40" s="89" t="n"/>
      <c r="N40" s="89" t="n"/>
      <c r="O40" s="90" t="n"/>
      <c r="P40" s="88" t="inlineStr">
        <is>
          <t>방카Unit</t>
        </is>
      </c>
      <c r="Q40" s="89" t="n"/>
      <c r="R40" s="89" t="n"/>
      <c r="S40" s="89" t="n"/>
      <c r="T40" s="89" t="n"/>
      <c r="U40" s="89" t="n"/>
      <c r="V40" s="89" t="n"/>
      <c r="W40" s="89" t="n"/>
      <c r="X40" s="89" t="n"/>
      <c r="Y40" s="89" t="n"/>
      <c r="Z40" s="90" t="n"/>
      <c r="AA40" s="211">
        <f>IFERROR(VLOOKUP(B40&amp;C40&amp;P40, $BL$6:$BU$65, 2, 0), 0)</f>
        <v/>
      </c>
      <c r="AB40" s="344" t="n"/>
      <c r="AC40" s="344" t="n"/>
      <c r="AD40" s="345" t="n"/>
      <c r="AE40" s="211">
        <f>IFERROR(VLOOKUP(B40&amp;C40&amp;P40, $BL$6:$BU$65, 3, 0), 0)&amp;"("&amp;IFERROR(VLOOKUP(B40&amp;C40&amp;P40, $BL$6:$BU$65, 4, 0), 0)&amp;")"</f>
        <v/>
      </c>
      <c r="AF40" s="344" t="n"/>
      <c r="AG40" s="344" t="n"/>
      <c r="AH40" s="345" t="n"/>
      <c r="AI40" s="211">
        <f>IFERROR(VLOOKUP(B40&amp;C40&amp;P40, $BL$6:$BU$65, 5, 0),0)&amp;"("&amp;IFERROR(VLOOKUP(B40&amp;C40&amp;P40, $BL$6:$BU$65, 6, 0),0)&amp;")"</f>
        <v/>
      </c>
      <c r="AJ40" s="344" t="n"/>
      <c r="AK40" s="344" t="n"/>
      <c r="AL40" s="345" t="n"/>
      <c r="AM40" s="211">
        <f>IFERROR(VLOOKUP(B40&amp;C40&amp;P40, $BL$6:$BU$65, 7, 0),0)&amp;"("&amp;IFERROR(VLOOKUP(B40&amp;C40&amp;P40, $BL$6:$BU$65, 8, 0),0)&amp;")"</f>
        <v/>
      </c>
      <c r="AN40" s="344" t="n"/>
      <c r="AO40" s="344" t="n"/>
      <c r="AP40" s="345" t="n"/>
      <c r="AQ40" s="210">
        <f>IFERROR(VLOOKUP(B40&amp;C40&amp;P40, $BL$6:$BU$65, 9, 0),0)&amp;"("&amp;IFERROR(VLOOKUP(B40&amp;C40&amp;P40, $BL$6:$BU$65, 10, 0),0)&amp;")"</f>
        <v/>
      </c>
      <c r="AR40" s="342" t="n"/>
      <c r="AS40" s="342" t="n"/>
      <c r="AT40" s="343" t="n"/>
      <c r="AU40" s="211">
        <f>VLOOKUP($D$36&amp;$J40, $BK$68:$BN$107, 2, 0)</f>
        <v/>
      </c>
      <c r="AV40" s="344" t="n"/>
      <c r="AW40" s="344" t="n"/>
      <c r="AX40" s="345" t="n"/>
      <c r="AY40" s="211">
        <f>VLOOKUP($D$36&amp;$J40, $BK$68:$BN$107, 3, 0)</f>
        <v/>
      </c>
      <c r="AZ40" s="344" t="n"/>
      <c r="BA40" s="344" t="n"/>
      <c r="BB40" s="345" t="n"/>
      <c r="BC40" s="242">
        <f>VLOOKUP($D$36&amp;$J40, $BK$68:$BN$107, 4, 0)</f>
        <v/>
      </c>
      <c r="BD40" s="344" t="n"/>
      <c r="BE40" s="344" t="n"/>
      <c r="BF40" s="344" t="n"/>
      <c r="BI40" s="321" t="n"/>
      <c r="BJ40" s="321" t="n"/>
      <c r="BK40" s="321" t="n"/>
      <c r="BL40" s="321">
        <f>BI40&amp;BJ40&amp;BK40</f>
        <v/>
      </c>
      <c r="BM40" s="321" t="n"/>
      <c r="BN40" s="321" t="n"/>
      <c r="BO40" s="321" t="n"/>
      <c r="BP40" s="321" t="n"/>
      <c r="BQ40" s="321" t="n"/>
      <c r="BR40" s="321" t="n"/>
      <c r="BS40" s="321" t="n"/>
      <c r="BT40" s="321" t="n"/>
      <c r="BU40" s="321" t="n"/>
    </row>
    <row r="41" ht="15" customHeight="1" s="292">
      <c r="B41" s="120" t="inlineStr">
        <is>
          <t>상품</t>
        </is>
      </c>
      <c r="C41" s="120" t="inlineStr">
        <is>
          <t>외화환전</t>
        </is>
      </c>
      <c r="I41" s="355" t="n"/>
      <c r="J41" s="363" t="inlineStr">
        <is>
          <t>외화환전</t>
        </is>
      </c>
      <c r="K41" s="342" t="n"/>
      <c r="L41" s="342" t="n"/>
      <c r="M41" s="342" t="n"/>
      <c r="N41" s="342" t="n"/>
      <c r="O41" s="343" t="n"/>
      <c r="P41" s="97" t="inlineStr">
        <is>
          <t>외환사업부</t>
        </is>
      </c>
      <c r="Q41" s="99" t="n"/>
      <c r="R41" s="99" t="n"/>
      <c r="S41" s="99" t="n"/>
      <c r="T41" s="99" t="n"/>
      <c r="U41" s="99" t="n"/>
      <c r="V41" s="99" t="n"/>
      <c r="W41" s="99" t="n"/>
      <c r="X41" s="99" t="n"/>
      <c r="Y41" s="99" t="n"/>
      <c r="Z41" s="100" t="n"/>
      <c r="AA41" s="364">
        <f>IFERROR(VLOOKUP(B41&amp;C41&amp;P41, $BL$6:$BU$65, 2, 0), 0)</f>
        <v/>
      </c>
      <c r="AB41" s="342" t="n"/>
      <c r="AC41" s="342" t="n"/>
      <c r="AD41" s="343" t="n"/>
      <c r="AE41" s="364">
        <f>IFERROR(VLOOKUP(B41&amp;C41&amp;P41, $BL$6:$BU$65, 3, 0), 0)&amp;"("&amp;IFERROR(VLOOKUP(B41&amp;C41&amp;P41, $BL$6:$BU$65, 4, 0), 0)&amp;")"</f>
        <v/>
      </c>
      <c r="AF41" s="342" t="n"/>
      <c r="AG41" s="342" t="n"/>
      <c r="AH41" s="343" t="n"/>
      <c r="AI41" s="364">
        <f>IFERROR(VLOOKUP(B41&amp;C41&amp;P41, $BL$6:$BU$65, 5, 0),0)&amp;"("&amp;IFERROR(VLOOKUP(B41&amp;C41&amp;P41, $BL$6:$BU$65, 6, 0),0)&amp;")"</f>
        <v/>
      </c>
      <c r="AJ41" s="342" t="n"/>
      <c r="AK41" s="342" t="n"/>
      <c r="AL41" s="343" t="n"/>
      <c r="AM41" s="263">
        <f>IFERROR(VLOOKUP(B41&amp;C41&amp;P41, $BL$6:$BU$65, 7, 0),0)&amp;"("&amp;IFERROR(VLOOKUP(B41&amp;C41&amp;P41, $BL$6:$BU$65, 8, 0),0)&amp;")"</f>
        <v/>
      </c>
      <c r="AN41" s="342" t="n"/>
      <c r="AO41" s="342" t="n"/>
      <c r="AP41" s="342" t="n"/>
      <c r="AQ41" s="210">
        <f>IFERROR(VLOOKUP(B41&amp;C41&amp;P41, $BL$6:$BU$65, 9, 0),0)&amp;"("&amp;IFERROR(VLOOKUP(B41&amp;C41&amp;P41, $BL$6:$BU$65, 10, 0),0)&amp;")"</f>
        <v/>
      </c>
      <c r="AR41" s="342" t="n"/>
      <c r="AS41" s="342" t="n"/>
      <c r="AT41" s="343" t="n"/>
      <c r="AU41" s="244">
        <f>VLOOKUP($D$36&amp;$J41, $BK$68:$BN$107, 2, 0)</f>
        <v/>
      </c>
      <c r="AV41" s="342" t="n"/>
      <c r="AW41" s="342" t="n"/>
      <c r="AX41" s="343" t="n"/>
      <c r="AY41" s="211">
        <f>VLOOKUP($D$36&amp;$J41, $BK$68:$BN$107, 3, 0)</f>
        <v/>
      </c>
      <c r="AZ41" s="342" t="n"/>
      <c r="BA41" s="342" t="n"/>
      <c r="BB41" s="343" t="n"/>
      <c r="BC41" s="242">
        <f>VLOOKUP($D$36&amp;$J41, $BK$68:$BN$107, 4, 0)</f>
        <v/>
      </c>
      <c r="BD41" s="342" t="n"/>
      <c r="BE41" s="342" t="n"/>
      <c r="BF41" s="342" t="n"/>
      <c r="BI41" s="321" t="n"/>
      <c r="BJ41" s="321" t="n"/>
      <c r="BK41" s="321" t="n"/>
      <c r="BL41" s="321">
        <f>BI41&amp;BJ41&amp;BK41</f>
        <v/>
      </c>
      <c r="BM41" s="321" t="n"/>
      <c r="BN41" s="321" t="n"/>
      <c r="BO41" s="321" t="n"/>
      <c r="BP41" s="321" t="n"/>
      <c r="BQ41" s="321" t="n"/>
      <c r="BR41" s="321" t="n"/>
      <c r="BS41" s="321" t="n"/>
      <c r="BT41" s="321" t="n"/>
      <c r="BU41" s="321" t="n"/>
    </row>
    <row r="42" ht="15" customHeight="1" s="292">
      <c r="B42" s="120" t="inlineStr">
        <is>
          <t>상품</t>
        </is>
      </c>
      <c r="C42" s="120" t="inlineStr">
        <is>
          <t>외화환전</t>
        </is>
      </c>
      <c r="D42" s="346" t="n"/>
      <c r="E42" s="346" t="n"/>
      <c r="F42" s="346" t="n"/>
      <c r="G42" s="346" t="n"/>
      <c r="H42" s="346" t="n"/>
      <c r="I42" s="347" t="n"/>
      <c r="J42" s="348" t="n"/>
      <c r="K42" s="346" t="n"/>
      <c r="L42" s="346" t="n"/>
      <c r="M42" s="346" t="n"/>
      <c r="N42" s="346" t="n"/>
      <c r="O42" s="347" t="n"/>
      <c r="P42" s="112" t="inlineStr">
        <is>
          <t>외환업무부</t>
        </is>
      </c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08" t="n"/>
      <c r="AA42" s="225">
        <f>IFERROR(VLOOKUP(B42&amp;C42&amp;P42, $BL$6:$BU$65, 2, 0), 0)</f>
        <v/>
      </c>
      <c r="AB42" s="346" t="n"/>
      <c r="AC42" s="346" t="n"/>
      <c r="AD42" s="347" t="n"/>
      <c r="AE42" s="225">
        <f>IFERROR(VLOOKUP(B42&amp;C42&amp;P42, $BL$6:$BU$65, 3, 0), 0)&amp;"("&amp;IFERROR(VLOOKUP(B42&amp;C42&amp;P42, $BL$6:$BU$65, 4, 0), 0)&amp;")"</f>
        <v/>
      </c>
      <c r="AF42" s="346" t="n"/>
      <c r="AG42" s="346" t="n"/>
      <c r="AH42" s="347" t="n"/>
      <c r="AI42" s="225">
        <f>IFERROR(VLOOKUP(B42&amp;C42&amp;P42, $BL$6:$BU$65, 5, 0),0)&amp;"("&amp;IFERROR(VLOOKUP(B42&amp;C42&amp;P42, $BL$6:$BU$65, 6, 0),0)&amp;")"</f>
        <v/>
      </c>
      <c r="AJ42" s="346" t="n"/>
      <c r="AK42" s="346" t="n"/>
      <c r="AL42" s="347" t="n"/>
      <c r="AM42" s="245">
        <f>IFERROR(VLOOKUP(B42&amp;C42&amp;P42, $BL$6:$BU$65, 7, 0),0)&amp;"("&amp;IFERROR(VLOOKUP(B42&amp;C42&amp;P42, $BL$6:$BU$65, 8, 0),0)&amp;")"</f>
        <v/>
      </c>
      <c r="AN42" s="346" t="n"/>
      <c r="AO42" s="346" t="n"/>
      <c r="AP42" s="346" t="n"/>
      <c r="AQ42" s="212">
        <f>IFERROR(VLOOKUP(B42&amp;C42&amp;P42, $BL$6:$BU$65, 9, 0),0)&amp;"("&amp;IFERROR(VLOOKUP(B42&amp;C42&amp;P42, $BL$6:$BU$65, 10, 0),0)&amp;")"</f>
        <v/>
      </c>
      <c r="AR42" s="346" t="n"/>
      <c r="AS42" s="346" t="n"/>
      <c r="AT42" s="347" t="n"/>
      <c r="AU42" s="346" t="n"/>
      <c r="AV42" s="346" t="n"/>
      <c r="AW42" s="346" t="n"/>
      <c r="AX42" s="347" t="n"/>
      <c r="AY42" s="348" t="n"/>
      <c r="AZ42" s="346" t="n"/>
      <c r="BA42" s="346" t="n"/>
      <c r="BB42" s="347" t="n"/>
      <c r="BC42" s="348" t="n"/>
      <c r="BD42" s="346" t="n"/>
      <c r="BE42" s="346" t="n"/>
      <c r="BF42" s="346" t="n"/>
      <c r="BI42" s="321" t="n"/>
      <c r="BJ42" s="321" t="n"/>
      <c r="BK42" s="321" t="n"/>
      <c r="BL42" s="321">
        <f>BI42&amp;BJ42&amp;BK42</f>
        <v/>
      </c>
      <c r="BM42" s="321" t="n"/>
      <c r="BN42" s="321" t="n"/>
      <c r="BO42" s="321" t="n"/>
      <c r="BP42" s="321" t="n"/>
      <c r="BQ42" s="321" t="n"/>
      <c r="BR42" s="321" t="n"/>
      <c r="BS42" s="321" t="n"/>
      <c r="BT42" s="321" t="n"/>
      <c r="BU42" s="321" t="n"/>
    </row>
    <row r="43" ht="5.1" customHeight="1" s="292">
      <c r="BI43" s="321" t="n"/>
      <c r="BJ43" s="321" t="n"/>
      <c r="BK43" s="321" t="n"/>
      <c r="BL43" s="321">
        <f>BI43&amp;BJ43&amp;BK43</f>
        <v/>
      </c>
      <c r="BM43" s="321" t="n"/>
      <c r="BN43" s="321" t="n"/>
      <c r="BO43" s="321" t="n"/>
      <c r="BP43" s="321" t="n"/>
      <c r="BQ43" s="321" t="n"/>
      <c r="BR43" s="321" t="n"/>
      <c r="BS43" s="321" t="n"/>
      <c r="BT43" s="321" t="n"/>
      <c r="BU43" s="321" t="n"/>
    </row>
    <row r="44" ht="15" customHeight="1" s="292">
      <c r="BI44" s="321" t="n"/>
      <c r="BJ44" s="321" t="n"/>
      <c r="BK44" s="321" t="n"/>
      <c r="BL44" s="321">
        <f>BI44&amp;BJ44&amp;BK44</f>
        <v/>
      </c>
      <c r="BM44" s="321" t="n"/>
      <c r="BN44" s="321" t="n"/>
      <c r="BO44" s="321" t="n"/>
      <c r="BP44" s="321" t="n"/>
      <c r="BQ44" s="321" t="n"/>
      <c r="BR44" s="321" t="n"/>
      <c r="BS44" s="321" t="n"/>
      <c r="BT44" s="321" t="n"/>
      <c r="BU44" s="321" t="n"/>
    </row>
    <row r="45" ht="15" customHeight="1" s="292">
      <c r="BI45" s="321" t="n"/>
      <c r="BJ45" s="321" t="n"/>
      <c r="BK45" s="321" t="n"/>
      <c r="BL45" s="321">
        <f>BI45&amp;BJ45&amp;BK45</f>
        <v/>
      </c>
      <c r="BM45" s="321" t="n"/>
      <c r="BN45" s="321" t="n"/>
      <c r="BO45" s="321" t="n"/>
      <c r="BP45" s="321" t="n"/>
      <c r="BQ45" s="321" t="n"/>
      <c r="BR45" s="321" t="n"/>
      <c r="BS45" s="321" t="n"/>
      <c r="BT45" s="321" t="n"/>
      <c r="BU45" s="321" t="n"/>
    </row>
    <row r="46" ht="15" customHeight="1" s="292">
      <c r="BI46" s="321" t="n"/>
      <c r="BJ46" s="321" t="n"/>
      <c r="BK46" s="321" t="n"/>
      <c r="BL46" s="321">
        <f>BI46&amp;BJ46&amp;BK46</f>
        <v/>
      </c>
      <c r="BM46" s="321" t="n"/>
      <c r="BN46" s="321" t="n"/>
      <c r="BO46" s="321" t="n"/>
      <c r="BP46" s="321" t="n"/>
      <c r="BQ46" s="321" t="n"/>
      <c r="BR46" s="321" t="n"/>
      <c r="BS46" s="321" t="n"/>
      <c r="BT46" s="321" t="n"/>
      <c r="BU46" s="321" t="n"/>
    </row>
    <row r="47" ht="15" customHeight="1" s="292">
      <c r="BI47" s="321" t="n"/>
      <c r="BJ47" s="321" t="n"/>
      <c r="BK47" s="321" t="n"/>
      <c r="BL47" s="321">
        <f>BI47&amp;BJ47&amp;BK47</f>
        <v/>
      </c>
      <c r="BM47" s="321" t="n"/>
      <c r="BN47" s="321" t="n"/>
      <c r="BO47" s="321" t="n"/>
      <c r="BP47" s="321" t="n"/>
      <c r="BQ47" s="321" t="n"/>
      <c r="BR47" s="321" t="n"/>
      <c r="BS47" s="321" t="n"/>
      <c r="BT47" s="321" t="n"/>
      <c r="BU47" s="321" t="n"/>
    </row>
    <row r="48" ht="15" customHeight="1" s="292">
      <c r="BI48" s="321" t="n"/>
      <c r="BJ48" s="321" t="n"/>
      <c r="BK48" s="321" t="n"/>
      <c r="BL48" s="321">
        <f>BI48&amp;BJ48&amp;BK48</f>
        <v/>
      </c>
      <c r="BM48" s="321" t="n"/>
      <c r="BN48" s="321" t="n"/>
      <c r="BO48" s="321" t="n"/>
      <c r="BP48" s="321" t="n"/>
      <c r="BQ48" s="321" t="n"/>
      <c r="BR48" s="321" t="n"/>
      <c r="BS48" s="321" t="n"/>
      <c r="BT48" s="321" t="n"/>
      <c r="BU48" s="321" t="n"/>
    </row>
    <row r="49" ht="15" customHeight="1" s="292">
      <c r="BI49" s="321" t="n"/>
      <c r="BJ49" s="321" t="n"/>
      <c r="BK49" s="321" t="n"/>
      <c r="BL49" s="321">
        <f>BI49&amp;BJ49&amp;BK49</f>
        <v/>
      </c>
      <c r="BM49" s="321" t="n"/>
      <c r="BN49" s="321" t="n"/>
      <c r="BO49" s="321" t="n"/>
      <c r="BP49" s="321" t="n"/>
      <c r="BQ49" s="321" t="n"/>
      <c r="BR49" s="321" t="n"/>
      <c r="BS49" s="321" t="n"/>
      <c r="BT49" s="321" t="n"/>
      <c r="BU49" s="321" t="n"/>
    </row>
    <row r="50" ht="15" customHeight="1" s="292">
      <c r="BI50" s="321" t="n"/>
      <c r="BJ50" s="321" t="n"/>
      <c r="BK50" s="321" t="n"/>
      <c r="BL50" s="321">
        <f>BI50&amp;BJ50&amp;BK50</f>
        <v/>
      </c>
      <c r="BM50" s="321" t="n"/>
      <c r="BN50" s="321" t="n"/>
      <c r="BO50" s="321" t="n"/>
      <c r="BP50" s="321" t="n"/>
      <c r="BQ50" s="321" t="n"/>
      <c r="BR50" s="321" t="n"/>
      <c r="BS50" s="321" t="n"/>
      <c r="BT50" s="321" t="n"/>
      <c r="BU50" s="321" t="n"/>
    </row>
    <row r="51" ht="15" customHeight="1" s="292">
      <c r="BI51" s="321" t="n"/>
      <c r="BJ51" s="321" t="n"/>
      <c r="BK51" s="321" t="n"/>
      <c r="BL51" s="321">
        <f>BI51&amp;BJ51&amp;BK51</f>
        <v/>
      </c>
      <c r="BM51" s="321" t="n"/>
      <c r="BN51" s="321" t="n"/>
      <c r="BO51" s="321" t="n"/>
      <c r="BP51" s="321" t="n"/>
      <c r="BQ51" s="321" t="n"/>
      <c r="BR51" s="321" t="n"/>
      <c r="BS51" s="321" t="n"/>
      <c r="BT51" s="321" t="n"/>
      <c r="BU51" s="321" t="n"/>
    </row>
    <row r="52" ht="15" customHeight="1" s="292">
      <c r="BI52" s="321" t="n"/>
      <c r="BJ52" s="321" t="n"/>
      <c r="BK52" s="321" t="n"/>
      <c r="BL52" s="321">
        <f>BI52&amp;BJ52&amp;BK52</f>
        <v/>
      </c>
      <c r="BM52" s="321" t="n"/>
      <c r="BN52" s="321" t="n"/>
      <c r="BO52" s="321" t="n"/>
      <c r="BP52" s="321" t="n"/>
      <c r="BQ52" s="321" t="n"/>
      <c r="BR52" s="321" t="n"/>
      <c r="BS52" s="321" t="n"/>
      <c r="BT52" s="321" t="n"/>
      <c r="BU52" s="321" t="n"/>
    </row>
    <row r="53" ht="15" customHeight="1" s="292">
      <c r="BI53" s="321" t="n"/>
      <c r="BJ53" s="321" t="n"/>
      <c r="BK53" s="321" t="n"/>
      <c r="BL53" s="321">
        <f>BI53&amp;BJ53&amp;BK53</f>
        <v/>
      </c>
      <c r="BM53" s="321" t="n"/>
      <c r="BN53" s="321" t="n"/>
      <c r="BO53" s="321" t="n"/>
      <c r="BP53" s="321" t="n"/>
      <c r="BQ53" s="321" t="n"/>
      <c r="BR53" s="321" t="n"/>
      <c r="BS53" s="321" t="n"/>
      <c r="BT53" s="321" t="n"/>
      <c r="BU53" s="321" t="n"/>
    </row>
    <row r="54" ht="15" customHeight="1" s="292">
      <c r="BI54" s="321" t="n"/>
      <c r="BJ54" s="321" t="n"/>
      <c r="BK54" s="321" t="n"/>
      <c r="BL54" s="321">
        <f>BI54&amp;BJ54&amp;BK54</f>
        <v/>
      </c>
      <c r="BM54" s="321" t="n"/>
      <c r="BN54" s="321" t="n"/>
      <c r="BO54" s="321" t="n"/>
      <c r="BP54" s="321" t="n"/>
      <c r="BQ54" s="321" t="n"/>
      <c r="BR54" s="321" t="n"/>
      <c r="BS54" s="321" t="n"/>
      <c r="BT54" s="321" t="n"/>
      <c r="BU54" s="321" t="n"/>
    </row>
    <row r="55" ht="15" customHeight="1" s="292">
      <c r="BI55" s="321" t="n"/>
      <c r="BJ55" s="321" t="n"/>
      <c r="BK55" s="321" t="n"/>
      <c r="BL55" s="321">
        <f>BI55&amp;BJ55&amp;BK55</f>
        <v/>
      </c>
      <c r="BM55" s="321" t="n"/>
      <c r="BN55" s="321" t="n"/>
      <c r="BO55" s="321" t="n"/>
      <c r="BP55" s="321" t="n"/>
      <c r="BQ55" s="321" t="n"/>
      <c r="BR55" s="321" t="n"/>
      <c r="BS55" s="321" t="n"/>
      <c r="BT55" s="321" t="n"/>
      <c r="BU55" s="321" t="n"/>
    </row>
    <row r="56" ht="15" customHeight="1" s="292">
      <c r="BI56" s="321" t="n"/>
      <c r="BJ56" s="321" t="n"/>
      <c r="BK56" s="321" t="n"/>
      <c r="BL56" s="321">
        <f>BI56&amp;BJ56&amp;BK56</f>
        <v/>
      </c>
      <c r="BM56" s="321" t="n"/>
      <c r="BN56" s="321" t="n"/>
      <c r="BO56" s="321" t="n"/>
      <c r="BP56" s="321" t="n"/>
      <c r="BQ56" s="321" t="n"/>
      <c r="BR56" s="321" t="n"/>
      <c r="BS56" s="321" t="n"/>
      <c r="BT56" s="321" t="n"/>
      <c r="BU56" s="321" t="n"/>
    </row>
    <row r="57" ht="15" customHeight="1" s="292">
      <c r="BI57" s="321" t="n"/>
      <c r="BJ57" s="321" t="n"/>
      <c r="BK57" s="321" t="n"/>
      <c r="BL57" s="321">
        <f>BI57&amp;BJ57&amp;BK57</f>
        <v/>
      </c>
      <c r="BM57" s="321" t="n"/>
      <c r="BN57" s="321" t="n"/>
      <c r="BO57" s="321" t="n"/>
      <c r="BP57" s="321" t="n"/>
      <c r="BQ57" s="321" t="n"/>
      <c r="BR57" s="321" t="n"/>
      <c r="BS57" s="321" t="n"/>
      <c r="BT57" s="321" t="n"/>
      <c r="BU57" s="321" t="n"/>
    </row>
    <row r="58" ht="15" customHeight="1" s="292">
      <c r="BI58" s="321" t="n"/>
      <c r="BJ58" s="321" t="n"/>
      <c r="BK58" s="321" t="n"/>
      <c r="BL58" s="321">
        <f>BI58&amp;BJ58&amp;BK58</f>
        <v/>
      </c>
      <c r="BM58" s="321" t="n"/>
      <c r="BN58" s="321" t="n"/>
      <c r="BO58" s="321" t="n"/>
      <c r="BP58" s="321" t="n"/>
      <c r="BQ58" s="321" t="n"/>
      <c r="BR58" s="321" t="n"/>
      <c r="BS58" s="321" t="n"/>
      <c r="BT58" s="321" t="n"/>
      <c r="BU58" s="321" t="n"/>
    </row>
    <row r="59" ht="15" customHeight="1" s="292">
      <c r="BI59" s="321" t="n"/>
      <c r="BJ59" s="321" t="n"/>
      <c r="BK59" s="321" t="n"/>
      <c r="BL59" s="321">
        <f>BI59&amp;BJ59&amp;BK59</f>
        <v/>
      </c>
      <c r="BM59" s="321" t="n"/>
      <c r="BN59" s="321" t="n"/>
      <c r="BO59" s="321" t="n"/>
      <c r="BP59" s="321" t="n"/>
      <c r="BQ59" s="321" t="n"/>
      <c r="BR59" s="321" t="n"/>
      <c r="BS59" s="321" t="n"/>
      <c r="BT59" s="321" t="n"/>
      <c r="BU59" s="321" t="n"/>
    </row>
    <row r="60" ht="15" customHeight="1" s="292">
      <c r="BI60" s="321" t="n"/>
      <c r="BJ60" s="321" t="n"/>
      <c r="BK60" s="321" t="n"/>
      <c r="BL60" s="321">
        <f>BI60&amp;BJ60&amp;BK60</f>
        <v/>
      </c>
      <c r="BM60" s="321" t="n"/>
      <c r="BN60" s="321" t="n"/>
      <c r="BO60" s="321" t="n"/>
      <c r="BP60" s="321" t="n"/>
      <c r="BQ60" s="321" t="n"/>
      <c r="BR60" s="321" t="n"/>
      <c r="BS60" s="321" t="n"/>
      <c r="BT60" s="321" t="n"/>
      <c r="BU60" s="321" t="n"/>
    </row>
    <row r="61" ht="15" customHeight="1" s="292">
      <c r="BI61" s="321" t="n"/>
      <c r="BJ61" s="321" t="n"/>
      <c r="BK61" s="321" t="n"/>
      <c r="BL61" s="321">
        <f>BI61&amp;BJ61&amp;BK61</f>
        <v/>
      </c>
      <c r="BM61" s="321" t="n"/>
      <c r="BN61" s="321" t="n"/>
      <c r="BO61" s="321" t="n"/>
      <c r="BP61" s="321" t="n"/>
      <c r="BQ61" s="321" t="n"/>
      <c r="BR61" s="321" t="n"/>
      <c r="BS61" s="321" t="n"/>
      <c r="BT61" s="321" t="n"/>
      <c r="BU61" s="321" t="n"/>
    </row>
    <row r="62" ht="15" customHeight="1" s="292">
      <c r="BI62" s="321" t="n"/>
      <c r="BJ62" s="321" t="n"/>
      <c r="BK62" s="321" t="n"/>
      <c r="BL62" s="321">
        <f>BI62&amp;BJ62&amp;BK62</f>
        <v/>
      </c>
      <c r="BM62" s="321" t="n"/>
      <c r="BN62" s="321" t="n"/>
      <c r="BO62" s="321" t="n"/>
      <c r="BP62" s="321" t="n"/>
      <c r="BQ62" s="321" t="n"/>
      <c r="BR62" s="321" t="n"/>
      <c r="BS62" s="321" t="n"/>
      <c r="BT62" s="321" t="n"/>
      <c r="BU62" s="321" t="n"/>
    </row>
    <row r="63" ht="15" customHeight="1" s="292">
      <c r="BI63" s="321" t="n"/>
      <c r="BJ63" s="321" t="n"/>
      <c r="BK63" s="321" t="n"/>
      <c r="BL63" s="321">
        <f>BI63&amp;BJ63&amp;BK63</f>
        <v/>
      </c>
      <c r="BM63" s="321" t="n"/>
      <c r="BN63" s="321" t="n"/>
      <c r="BO63" s="321" t="n"/>
      <c r="BP63" s="321" t="n"/>
      <c r="BQ63" s="321" t="n"/>
      <c r="BR63" s="321" t="n"/>
      <c r="BS63" s="321" t="n"/>
      <c r="BT63" s="321" t="n"/>
      <c r="BU63" s="321" t="n"/>
    </row>
    <row r="64" ht="15" customHeight="1" s="292">
      <c r="BI64" s="321" t="n"/>
      <c r="BJ64" s="321" t="n"/>
      <c r="BK64" s="321" t="n"/>
      <c r="BL64" s="321">
        <f>BI64&amp;BJ64&amp;BK64</f>
        <v/>
      </c>
      <c r="BM64" s="321" t="n"/>
      <c r="BN64" s="321" t="n"/>
      <c r="BO64" s="321" t="n"/>
      <c r="BP64" s="321" t="n"/>
      <c r="BQ64" s="321" t="n"/>
      <c r="BR64" s="321" t="n"/>
      <c r="BS64" s="321" t="n"/>
      <c r="BT64" s="321" t="n"/>
      <c r="BU64" s="321" t="n"/>
    </row>
    <row r="65" ht="15" customHeight="1" s="292">
      <c r="BI65" s="321" t="n"/>
      <c r="BJ65" s="321" t="n"/>
      <c r="BK65" s="321" t="n"/>
      <c r="BL65" s="321">
        <f>BI65&amp;BJ65&amp;BK65</f>
        <v/>
      </c>
      <c r="BM65" s="321" t="n"/>
      <c r="BN65" s="321" t="n"/>
      <c r="BO65" s="321" t="n"/>
      <c r="BP65" s="321" t="n"/>
      <c r="BQ65" s="321" t="n"/>
      <c r="BR65" s="321" t="n"/>
      <c r="BS65" s="321" t="n"/>
      <c r="BT65" s="321" t="n"/>
      <c r="BU65" s="321" t="n"/>
    </row>
    <row r="66"/>
    <row r="67" ht="15" customHeight="1" s="292">
      <c r="BI67" s="161" t="inlineStr">
        <is>
          <t>채널</t>
        </is>
      </c>
      <c r="BJ67" s="161" t="inlineStr">
        <is>
          <t>고객경험단계</t>
        </is>
      </c>
      <c r="BK67" s="161" t="inlineStr">
        <is>
          <t>VL키</t>
        </is>
      </c>
      <c r="BL67" s="161" t="inlineStr">
        <is>
          <t>1월고객경험단계NPS</t>
        </is>
      </c>
      <c r="BM67" s="161" t="inlineStr">
        <is>
          <t>누적고객경험단계NPS</t>
        </is>
      </c>
      <c r="BN67" s="161" t="inlineStr">
        <is>
          <t>1월대비고객경험단계NPS차이</t>
        </is>
      </c>
    </row>
    <row r="68" ht="15" customHeight="1" s="292">
      <c r="BI68" s="321" t="inlineStr">
        <is>
          <t>고객센터</t>
        </is>
      </c>
      <c r="BJ68" s="321" t="inlineStr">
        <is>
          <t>대기</t>
        </is>
      </c>
      <c r="BK68" s="366">
        <f>BI68&amp;BJ68</f>
        <v/>
      </c>
      <c r="BL68" s="320" t="n">
        <v>-72.3</v>
      </c>
      <c r="BM68" s="320" t="n">
        <v>16.7</v>
      </c>
      <c r="BN68" s="320" t="n">
        <v>89</v>
      </c>
    </row>
    <row r="69" ht="15" customHeight="1" s="292">
      <c r="BI69" s="321" t="inlineStr">
        <is>
          <t>고객센터</t>
        </is>
      </c>
      <c r="BJ69" s="321" t="inlineStr">
        <is>
          <t>버튼식ARS</t>
        </is>
      </c>
      <c r="BK69" s="366">
        <f>BI69&amp;BJ69</f>
        <v/>
      </c>
      <c r="BL69" s="320" t="n">
        <v>45.6</v>
      </c>
      <c r="BM69" s="320" t="n">
        <v>23.5</v>
      </c>
      <c r="BN69" s="320" t="n">
        <v>-22.1</v>
      </c>
    </row>
    <row r="70" ht="15" customHeight="1" s="292">
      <c r="BI70" s="321" t="inlineStr">
        <is>
          <t>고객센터</t>
        </is>
      </c>
      <c r="BJ70" s="321" t="inlineStr">
        <is>
          <t>보이는ARS</t>
        </is>
      </c>
      <c r="BK70" s="366">
        <f>BI70&amp;BJ70</f>
        <v/>
      </c>
      <c r="BL70" s="320" t="n">
        <v>33.5</v>
      </c>
      <c r="BM70" s="320" t="n">
        <v>11.1</v>
      </c>
      <c r="BN70" s="320" t="n">
        <v>-22.4</v>
      </c>
    </row>
    <row r="71" ht="15" customHeight="1" s="292">
      <c r="BI71" s="321" t="inlineStr">
        <is>
          <t>고객센터</t>
        </is>
      </c>
      <c r="BJ71" s="321" t="inlineStr">
        <is>
          <t>직원상담</t>
        </is>
      </c>
      <c r="BK71" s="366">
        <f>BI71&amp;BJ71</f>
        <v/>
      </c>
      <c r="BL71" s="320" t="n">
        <v>65.3</v>
      </c>
      <c r="BM71" s="320" t="n">
        <v>45</v>
      </c>
      <c r="BN71" s="320" t="n">
        <v>-20.3</v>
      </c>
    </row>
    <row r="72" ht="15" customHeight="1" s="292">
      <c r="BI72" s="321" t="inlineStr">
        <is>
          <t>고객센터</t>
        </is>
      </c>
      <c r="BJ72" s="321" t="inlineStr">
        <is>
          <t>챗봇상담</t>
        </is>
      </c>
      <c r="BK72" s="366">
        <f>BI72&amp;BJ72</f>
        <v/>
      </c>
      <c r="BL72" s="320" t="n">
        <v>-51.4</v>
      </c>
      <c r="BM72" s="320" t="n">
        <v>-2.9</v>
      </c>
      <c r="BN72" s="320" t="n">
        <v>48.5</v>
      </c>
    </row>
    <row r="73" ht="15" customHeight="1" s="292">
      <c r="BI73" s="321" t="inlineStr">
        <is>
          <t>고객센터</t>
        </is>
      </c>
      <c r="BJ73" s="321" t="inlineStr">
        <is>
          <t>콜봇상담</t>
        </is>
      </c>
      <c r="BK73" s="366">
        <f>BI73&amp;BJ73</f>
        <v/>
      </c>
      <c r="BL73" s="320" t="n">
        <v>-53.2</v>
      </c>
      <c r="BM73" s="320" t="n">
        <v>-2.8</v>
      </c>
      <c r="BN73" s="320" t="n">
        <v>50.4</v>
      </c>
    </row>
    <row r="74" ht="15" customHeight="1" s="292">
      <c r="BI74" s="321" t="inlineStr">
        <is>
          <t>상품</t>
        </is>
      </c>
      <c r="BJ74" s="321" t="inlineStr">
        <is>
          <t>보장성</t>
        </is>
      </c>
      <c r="BK74" s="366">
        <f>BI74&amp;BJ74</f>
        <v/>
      </c>
      <c r="BL74" s="320" t="n">
        <v>68.5</v>
      </c>
      <c r="BM74" s="320" t="n">
        <v>77.2</v>
      </c>
      <c r="BN74" s="320" t="n">
        <v>8.699999999999999</v>
      </c>
    </row>
    <row r="75" ht="15" customHeight="1" s="292">
      <c r="BI75" s="321" t="inlineStr">
        <is>
          <t>상품</t>
        </is>
      </c>
      <c r="BJ75" s="321" t="inlineStr">
        <is>
          <t>여신성</t>
        </is>
      </c>
      <c r="BK75" s="366">
        <f>BI75&amp;BJ75</f>
        <v/>
      </c>
      <c r="BL75" s="320" t="n">
        <v>73.7</v>
      </c>
      <c r="BM75" s="320" t="n">
        <v>81.90000000000001</v>
      </c>
      <c r="BN75" s="320" t="n">
        <v>8.199999999999999</v>
      </c>
    </row>
    <row r="76" ht="15" customHeight="1" s="292">
      <c r="BI76" s="321" t="inlineStr">
        <is>
          <t>상품</t>
        </is>
      </c>
      <c r="BJ76" s="321" t="inlineStr">
        <is>
          <t>외화환전</t>
        </is>
      </c>
      <c r="BK76" s="366">
        <f>BI76&amp;BJ76</f>
        <v/>
      </c>
      <c r="BL76" s="320" t="n">
        <v>72.7</v>
      </c>
      <c r="BM76" s="320" t="n">
        <v>78.5</v>
      </c>
      <c r="BN76" s="320" t="n">
        <v>5.8</v>
      </c>
    </row>
    <row r="77" ht="15" customHeight="1" s="292">
      <c r="BI77" s="321" t="inlineStr">
        <is>
          <t>상품</t>
        </is>
      </c>
      <c r="BJ77" s="321" t="inlineStr">
        <is>
          <t>저축성</t>
        </is>
      </c>
      <c r="BK77" s="366">
        <f>BI77&amp;BJ77</f>
        <v/>
      </c>
      <c r="BL77" s="320" t="n">
        <v>50.4</v>
      </c>
      <c r="BM77" s="320" t="n">
        <v>65</v>
      </c>
      <c r="BN77" s="320" t="n">
        <v>14.6</v>
      </c>
    </row>
    <row r="78" ht="15" customHeight="1" s="292">
      <c r="BI78" s="321" t="inlineStr">
        <is>
          <t>상품</t>
        </is>
      </c>
      <c r="BJ78" s="321" t="inlineStr">
        <is>
          <t>투자성</t>
        </is>
      </c>
      <c r="BK78" s="366">
        <f>BI78&amp;BJ78</f>
        <v/>
      </c>
      <c r="BL78" s="320" t="n">
        <v>64.09999999999999</v>
      </c>
      <c r="BM78" s="320" t="n">
        <v>74.8</v>
      </c>
      <c r="BN78" s="320" t="n">
        <v>10.7</v>
      </c>
    </row>
    <row r="79" ht="15" customHeight="1" s="292">
      <c r="BI79" s="321" t="inlineStr">
        <is>
          <t>상품</t>
        </is>
      </c>
      <c r="BJ79" s="321" t="inlineStr">
        <is>
          <t>해외송금</t>
        </is>
      </c>
      <c r="BK79" s="366">
        <f>BI79&amp;BJ79</f>
        <v/>
      </c>
      <c r="BL79" s="320" t="n">
        <v>60.4</v>
      </c>
      <c r="BM79" s="320" t="n">
        <v>79.7</v>
      </c>
      <c r="BN79" s="320" t="n">
        <v>19.3</v>
      </c>
    </row>
    <row r="80" ht="15" customHeight="1" s="292">
      <c r="BI80" s="321" t="inlineStr">
        <is>
          <t>KB 스타뱅킹</t>
        </is>
      </c>
      <c r="BJ80" s="321" t="inlineStr">
        <is>
          <t>계좌조회/이체</t>
        </is>
      </c>
      <c r="BK80" s="366">
        <f>BI80&amp;BJ80</f>
        <v/>
      </c>
      <c r="BL80" s="320" t="n">
        <v>84.3</v>
      </c>
      <c r="BM80" s="320" t="n">
        <v>70.3</v>
      </c>
      <c r="BN80" s="320" t="n">
        <v>-14</v>
      </c>
    </row>
    <row r="81" ht="15" customHeight="1" s="292">
      <c r="BI81" s="321" t="inlineStr">
        <is>
          <t>KB 스타뱅킹</t>
        </is>
      </c>
      <c r="BJ81" s="321" t="inlineStr">
        <is>
          <t>금융상품몰</t>
        </is>
      </c>
      <c r="BK81" s="366">
        <f>BI81&amp;BJ81</f>
        <v/>
      </c>
      <c r="BL81" s="320" t="n">
        <v>39.7</v>
      </c>
      <c r="BM81" s="320" t="n">
        <v>53.7</v>
      </c>
      <c r="BN81" s="320" t="n">
        <v>14</v>
      </c>
    </row>
    <row r="82" ht="15" customHeight="1" s="292">
      <c r="BI82" s="321" t="inlineStr">
        <is>
          <t>KB 스타뱅킹</t>
        </is>
      </c>
      <c r="BJ82" s="321" t="inlineStr">
        <is>
          <t>로그인/인증</t>
        </is>
      </c>
      <c r="BK82" s="366">
        <f>BI82&amp;BJ82</f>
        <v/>
      </c>
      <c r="BL82" s="320" t="n">
        <v>46.8</v>
      </c>
      <c r="BM82" s="320" t="n">
        <v>66.90000000000001</v>
      </c>
      <c r="BN82" s="320" t="n">
        <v>20.1</v>
      </c>
    </row>
    <row r="83" ht="15" customHeight="1" s="292">
      <c r="BI83" s="321" t="inlineStr">
        <is>
          <t>KB 스타뱅킹</t>
        </is>
      </c>
      <c r="BJ83" s="321" t="inlineStr">
        <is>
          <t>상품가입</t>
        </is>
      </c>
      <c r="BK83" s="366">
        <f>BI83&amp;BJ83</f>
        <v/>
      </c>
      <c r="BL83" s="320" t="n">
        <v>58.1</v>
      </c>
      <c r="BM83" s="320" t="n">
        <v>56.5</v>
      </c>
      <c r="BN83" s="320" t="n">
        <v>-1.6</v>
      </c>
    </row>
    <row r="84" ht="15" customHeight="1" s="292">
      <c r="BI84" s="321" t="inlineStr">
        <is>
          <t>KB 스타뱅킹</t>
        </is>
      </c>
      <c r="BJ84" s="321" t="inlineStr">
        <is>
          <t>상품관리/해지</t>
        </is>
      </c>
      <c r="BK84" s="366">
        <f>BI84&amp;BJ84</f>
        <v/>
      </c>
      <c r="BL84" s="320" t="n">
        <v>23.2</v>
      </c>
      <c r="BM84" s="320" t="n">
        <v>57.6</v>
      </c>
      <c r="BN84" s="320" t="n">
        <v>34.4</v>
      </c>
    </row>
    <row r="85" ht="15" customHeight="1" s="292">
      <c r="BI85" s="321" t="inlineStr">
        <is>
          <t>KB 스타뱅킹</t>
        </is>
      </c>
      <c r="BJ85" s="321" t="inlineStr">
        <is>
          <t>콘텐츠/서비스</t>
        </is>
      </c>
      <c r="BK85" s="366">
        <f>BI85&amp;BJ85</f>
        <v/>
      </c>
      <c r="BL85" s="320" t="n">
        <v>23.7</v>
      </c>
      <c r="BM85" s="320" t="n">
        <v>54.1</v>
      </c>
      <c r="BN85" s="320" t="n">
        <v>30.4</v>
      </c>
    </row>
    <row r="86" ht="15" customHeight="1" s="292">
      <c r="BI86" s="321" t="inlineStr">
        <is>
          <t>KB 스타뱅킹</t>
        </is>
      </c>
      <c r="BJ86" s="321" t="inlineStr">
        <is>
          <t>통합검색</t>
        </is>
      </c>
      <c r="BK86" s="366">
        <f>BI86&amp;BJ86</f>
        <v/>
      </c>
      <c r="BL86" s="320" t="n">
        <v>30.9</v>
      </c>
      <c r="BM86" s="320" t="n">
        <v>58.1</v>
      </c>
      <c r="BN86" s="320" t="n">
        <v>27.2</v>
      </c>
    </row>
    <row r="87" ht="15" customHeight="1" s="292">
      <c r="BI87" s="321" t="inlineStr">
        <is>
          <t>KB 스타뱅킹</t>
        </is>
      </c>
      <c r="BJ87" s="321" t="inlineStr">
        <is>
          <t>홈화면</t>
        </is>
      </c>
      <c r="BK87" s="366">
        <f>BI87&amp;BJ87</f>
        <v/>
      </c>
      <c r="BL87" s="320" t="n">
        <v>28.6</v>
      </c>
      <c r="BM87" s="320" t="n">
        <v>63.2</v>
      </c>
      <c r="BN87" s="320" t="n">
        <v>34.6</v>
      </c>
    </row>
    <row r="88" ht="15" customHeight="1" s="292">
      <c r="BI88" s="321" t="inlineStr">
        <is>
          <t>영업점</t>
        </is>
      </c>
      <c r="BJ88" s="321" t="inlineStr">
        <is>
          <t>내점/방문</t>
        </is>
      </c>
      <c r="BK88" s="366">
        <f>BI88&amp;BJ88</f>
        <v/>
      </c>
      <c r="BL88" s="320" t="n">
        <v>67.90000000000001</v>
      </c>
      <c r="BM88" s="320" t="n">
        <v>67.09999999999999</v>
      </c>
      <c r="BN88" s="320" t="n">
        <v>-0.8</v>
      </c>
    </row>
    <row r="89" ht="15" customHeight="1" s="292">
      <c r="BI89" s="321" t="inlineStr">
        <is>
          <t>영업점</t>
        </is>
      </c>
      <c r="BJ89" s="321" t="inlineStr">
        <is>
          <t>대기</t>
        </is>
      </c>
      <c r="BK89" s="366">
        <f>BI89&amp;BJ89</f>
        <v/>
      </c>
      <c r="BL89" s="320" t="n">
        <v>54</v>
      </c>
      <c r="BM89" s="320" t="n">
        <v>54.5</v>
      </c>
      <c r="BN89" s="320" t="n">
        <v>0.5</v>
      </c>
    </row>
    <row r="90" ht="15" customHeight="1" s="292">
      <c r="BI90" s="321" t="inlineStr">
        <is>
          <t>영업점</t>
        </is>
      </c>
      <c r="BJ90" s="321" t="inlineStr">
        <is>
          <t>맞이/의도파악</t>
        </is>
      </c>
      <c r="BK90" s="366">
        <f>BI90&amp;BJ90</f>
        <v/>
      </c>
      <c r="BL90" s="320" t="n">
        <v>73.3</v>
      </c>
      <c r="BM90" s="320" t="n">
        <v>74.90000000000001</v>
      </c>
      <c r="BN90" s="320" t="n">
        <v>1.6</v>
      </c>
    </row>
    <row r="91" ht="15" customHeight="1" s="292">
      <c r="BI91" s="321" t="inlineStr">
        <is>
          <t>영업점</t>
        </is>
      </c>
      <c r="BJ91" s="321" t="inlineStr">
        <is>
          <t>직원상담</t>
        </is>
      </c>
      <c r="BK91" s="366">
        <f>BI91&amp;BJ91</f>
        <v/>
      </c>
      <c r="BL91" s="320" t="n">
        <v>74.5</v>
      </c>
      <c r="BM91" s="320" t="n">
        <v>75.7</v>
      </c>
      <c r="BN91" s="320" t="n">
        <v>1.2</v>
      </c>
    </row>
    <row r="92" ht="15" customHeight="1" s="292">
      <c r="BI92" s="321" t="inlineStr">
        <is>
          <t>영업점</t>
        </is>
      </c>
      <c r="BJ92" s="321" t="inlineStr">
        <is>
          <t>업무처리/배웅</t>
        </is>
      </c>
      <c r="BK92" s="366">
        <f>BI92&amp;BJ92</f>
        <v/>
      </c>
      <c r="BL92" s="320" t="n">
        <v>74.40000000000001</v>
      </c>
      <c r="BM92" s="320" t="n">
        <v>75.59999999999999</v>
      </c>
      <c r="BN92" s="320" t="n">
        <v>1.2</v>
      </c>
    </row>
    <row r="93" ht="15" customHeight="1" s="292">
      <c r="BI93" s="321" t="n"/>
      <c r="BJ93" s="321" t="n"/>
      <c r="BK93" s="366">
        <f>BI93&amp;BJ93</f>
        <v/>
      </c>
      <c r="BL93" s="161" t="n"/>
      <c r="BM93" s="161" t="n"/>
      <c r="BN93" s="161" t="n"/>
    </row>
    <row r="94" ht="15" customHeight="1" s="292">
      <c r="BI94" s="321" t="n"/>
      <c r="BJ94" s="321" t="n"/>
      <c r="BK94" s="366">
        <f>BI94&amp;BJ94</f>
        <v/>
      </c>
      <c r="BL94" s="161" t="n"/>
      <c r="BM94" s="161" t="n"/>
      <c r="BN94" s="161" t="n"/>
    </row>
    <row r="95" ht="15" customHeight="1" s="292">
      <c r="BI95" s="321" t="n"/>
      <c r="BJ95" s="321" t="n"/>
      <c r="BK95" s="366">
        <f>BI95&amp;BJ95</f>
        <v/>
      </c>
      <c r="BL95" s="161" t="n"/>
      <c r="BM95" s="161" t="n"/>
      <c r="BN95" s="161" t="n"/>
    </row>
    <row r="96" ht="15" customHeight="1" s="292">
      <c r="BI96" s="321" t="n"/>
      <c r="BJ96" s="321" t="n"/>
      <c r="BK96" s="366">
        <f>BI96&amp;BJ96</f>
        <v/>
      </c>
      <c r="BL96" s="161" t="n"/>
      <c r="BM96" s="161" t="n"/>
      <c r="BN96" s="161" t="n"/>
    </row>
    <row r="97" ht="15" customHeight="1" s="292">
      <c r="BI97" s="321" t="n"/>
      <c r="BJ97" s="321" t="n"/>
      <c r="BK97" s="366">
        <f>BI97&amp;BJ97</f>
        <v/>
      </c>
      <c r="BL97" s="161" t="n"/>
      <c r="BM97" s="161" t="n"/>
      <c r="BN97" s="161" t="n"/>
    </row>
    <row r="98" ht="15" customHeight="1" s="292">
      <c r="BI98" s="321" t="n"/>
      <c r="BJ98" s="321" t="n"/>
      <c r="BK98" s="366">
        <f>BI98&amp;BJ98</f>
        <v/>
      </c>
      <c r="BL98" s="161" t="n"/>
      <c r="BM98" s="161" t="n"/>
      <c r="BN98" s="161" t="n"/>
    </row>
    <row r="99" ht="15" customHeight="1" s="292">
      <c r="BI99" s="321" t="n"/>
      <c r="BJ99" s="321" t="n"/>
      <c r="BK99" s="366">
        <f>BI99&amp;BJ99</f>
        <v/>
      </c>
      <c r="BL99" s="161" t="n"/>
      <c r="BM99" s="161" t="n"/>
      <c r="BN99" s="161" t="n"/>
    </row>
    <row r="100" ht="15" customHeight="1" s="292">
      <c r="BI100" s="321" t="n"/>
      <c r="BJ100" s="321" t="n"/>
      <c r="BK100" s="366">
        <f>BI100&amp;BJ100</f>
        <v/>
      </c>
      <c r="BL100" s="161" t="n"/>
      <c r="BM100" s="161" t="n"/>
      <c r="BN100" s="161" t="n"/>
    </row>
    <row r="101" ht="15" customHeight="1" s="292">
      <c r="BI101" s="321" t="n"/>
      <c r="BJ101" s="321" t="n"/>
      <c r="BK101" s="366">
        <f>BI101&amp;BJ101</f>
        <v/>
      </c>
      <c r="BL101" s="161" t="n"/>
      <c r="BM101" s="161" t="n"/>
      <c r="BN101" s="161" t="n"/>
    </row>
    <row r="102" ht="15" customHeight="1" s="292">
      <c r="BI102" s="321" t="n"/>
      <c r="BJ102" s="321" t="n"/>
      <c r="BK102" s="366">
        <f>BI102&amp;BJ102</f>
        <v/>
      </c>
      <c r="BL102" s="161" t="n"/>
      <c r="BM102" s="161" t="n"/>
      <c r="BN102" s="161" t="n"/>
    </row>
    <row r="103" ht="15" customHeight="1" s="292">
      <c r="BI103" s="321" t="n"/>
      <c r="BJ103" s="321" t="n"/>
      <c r="BK103" s="366">
        <f>BI103&amp;BJ103</f>
        <v/>
      </c>
      <c r="BL103" s="161" t="n"/>
      <c r="BM103" s="161" t="n"/>
      <c r="BN103" s="161" t="n"/>
    </row>
    <row r="104" ht="15" customHeight="1" s="292">
      <c r="BI104" s="321" t="n"/>
      <c r="BJ104" s="321" t="n"/>
      <c r="BK104" s="366">
        <f>BI104&amp;BJ104</f>
        <v/>
      </c>
      <c r="BL104" s="161" t="n"/>
      <c r="BM104" s="161" t="n"/>
      <c r="BN104" s="161" t="n"/>
    </row>
    <row r="105" ht="15" customHeight="1" s="292">
      <c r="BI105" s="321" t="n"/>
      <c r="BJ105" s="321" t="n"/>
      <c r="BK105" s="366">
        <f>BI105&amp;BJ105</f>
        <v/>
      </c>
      <c r="BL105" s="161" t="n"/>
      <c r="BM105" s="161" t="n"/>
      <c r="BN105" s="161" t="n"/>
    </row>
    <row r="106" ht="15" customHeight="1" s="292">
      <c r="BI106" s="321" t="n"/>
      <c r="BJ106" s="321" t="n"/>
      <c r="BK106" s="366">
        <f>BI106&amp;BJ106</f>
        <v/>
      </c>
      <c r="BL106" s="161" t="n"/>
      <c r="BM106" s="161" t="n"/>
      <c r="BN106" s="161" t="n"/>
    </row>
    <row r="107" ht="15" customHeight="1" s="292">
      <c r="BI107" s="321" t="n"/>
      <c r="BJ107" s="321" t="n"/>
      <c r="BK107" s="366">
        <f>BI107&amp;BJ107</f>
        <v/>
      </c>
      <c r="BL107" s="161" t="n"/>
      <c r="BM107" s="161" t="n"/>
      <c r="BN107" s="161" t="n"/>
    </row>
  </sheetData>
  <mergeCells count="286">
    <mergeCell ref="AY29:BB29"/>
    <mergeCell ref="AQ19:AT19"/>
    <mergeCell ref="AQ14:AT14"/>
    <mergeCell ref="AI22:AL22"/>
    <mergeCell ref="AQ28:AT28"/>
    <mergeCell ref="AI31:AL31"/>
    <mergeCell ref="BC5:BF5"/>
    <mergeCell ref="BC27:BF28"/>
    <mergeCell ref="AM35:AP35"/>
    <mergeCell ref="AI37:AL37"/>
    <mergeCell ref="AM31:AP31"/>
    <mergeCell ref="AI12:AL12"/>
    <mergeCell ref="AQ9:AT9"/>
    <mergeCell ref="AE30:AH30"/>
    <mergeCell ref="AA12:AD12"/>
    <mergeCell ref="AI21:AL21"/>
    <mergeCell ref="AU37:AX37"/>
    <mergeCell ref="AY31:BB31"/>
    <mergeCell ref="AE6:AH6"/>
    <mergeCell ref="AM15:AP15"/>
    <mergeCell ref="BC29:BF29"/>
    <mergeCell ref="BC38:BF38"/>
    <mergeCell ref="AY6:BB6"/>
    <mergeCell ref="AM37:AP37"/>
    <mergeCell ref="AQ6:AT6"/>
    <mergeCell ref="BC19:BF21"/>
    <mergeCell ref="AU22:AX24"/>
    <mergeCell ref="AI14:AL14"/>
    <mergeCell ref="AA32:AD32"/>
    <mergeCell ref="AA14:AD14"/>
    <mergeCell ref="AI23:AL23"/>
    <mergeCell ref="BC31:BF31"/>
    <mergeCell ref="AM32:AP32"/>
    <mergeCell ref="AI13:AL13"/>
    <mergeCell ref="AM26:AP26"/>
    <mergeCell ref="AA29:AD29"/>
    <mergeCell ref="AM42:AP42"/>
    <mergeCell ref="AA38:AD38"/>
    <mergeCell ref="AQ5:AT5"/>
    <mergeCell ref="AM29:AP29"/>
    <mergeCell ref="AE32:AH32"/>
    <mergeCell ref="AU38:AX38"/>
    <mergeCell ref="AM23:AP23"/>
    <mergeCell ref="AM38:AP38"/>
    <mergeCell ref="AE41:AH41"/>
    <mergeCell ref="AQ32:AT32"/>
    <mergeCell ref="BC30:BF30"/>
    <mergeCell ref="AM13:AP13"/>
    <mergeCell ref="AA27:AD27"/>
    <mergeCell ref="AA40:AD40"/>
    <mergeCell ref="BC14:BF17"/>
    <mergeCell ref="BC32:BF32"/>
    <mergeCell ref="J27:O28"/>
    <mergeCell ref="AQ7:AT7"/>
    <mergeCell ref="AY13:BB13"/>
    <mergeCell ref="BC26:BF26"/>
    <mergeCell ref="AA37:AD37"/>
    <mergeCell ref="AQ16:AT16"/>
    <mergeCell ref="AM40:AP40"/>
    <mergeCell ref="AA24:AD24"/>
    <mergeCell ref="AU40:AX40"/>
    <mergeCell ref="BC7:BF7"/>
    <mergeCell ref="AA33:AD33"/>
    <mergeCell ref="AM24:AP24"/>
    <mergeCell ref="AE33:AH33"/>
    <mergeCell ref="AI27:AL27"/>
    <mergeCell ref="AQ18:AT18"/>
    <mergeCell ref="AE8:AH8"/>
    <mergeCell ref="AA26:AD26"/>
    <mergeCell ref="AI35:AL35"/>
    <mergeCell ref="AY27:BB28"/>
    <mergeCell ref="AE17:AH17"/>
    <mergeCell ref="AI41:AL41"/>
    <mergeCell ref="BC18:BF18"/>
    <mergeCell ref="AQ8:AT8"/>
    <mergeCell ref="AI20:AL20"/>
    <mergeCell ref="AQ17:AT17"/>
    <mergeCell ref="AA16:AD16"/>
    <mergeCell ref="AI25:AL25"/>
    <mergeCell ref="AY35:BB35"/>
    <mergeCell ref="AA25:AD25"/>
    <mergeCell ref="AE10:AH10"/>
    <mergeCell ref="BC33:BF33"/>
    <mergeCell ref="AE19:AH19"/>
    <mergeCell ref="AU25:AX25"/>
    <mergeCell ref="J19:O21"/>
    <mergeCell ref="AY5:BB5"/>
    <mergeCell ref="AQ10:AT10"/>
    <mergeCell ref="AA18:AD18"/>
    <mergeCell ref="AE9:AH9"/>
    <mergeCell ref="BC35:BF35"/>
    <mergeCell ref="AQ34:AT34"/>
    <mergeCell ref="AY25:BB25"/>
    <mergeCell ref="AM6:AP6"/>
    <mergeCell ref="AA11:AD11"/>
    <mergeCell ref="AY19:BB21"/>
    <mergeCell ref="BC41:BF42"/>
    <mergeCell ref="AY30:BB30"/>
    <mergeCell ref="AE5:AH5"/>
    <mergeCell ref="AE11:AH11"/>
    <mergeCell ref="BC34:BF34"/>
    <mergeCell ref="AA42:AD42"/>
    <mergeCell ref="BC10:BF12"/>
    <mergeCell ref="AI5:AL5"/>
    <mergeCell ref="D36:I42"/>
    <mergeCell ref="BC9:BF9"/>
    <mergeCell ref="AA22:AD22"/>
    <mergeCell ref="AQ30:AT30"/>
    <mergeCell ref="AQ36:AT36"/>
    <mergeCell ref="AI39:AL39"/>
    <mergeCell ref="J14:O17"/>
    <mergeCell ref="AU39:AX39"/>
    <mergeCell ref="AQ20:AT20"/>
    <mergeCell ref="AI29:AL29"/>
    <mergeCell ref="AI38:AL38"/>
    <mergeCell ref="BC6:BF6"/>
    <mergeCell ref="AU29:AX29"/>
    <mergeCell ref="AM14:AP14"/>
    <mergeCell ref="AM28:AP28"/>
    <mergeCell ref="AA13:AD13"/>
    <mergeCell ref="AE31:AH31"/>
    <mergeCell ref="AY14:BB17"/>
    <mergeCell ref="AQ22:AT22"/>
    <mergeCell ref="AY32:BB32"/>
    <mergeCell ref="AU13:AX13"/>
    <mergeCell ref="AQ37:AT37"/>
    <mergeCell ref="AA30:AD30"/>
    <mergeCell ref="AI40:AL40"/>
    <mergeCell ref="P4:Z5"/>
    <mergeCell ref="AE21:AH21"/>
    <mergeCell ref="AU31:AX31"/>
    <mergeCell ref="AA6:AD6"/>
    <mergeCell ref="AI15:AL15"/>
    <mergeCell ref="AQ12:AT12"/>
    <mergeCell ref="AA15:AD15"/>
    <mergeCell ref="AQ21:AT21"/>
    <mergeCell ref="AU6:AX6"/>
    <mergeCell ref="AI24:AL24"/>
    <mergeCell ref="AY38:BB38"/>
    <mergeCell ref="AE23:AH23"/>
    <mergeCell ref="D6:I17"/>
    <mergeCell ref="BC22:BF24"/>
    <mergeCell ref="AI26:AL26"/>
    <mergeCell ref="AI7:AL7"/>
    <mergeCell ref="AU26:AX26"/>
    <mergeCell ref="AA7:AD7"/>
    <mergeCell ref="AI16:AL16"/>
    <mergeCell ref="J41:O42"/>
    <mergeCell ref="AA41:AD41"/>
    <mergeCell ref="AM10:AP10"/>
    <mergeCell ref="J10:O12"/>
    <mergeCell ref="BC8:BF8"/>
    <mergeCell ref="AM7:AP7"/>
    <mergeCell ref="AI18:AL18"/>
    <mergeCell ref="AQ35:AT35"/>
    <mergeCell ref="AM16:AP16"/>
    <mergeCell ref="AE34:AH34"/>
    <mergeCell ref="AM25:AP25"/>
    <mergeCell ref="AY7:BB7"/>
    <mergeCell ref="AY41:BB42"/>
    <mergeCell ref="AY34:BB34"/>
    <mergeCell ref="AI42:AL42"/>
    <mergeCell ref="AY10:BB12"/>
    <mergeCell ref="AE27:AH27"/>
    <mergeCell ref="AU33:AX33"/>
    <mergeCell ref="AM36:AP36"/>
    <mergeCell ref="AM18:AP18"/>
    <mergeCell ref="AA8:AD8"/>
    <mergeCell ref="AM33:AP33"/>
    <mergeCell ref="AE36:AH36"/>
    <mergeCell ref="AU27:AX28"/>
    <mergeCell ref="AA17:AD17"/>
    <mergeCell ref="AQ27:AT27"/>
    <mergeCell ref="AY36:BB36"/>
    <mergeCell ref="AY18:BB18"/>
    <mergeCell ref="AM8:AP8"/>
    <mergeCell ref="AE20:AH20"/>
    <mergeCell ref="AM17:AP17"/>
    <mergeCell ref="AA10:AD10"/>
    <mergeCell ref="AY33:BB33"/>
    <mergeCell ref="AQ11:AT11"/>
    <mergeCell ref="AI34:AL34"/>
    <mergeCell ref="AA19:AD19"/>
    <mergeCell ref="AQ25:AT25"/>
    <mergeCell ref="AI28:AL28"/>
    <mergeCell ref="AU5:AX5"/>
    <mergeCell ref="AA28:AD28"/>
    <mergeCell ref="AE35:AH35"/>
    <mergeCell ref="AM22:AP22"/>
    <mergeCell ref="BC36:BF36"/>
    <mergeCell ref="AM19:AP19"/>
    <mergeCell ref="AE22:AH22"/>
    <mergeCell ref="J22:O24"/>
    <mergeCell ref="AA9:AD9"/>
    <mergeCell ref="AA4:AT4"/>
    <mergeCell ref="AA39:AD39"/>
    <mergeCell ref="AU9:AX9"/>
    <mergeCell ref="AI30:AL30"/>
    <mergeCell ref="AE12:AH12"/>
    <mergeCell ref="AM34:AP34"/>
    <mergeCell ref="AI6:AL6"/>
    <mergeCell ref="D4:I5"/>
    <mergeCell ref="AU30:AX30"/>
    <mergeCell ref="AA5:AD5"/>
    <mergeCell ref="AY22:BB24"/>
    <mergeCell ref="AE39:AH39"/>
    <mergeCell ref="AE14:AH14"/>
    <mergeCell ref="BC37:BF37"/>
    <mergeCell ref="AQ39:AT39"/>
    <mergeCell ref="AM20:AP20"/>
    <mergeCell ref="AE29:AH29"/>
    <mergeCell ref="AE38:AH38"/>
    <mergeCell ref="BC39:BF39"/>
    <mergeCell ref="AQ29:AT29"/>
    <mergeCell ref="AI32:AL32"/>
    <mergeCell ref="AE13:AH13"/>
    <mergeCell ref="AQ23:AT23"/>
    <mergeCell ref="AM30:AP30"/>
    <mergeCell ref="AA31:AD31"/>
    <mergeCell ref="AQ38:AT38"/>
    <mergeCell ref="AU14:AX17"/>
    <mergeCell ref="AU32:AX32"/>
    <mergeCell ref="AQ13:AT13"/>
    <mergeCell ref="AE40:AH40"/>
    <mergeCell ref="AA21:AD21"/>
    <mergeCell ref="AQ31:AT31"/>
    <mergeCell ref="AU7:AX7"/>
    <mergeCell ref="BC13:BF13"/>
    <mergeCell ref="AE15:AH15"/>
    <mergeCell ref="AM12:AP12"/>
    <mergeCell ref="AE37:AH37"/>
    <mergeCell ref="AQ40:AT40"/>
    <mergeCell ref="AM21:AP21"/>
    <mergeCell ref="AE24:AH24"/>
    <mergeCell ref="AY40:BB40"/>
    <mergeCell ref="AQ15:AT15"/>
    <mergeCell ref="AQ24:AT24"/>
    <mergeCell ref="AI33:AL33"/>
    <mergeCell ref="AA23:AD23"/>
    <mergeCell ref="AM27:AP27"/>
    <mergeCell ref="AU18:AX18"/>
    <mergeCell ref="AI8:AL8"/>
    <mergeCell ref="AE26:AH26"/>
    <mergeCell ref="AM41:AP41"/>
    <mergeCell ref="AI17:AL17"/>
    <mergeCell ref="AY26:BB26"/>
    <mergeCell ref="AU8:AX8"/>
    <mergeCell ref="AE7:AH7"/>
    <mergeCell ref="AQ26:AT26"/>
    <mergeCell ref="AY37:BB37"/>
    <mergeCell ref="AE16:AH16"/>
    <mergeCell ref="AE25:AH25"/>
    <mergeCell ref="AI10:AL10"/>
    <mergeCell ref="AQ41:AT41"/>
    <mergeCell ref="AI19:AL19"/>
    <mergeCell ref="BC40:BF40"/>
    <mergeCell ref="AY8:BB8"/>
    <mergeCell ref="AU35:AX35"/>
    <mergeCell ref="AE18:AH18"/>
    <mergeCell ref="AI9:AL9"/>
    <mergeCell ref="AA34:AD34"/>
    <mergeCell ref="AU41:AX42"/>
    <mergeCell ref="AU34:AX34"/>
    <mergeCell ref="BC25:BF25"/>
    <mergeCell ref="J4:O5"/>
    <mergeCell ref="AU10:AX12"/>
    <mergeCell ref="AE42:AH42"/>
    <mergeCell ref="AU19:AX21"/>
    <mergeCell ref="AI11:AL11"/>
    <mergeCell ref="AQ33:AT33"/>
    <mergeCell ref="AA36:AD36"/>
    <mergeCell ref="AM9:AP9"/>
    <mergeCell ref="AI36:AL36"/>
    <mergeCell ref="AM5:AP5"/>
    <mergeCell ref="AQ42:AT42"/>
    <mergeCell ref="AU36:AX36"/>
    <mergeCell ref="D18:I28"/>
    <mergeCell ref="D29:I35"/>
    <mergeCell ref="AM39:AP39"/>
    <mergeCell ref="AY9:BB9"/>
    <mergeCell ref="AA20:AD20"/>
    <mergeCell ref="AY39:BB39"/>
    <mergeCell ref="AM11:AP11"/>
    <mergeCell ref="AE28:AH28"/>
    <mergeCell ref="AU4:BF4"/>
    <mergeCell ref="AA35:AD35"/>
  </mergeCells>
  <pageMargins left="0.25" right="0.25" top="0.75" bottom="0.75" header="0.3" footer="0.3"/>
  <pageSetup orientation="portrait" paperSize="9" scale="98"/>
</worksheet>
</file>

<file path=xl/worksheets/sheet11.xml><?xml version="1.0" encoding="utf-8"?>
<worksheet xmlns="http://schemas.openxmlformats.org/spreadsheetml/2006/main">
  <sheetPr>
    <tabColor rgb="FFFF0000"/>
    <outlinePr summaryBelow="1" summaryRight="1"/>
    <pageSetUpPr/>
  </sheetPr>
  <dimension ref="A1:BM59"/>
  <sheetViews>
    <sheetView showGridLines="0" view="pageBreakPreview" zoomScaleNormal="100" zoomScaleSheetLayoutView="100" workbookViewId="0">
      <selection activeCell="AM83" sqref="AM83"/>
    </sheetView>
  </sheetViews>
  <sheetFormatPr baseColWidth="8" defaultColWidth="9.625" defaultRowHeight="15" customHeight="1"/>
  <cols>
    <col width="1.625" customWidth="1" style="161" min="1" max="57"/>
    <col width="9.625" customWidth="1" style="161" min="58" max="16384"/>
  </cols>
  <sheetData>
    <row r="1" ht="8.1" customHeight="1" s="292"/>
    <row r="2" ht="15" customHeight="1" s="292">
      <c r="B2" s="1" t="inlineStr">
        <is>
          <t>V. 불만 VOC 요약 및 비교</t>
        </is>
      </c>
      <c r="C2" s="75" t="n"/>
      <c r="D2" s="75" t="n"/>
      <c r="E2" s="75" t="n"/>
      <c r="F2" s="75" t="n"/>
      <c r="G2" s="75" t="n"/>
      <c r="H2" s="75" t="n"/>
      <c r="I2" s="75" t="n"/>
      <c r="J2" s="75" t="n"/>
      <c r="K2" s="75" t="n"/>
      <c r="L2" s="75" t="n"/>
      <c r="M2" s="75" t="n"/>
      <c r="N2" s="75" t="n"/>
      <c r="O2" s="75" t="n"/>
      <c r="P2" s="75" t="n"/>
      <c r="Q2" s="75" t="n"/>
      <c r="R2" s="75" t="n"/>
      <c r="S2" s="75" t="n"/>
      <c r="T2" s="75" t="n"/>
      <c r="U2" s="75" t="n"/>
      <c r="V2" s="75" t="n"/>
      <c r="W2" s="75" t="n"/>
      <c r="X2" s="75" t="n"/>
      <c r="Y2" s="75" t="n"/>
      <c r="Z2" s="75" t="n"/>
      <c r="AA2" s="75" t="n"/>
      <c r="AB2" s="75" t="n"/>
      <c r="AC2" s="75" t="n"/>
      <c r="AD2" s="75" t="n"/>
      <c r="AE2" s="75" t="n"/>
      <c r="AF2" s="75" t="n"/>
      <c r="AG2" s="75" t="n"/>
      <c r="AH2" s="75" t="n"/>
      <c r="AI2" s="75" t="n"/>
      <c r="AJ2" s="75" t="n"/>
      <c r="AK2" s="75" t="n"/>
      <c r="AL2" s="75" t="n"/>
      <c r="AM2" s="75" t="n"/>
      <c r="AN2" s="75" t="n"/>
      <c r="AO2" s="75" t="n"/>
      <c r="AP2" s="75" t="n"/>
      <c r="AQ2" s="75" t="n"/>
      <c r="AR2" s="75" t="n"/>
      <c r="AS2" s="75" t="n"/>
      <c r="AT2" s="75" t="n"/>
      <c r="AU2" s="75" t="n"/>
      <c r="AV2" s="75" t="n"/>
      <c r="AW2" s="75" t="n"/>
      <c r="AX2" s="75" t="n"/>
      <c r="AY2" s="75" t="n"/>
      <c r="AZ2" s="75" t="n"/>
      <c r="BA2" s="75" t="n"/>
      <c r="BB2" s="75" t="n"/>
      <c r="BC2" s="75" t="n"/>
      <c r="BD2" s="75" t="n"/>
    </row>
    <row r="3" ht="5.1" customHeight="1" s="292">
      <c r="B3" s="0" t="n"/>
      <c r="C3" s="0" t="n"/>
      <c r="D3" s="0" t="n"/>
      <c r="E3" s="0" t="n"/>
      <c r="F3" s="0" t="n"/>
      <c r="G3" s="0" t="n"/>
      <c r="H3" s="0" t="n"/>
      <c r="I3" s="0" t="n"/>
      <c r="J3" s="0" t="n"/>
      <c r="K3" s="0" t="n"/>
      <c r="L3" s="0" t="n"/>
      <c r="M3" s="0" t="n"/>
      <c r="N3" s="76" t="n"/>
      <c r="O3" s="0" t="n"/>
      <c r="P3" s="0" t="n"/>
      <c r="Q3" s="0" t="n"/>
      <c r="R3" s="0" t="n"/>
      <c r="S3" s="0" t="n"/>
      <c r="T3" s="0" t="n"/>
      <c r="U3" s="0" t="n"/>
      <c r="V3" s="0" t="n"/>
      <c r="W3" s="0" t="n"/>
      <c r="X3" s="0" t="n"/>
      <c r="Y3" s="0" t="n"/>
      <c r="Z3" s="0" t="n"/>
      <c r="AA3" s="0" t="n"/>
      <c r="AB3" s="0" t="n"/>
      <c r="AC3" s="0" t="n"/>
      <c r="AD3" s="0" t="n"/>
      <c r="AE3" s="0" t="n"/>
      <c r="AF3" s="0" t="n"/>
      <c r="AG3" s="0" t="n"/>
      <c r="AH3" s="0" t="n"/>
      <c r="AI3" s="0" t="n"/>
      <c r="AJ3" s="0" t="n"/>
      <c r="AK3" s="0" t="n"/>
      <c r="AL3" s="0" t="n"/>
      <c r="AM3" s="0" t="n"/>
      <c r="AN3" s="0" t="n"/>
      <c r="AO3" s="0" t="n"/>
      <c r="AP3" s="0" t="n"/>
      <c r="AQ3" s="0" t="n"/>
      <c r="AR3" s="0" t="n"/>
      <c r="AS3" s="0" t="n"/>
      <c r="AT3" s="0" t="n"/>
      <c r="AU3" s="0" t="n"/>
      <c r="AV3" s="0" t="n"/>
      <c r="AW3" s="0" t="n"/>
      <c r="AX3" s="0" t="n"/>
      <c r="AY3" s="0" t="n"/>
      <c r="AZ3" s="0" t="n"/>
      <c r="BA3" s="0" t="n"/>
      <c r="BB3" s="0" t="n"/>
      <c r="BC3" s="0" t="n"/>
      <c r="BD3" s="0" t="n"/>
    </row>
    <row r="4" ht="12" customHeight="1" s="292">
      <c r="B4" s="121" t="n"/>
      <c r="C4" s="121" t="n"/>
      <c r="D4" s="121" t="n"/>
      <c r="E4" s="121" t="n"/>
      <c r="F4" s="121" t="n"/>
      <c r="G4" s="121" t="n"/>
      <c r="H4" s="121" t="n"/>
      <c r="I4" s="121" t="n"/>
      <c r="J4" s="122" t="n"/>
      <c r="K4" s="122" t="n"/>
      <c r="L4" s="122" t="n"/>
      <c r="M4" s="122" t="n"/>
      <c r="N4" s="122" t="n"/>
      <c r="O4" s="122" t="n"/>
      <c r="P4" s="122" t="n"/>
      <c r="Q4" s="122" t="n"/>
      <c r="R4" s="122" t="n"/>
      <c r="S4" s="122" t="n"/>
      <c r="T4" s="122" t="n"/>
      <c r="U4" s="122" t="n"/>
      <c r="V4" s="122" t="n"/>
      <c r="W4" s="122" t="n"/>
      <c r="X4" s="122" t="n"/>
      <c r="Y4" s="122" t="n"/>
      <c r="Z4" s="122" t="n"/>
      <c r="AA4" s="122" t="n"/>
      <c r="AB4" s="122" t="n"/>
      <c r="AC4" s="122" t="n"/>
      <c r="AD4" s="122" t="n"/>
      <c r="AE4" s="122" t="n"/>
      <c r="AF4" s="122" t="n"/>
      <c r="AG4" s="122" t="n"/>
      <c r="AH4" s="122" t="n"/>
      <c r="AI4" s="122" t="n"/>
      <c r="AJ4" s="122" t="n"/>
      <c r="AK4" s="122" t="n"/>
      <c r="AL4" s="122" t="n"/>
      <c r="AM4" s="122" t="n"/>
      <c r="AN4" s="122" t="n"/>
      <c r="AO4" s="122" t="n"/>
      <c r="AP4" s="122" t="n"/>
      <c r="AQ4" s="122" t="n"/>
      <c r="AR4" s="122" t="n"/>
      <c r="AS4" s="122" t="n"/>
      <c r="AT4" s="122" t="n"/>
      <c r="AU4" s="122" t="n"/>
      <c r="AV4" s="122" t="n"/>
      <c r="AW4" s="122" t="n"/>
      <c r="AX4" s="122" t="n"/>
      <c r="AY4" s="122" t="n"/>
      <c r="AZ4" s="122" t="n"/>
      <c r="BA4" s="122" t="n"/>
      <c r="BB4" s="122" t="n"/>
      <c r="BC4" s="122" t="n"/>
      <c r="BD4" s="122" t="n"/>
    </row>
    <row r="5" ht="12" customHeight="1" s="292">
      <c r="B5" s="291" t="inlineStr">
        <is>
          <t>채널</t>
        </is>
      </c>
      <c r="I5" s="123" t="inlineStr">
        <is>
          <t>지난달 VOC와 비교</t>
        </is>
      </c>
      <c r="J5" s="124" t="n"/>
      <c r="K5" s="124" t="n"/>
      <c r="L5" s="124" t="n"/>
      <c r="M5" s="125" t="n"/>
      <c r="N5" s="125" t="n"/>
      <c r="O5" s="125" t="n"/>
      <c r="P5" s="125" t="n"/>
      <c r="Q5" s="125" t="n"/>
      <c r="R5" s="125" t="n"/>
      <c r="S5" s="125" t="n"/>
      <c r="T5" s="125" t="n"/>
      <c r="U5" s="125" t="n"/>
      <c r="V5" s="125" t="n"/>
      <c r="W5" s="125" t="n"/>
      <c r="X5" s="125" t="n"/>
      <c r="Y5" s="125" t="n"/>
      <c r="Z5" s="125" t="n"/>
      <c r="AA5" s="125" t="n"/>
      <c r="AB5" s="125" t="n"/>
      <c r="AC5" s="125" t="n"/>
      <c r="AD5" s="125" t="n"/>
      <c r="AE5" s="125" t="n"/>
      <c r="AF5" s="125" t="n"/>
      <c r="AG5" s="125" t="n"/>
      <c r="AH5" s="125" t="n"/>
      <c r="AI5" s="125" t="n"/>
      <c r="AJ5" s="125" t="n"/>
      <c r="AK5" s="125" t="n"/>
      <c r="AL5" s="125" t="n"/>
      <c r="AM5" s="125" t="n"/>
      <c r="AN5" s="125" t="n"/>
      <c r="AO5" s="125" t="n"/>
      <c r="AP5" s="125" t="n"/>
      <c r="AQ5" s="125" t="n"/>
      <c r="AR5" s="125" t="n"/>
      <c r="AS5" s="125" t="n"/>
      <c r="AT5" s="125" t="n"/>
      <c r="AU5" s="125" t="n"/>
      <c r="AV5" s="125" t="n"/>
      <c r="AW5" s="125" t="n"/>
      <c r="AX5" s="125" t="n"/>
      <c r="AY5" s="125" t="n"/>
      <c r="AZ5" s="125" t="n"/>
      <c r="BA5" s="125" t="n"/>
      <c r="BB5" s="125" t="n"/>
      <c r="BC5" s="125" t="n"/>
      <c r="BD5" s="125" t="n"/>
    </row>
    <row r="6" ht="12" customHeight="1" s="292">
      <c r="I6" s="126" t="n"/>
      <c r="J6" s="127" t="inlineStr">
        <is>
          <t>불만사항 요약</t>
        </is>
      </c>
      <c r="K6" s="128" t="n"/>
      <c r="L6" s="129" t="n"/>
      <c r="M6" s="130" t="n"/>
      <c r="N6" s="130" t="n"/>
      <c r="O6" s="130" t="n"/>
      <c r="P6" s="130" t="n"/>
      <c r="Q6" s="130" t="n"/>
      <c r="R6" s="130" t="n"/>
      <c r="S6" s="130" t="n"/>
      <c r="T6" s="130" t="n"/>
      <c r="U6" s="130" t="n"/>
      <c r="V6" s="130" t="n"/>
      <c r="W6" s="130" t="n"/>
      <c r="X6" s="130" t="n"/>
      <c r="Y6" s="130" t="n"/>
      <c r="Z6" s="130" t="n"/>
      <c r="AA6" s="130" t="n"/>
      <c r="AB6" s="130" t="n"/>
      <c r="AC6" s="130" t="n"/>
      <c r="AD6" s="130" t="n"/>
      <c r="AE6" s="130" t="n"/>
      <c r="AF6" s="130" t="n"/>
      <c r="AG6" s="130" t="n"/>
      <c r="AH6" s="130" t="n"/>
      <c r="AI6" s="130" t="n"/>
      <c r="AJ6" s="130" t="n"/>
      <c r="AK6" s="130" t="n"/>
      <c r="AL6" s="130" t="n"/>
      <c r="AM6" s="130" t="n"/>
      <c r="AN6" s="130" t="n"/>
      <c r="AO6" s="130" t="n"/>
      <c r="AP6" s="130" t="n"/>
      <c r="AQ6" s="130" t="n"/>
      <c r="AR6" s="130" t="n"/>
      <c r="AS6" s="130" t="n"/>
      <c r="AT6" s="130" t="n"/>
      <c r="AU6" s="130" t="n"/>
      <c r="AV6" s="130" t="n"/>
      <c r="AW6" s="130" t="n"/>
      <c r="AX6" s="130" t="n"/>
      <c r="AY6" s="130" t="n"/>
      <c r="AZ6" s="130" t="n"/>
      <c r="BA6" s="130" t="n"/>
      <c r="BB6" s="130" t="n"/>
      <c r="BC6" s="130" t="n"/>
      <c r="BD6" s="130" t="n"/>
    </row>
    <row r="7" ht="12" customHeight="1" s="292">
      <c r="B7" s="131" t="n"/>
      <c r="C7" s="131" t="n"/>
      <c r="D7" s="131" t="n"/>
      <c r="E7" s="131" t="n"/>
      <c r="F7" s="131" t="n"/>
      <c r="G7" s="131" t="n"/>
      <c r="H7" s="131" t="n"/>
      <c r="I7" s="126" t="n"/>
      <c r="J7" s="126" t="n"/>
      <c r="K7" s="132" t="n"/>
      <c r="L7" s="123" t="inlineStr">
        <is>
          <t>불만 VOC 예시</t>
        </is>
      </c>
      <c r="M7" s="133" t="n"/>
      <c r="N7" s="133" t="n"/>
      <c r="O7" s="133" t="n"/>
      <c r="P7" s="133" t="n"/>
      <c r="Q7" s="133" t="n"/>
      <c r="R7" s="133" t="n"/>
      <c r="S7" s="133" t="n"/>
      <c r="T7" s="133" t="n"/>
      <c r="U7" s="133" t="n"/>
      <c r="V7" s="133" t="n"/>
      <c r="W7" s="133" t="n"/>
      <c r="X7" s="133" t="n"/>
      <c r="Y7" s="133" t="n"/>
      <c r="Z7" s="133" t="n"/>
      <c r="AA7" s="133" t="n"/>
      <c r="AB7" s="133" t="n"/>
      <c r="AC7" s="133" t="n"/>
      <c r="AD7" s="133" t="n"/>
      <c r="AE7" s="133" t="n"/>
      <c r="AF7" s="133" t="n"/>
      <c r="AG7" s="133" t="n"/>
      <c r="AH7" s="133" t="n"/>
      <c r="AI7" s="133" t="n"/>
      <c r="AJ7" s="133" t="n"/>
      <c r="AK7" s="133" t="n"/>
      <c r="AL7" s="133" t="n"/>
      <c r="AM7" s="133" t="n"/>
      <c r="AN7" s="133" t="n"/>
      <c r="AO7" s="133" t="n"/>
      <c r="AP7" s="133" t="n"/>
      <c r="AQ7" s="133" t="n"/>
      <c r="AR7" s="133" t="n"/>
      <c r="AS7" s="133" t="n"/>
      <c r="AT7" s="133" t="n"/>
      <c r="AU7" s="133" t="n"/>
      <c r="AV7" s="133" t="n"/>
      <c r="AW7" s="133" t="n"/>
      <c r="AX7" s="133" t="n"/>
      <c r="AY7" s="133" t="n"/>
      <c r="AZ7" s="133" t="n"/>
      <c r="BA7" s="133" t="n"/>
      <c r="BB7" s="133" t="n"/>
      <c r="BC7" s="133" t="n"/>
      <c r="BD7" s="133" t="n"/>
    </row>
    <row r="8" ht="24" customHeight="1" s="292">
      <c r="B8" s="282" t="inlineStr">
        <is>
          <t>스타뱅킹</t>
        </is>
      </c>
      <c r="I8" s="283" t="inlineStr">
        <is>
          <t>로그인 오류와 앱 속도 저하가 저번주와 동일하게 지속되었으며, 이체 인증 절차의 복잡성이 이번주 새롭게 제기됨</t>
        </is>
      </c>
    </row>
    <row r="9" ht="12" customHeight="1" s="292">
      <c r="I9" s="134" t="n"/>
      <c r="J9" s="287" t="inlineStr">
        <is>
          <t>로그인 과정이 잦은 오류를 보여 고객 이용이 자주 중단됩니다</t>
        </is>
      </c>
      <c r="K9" s="367" t="n"/>
      <c r="L9" s="367" t="n"/>
      <c r="M9" s="367" t="n"/>
      <c r="N9" s="367" t="n"/>
      <c r="O9" s="367" t="n"/>
      <c r="P9" s="367" t="n"/>
      <c r="Q9" s="367" t="n"/>
      <c r="R9" s="367" t="n"/>
      <c r="S9" s="367" t="n"/>
      <c r="T9" s="367" t="n"/>
      <c r="U9" s="367" t="n"/>
      <c r="V9" s="367" t="n"/>
      <c r="W9" s="367" t="n"/>
      <c r="X9" s="367" t="n"/>
      <c r="Y9" s="367" t="n"/>
      <c r="Z9" s="367" t="n"/>
      <c r="AA9" s="367" t="n"/>
      <c r="AB9" s="367" t="n"/>
      <c r="AC9" s="367" t="n"/>
      <c r="AD9" s="367" t="n"/>
      <c r="AE9" s="367" t="n"/>
      <c r="AF9" s="367" t="n"/>
      <c r="AG9" s="367" t="n"/>
      <c r="AH9" s="367" t="n"/>
      <c r="AI9" s="367" t="n"/>
      <c r="AJ9" s="367" t="n"/>
      <c r="AK9" s="367" t="n"/>
      <c r="AL9" s="367" t="n"/>
      <c r="AM9" s="367" t="n"/>
      <c r="AN9" s="367" t="n"/>
      <c r="AO9" s="367" t="n"/>
      <c r="AP9" s="367" t="n"/>
      <c r="AQ9" s="367" t="n"/>
      <c r="AR9" s="367" t="n"/>
      <c r="AS9" s="367" t="n"/>
      <c r="AT9" s="367" t="n"/>
      <c r="AU9" s="367" t="n"/>
      <c r="AV9" s="367" t="n"/>
      <c r="AW9" s="367" t="n"/>
      <c r="AX9" s="367" t="n"/>
      <c r="AY9" s="367" t="n"/>
      <c r="AZ9" s="367" t="n"/>
      <c r="BA9" s="367" t="n"/>
      <c r="BB9" s="367" t="n"/>
      <c r="BC9" s="367" t="n"/>
      <c r="BD9" s="367" t="n"/>
    </row>
    <row r="10" ht="12" customHeight="1" s="292">
      <c r="I10" s="135" t="n"/>
      <c r="J10" s="136" t="n"/>
      <c r="K10" s="137" t="n"/>
      <c r="L10" s="285" t="inlineStr">
        <is>
          <t>예시) 스타뱅킹 로그인할 때 계속 오류가 떠서 들어갈 수가 없어요</t>
        </is>
      </c>
      <c r="M10" s="368" t="n"/>
      <c r="N10" s="368" t="n"/>
      <c r="O10" s="368" t="n"/>
      <c r="P10" s="368" t="n"/>
      <c r="Q10" s="368" t="n"/>
      <c r="R10" s="368" t="n"/>
      <c r="S10" s="368" t="n"/>
      <c r="T10" s="368" t="n"/>
      <c r="U10" s="368" t="n"/>
      <c r="V10" s="368" t="n"/>
      <c r="W10" s="368" t="n"/>
      <c r="X10" s="368" t="n"/>
      <c r="Y10" s="368" t="n"/>
      <c r="Z10" s="368" t="n"/>
      <c r="AA10" s="368" t="n"/>
      <c r="AB10" s="368" t="n"/>
      <c r="AC10" s="368" t="n"/>
      <c r="AD10" s="368" t="n"/>
      <c r="AE10" s="368" t="n"/>
      <c r="AF10" s="368" t="n"/>
      <c r="AG10" s="368" t="n"/>
      <c r="AH10" s="368" t="n"/>
      <c r="AI10" s="368" t="n"/>
      <c r="AJ10" s="368" t="n"/>
      <c r="AK10" s="368" t="n"/>
      <c r="AL10" s="368" t="n"/>
      <c r="AM10" s="368" t="n"/>
      <c r="AN10" s="368" t="n"/>
      <c r="AO10" s="368" t="n"/>
      <c r="AP10" s="368" t="n"/>
      <c r="AQ10" s="368" t="n"/>
      <c r="AR10" s="368" t="n"/>
      <c r="AS10" s="368" t="n"/>
      <c r="AT10" s="368" t="n"/>
      <c r="AU10" s="368" t="n"/>
      <c r="AV10" s="368" t="n"/>
      <c r="AW10" s="368" t="n"/>
      <c r="AX10" s="368" t="n"/>
      <c r="AY10" s="368" t="n"/>
      <c r="AZ10" s="368" t="n"/>
      <c r="BA10" s="368" t="n"/>
      <c r="BB10" s="368" t="n"/>
      <c r="BC10" s="368" t="n"/>
      <c r="BD10" s="368" t="n"/>
      <c r="BH10" s="321" t="n"/>
      <c r="BI10" s="321" t="n"/>
      <c r="BJ10" s="321" t="n"/>
      <c r="BK10" s="321" t="n"/>
      <c r="BL10" s="321" t="n"/>
    </row>
    <row r="11" ht="12" customHeight="1" s="292">
      <c r="I11" s="135" t="n"/>
      <c r="J11" s="136" t="n"/>
      <c r="K11" s="137" t="n"/>
      <c r="L11" s="285" t="inlineStr">
        <is>
          <t>예시) 지문 로그인 자꾸 실패해서 비밀번호로 다시 하느라 너무 번거롭습니다</t>
        </is>
      </c>
      <c r="M11" s="368" t="n"/>
      <c r="N11" s="368" t="n"/>
      <c r="O11" s="368" t="n"/>
      <c r="P11" s="368" t="n"/>
      <c r="Q11" s="368" t="n"/>
      <c r="R11" s="368" t="n"/>
      <c r="S11" s="368" t="n"/>
      <c r="T11" s="368" t="n"/>
      <c r="U11" s="368" t="n"/>
      <c r="V11" s="368" t="n"/>
      <c r="W11" s="368" t="n"/>
      <c r="X11" s="368" t="n"/>
      <c r="Y11" s="368" t="n"/>
      <c r="Z11" s="368" t="n"/>
      <c r="AA11" s="368" t="n"/>
      <c r="AB11" s="368" t="n"/>
      <c r="AC11" s="368" t="n"/>
      <c r="AD11" s="368" t="n"/>
      <c r="AE11" s="368" t="n"/>
      <c r="AF11" s="368" t="n"/>
      <c r="AG11" s="368" t="n"/>
      <c r="AH11" s="368" t="n"/>
      <c r="AI11" s="368" t="n"/>
      <c r="AJ11" s="368" t="n"/>
      <c r="AK11" s="368" t="n"/>
      <c r="AL11" s="368" t="n"/>
      <c r="AM11" s="368" t="n"/>
      <c r="AN11" s="368" t="n"/>
      <c r="AO11" s="368" t="n"/>
      <c r="AP11" s="368" t="n"/>
      <c r="AQ11" s="368" t="n"/>
      <c r="AR11" s="368" t="n"/>
      <c r="AS11" s="368" t="n"/>
      <c r="AT11" s="368" t="n"/>
      <c r="AU11" s="368" t="n"/>
      <c r="AV11" s="368" t="n"/>
      <c r="AW11" s="368" t="n"/>
      <c r="AX11" s="368" t="n"/>
      <c r="AY11" s="368" t="n"/>
      <c r="AZ11" s="368" t="n"/>
      <c r="BA11" s="368" t="n"/>
      <c r="BB11" s="368" t="n"/>
      <c r="BC11" s="368" t="n"/>
      <c r="BD11" s="368" t="n"/>
      <c r="BH11" s="321" t="n"/>
      <c r="BI11" s="321" t="n"/>
      <c r="BJ11" s="321" t="n"/>
      <c r="BK11" s="321" t="n"/>
      <c r="BL11" s="321" t="n"/>
    </row>
    <row r="12" ht="12" customHeight="1" s="292">
      <c r="I12" s="135" t="n"/>
      <c r="J12" s="136" t="n"/>
      <c r="K12" s="137" t="n"/>
      <c r="L12" s="285" t="inlineStr">
        <is>
          <t>예시) 로그인 후 바로 튕겨져 나가요. 다시 시도해도 같은 현상입니다</t>
        </is>
      </c>
      <c r="M12" s="368" t="n"/>
      <c r="N12" s="368" t="n"/>
      <c r="O12" s="368" t="n"/>
      <c r="P12" s="368" t="n"/>
      <c r="Q12" s="368" t="n"/>
      <c r="R12" s="368" t="n"/>
      <c r="S12" s="368" t="n"/>
      <c r="T12" s="368" t="n"/>
      <c r="U12" s="368" t="n"/>
      <c r="V12" s="368" t="n"/>
      <c r="W12" s="368" t="n"/>
      <c r="X12" s="368" t="n"/>
      <c r="Y12" s="368" t="n"/>
      <c r="Z12" s="368" t="n"/>
      <c r="AA12" s="368" t="n"/>
      <c r="AB12" s="368" t="n"/>
      <c r="AC12" s="368" t="n"/>
      <c r="AD12" s="368" t="n"/>
      <c r="AE12" s="368" t="n"/>
      <c r="AF12" s="368" t="n"/>
      <c r="AG12" s="368" t="n"/>
      <c r="AH12" s="368" t="n"/>
      <c r="AI12" s="368" t="n"/>
      <c r="AJ12" s="368" t="n"/>
      <c r="AK12" s="368" t="n"/>
      <c r="AL12" s="368" t="n"/>
      <c r="AM12" s="368" t="n"/>
      <c r="AN12" s="368" t="n"/>
      <c r="AO12" s="368" t="n"/>
      <c r="AP12" s="368" t="n"/>
      <c r="AQ12" s="368" t="n"/>
      <c r="AR12" s="368" t="n"/>
      <c r="AS12" s="368" t="n"/>
      <c r="AT12" s="368" t="n"/>
      <c r="AU12" s="368" t="n"/>
      <c r="AV12" s="368" t="n"/>
      <c r="AW12" s="368" t="n"/>
      <c r="AX12" s="368" t="n"/>
      <c r="AY12" s="368" t="n"/>
      <c r="AZ12" s="368" t="n"/>
      <c r="BA12" s="368" t="n"/>
      <c r="BB12" s="368" t="n"/>
      <c r="BC12" s="368" t="n"/>
      <c r="BD12" s="368" t="n"/>
      <c r="BH12" s="321" t="n"/>
      <c r="BI12" s="321" t="n"/>
      <c r="BJ12" s="321" t="n"/>
      <c r="BK12" s="321" t="n"/>
      <c r="BL12" s="321" t="n"/>
    </row>
    <row r="13" ht="12" customHeight="1" s="292">
      <c r="I13" s="134" t="n"/>
      <c r="J13" s="289" t="inlineStr">
        <is>
          <t>앱 속도가 느려 화면 전환이 지연되며 거래 진행이 어렵습니다</t>
        </is>
      </c>
      <c r="BH13" s="321" t="n"/>
      <c r="BI13" s="321" t="n"/>
      <c r="BJ13" s="321" t="n"/>
      <c r="BK13" s="321" t="n"/>
      <c r="BL13" s="321" t="n"/>
    </row>
    <row r="14" ht="12" customHeight="1" s="292">
      <c r="I14" s="135" t="n"/>
      <c r="J14" s="136" t="n"/>
      <c r="K14" s="137" t="n"/>
      <c r="L14" s="285" t="inlineStr">
        <is>
          <t>예시) 계좌조회 누르면 화면이 한참동안 로딩만 하고 안 열립니다</t>
        </is>
      </c>
      <c r="M14" s="368" t="n"/>
      <c r="N14" s="368" t="n"/>
      <c r="O14" s="368" t="n"/>
      <c r="P14" s="368" t="n"/>
      <c r="Q14" s="368" t="n"/>
      <c r="R14" s="368" t="n"/>
      <c r="S14" s="368" t="n"/>
      <c r="T14" s="368" t="n"/>
      <c r="U14" s="368" t="n"/>
      <c r="V14" s="368" t="n"/>
      <c r="W14" s="368" t="n"/>
      <c r="X14" s="368" t="n"/>
      <c r="Y14" s="368" t="n"/>
      <c r="Z14" s="368" t="n"/>
      <c r="AA14" s="368" t="n"/>
      <c r="AB14" s="368" t="n"/>
      <c r="AC14" s="368" t="n"/>
      <c r="AD14" s="368" t="n"/>
      <c r="AE14" s="368" t="n"/>
      <c r="AF14" s="368" t="n"/>
      <c r="AG14" s="368" t="n"/>
      <c r="AH14" s="368" t="n"/>
      <c r="AI14" s="368" t="n"/>
      <c r="AJ14" s="368" t="n"/>
      <c r="AK14" s="368" t="n"/>
      <c r="AL14" s="368" t="n"/>
      <c r="AM14" s="368" t="n"/>
      <c r="AN14" s="368" t="n"/>
      <c r="AO14" s="368" t="n"/>
      <c r="AP14" s="368" t="n"/>
      <c r="AQ14" s="368" t="n"/>
      <c r="AR14" s="368" t="n"/>
      <c r="AS14" s="368" t="n"/>
      <c r="AT14" s="368" t="n"/>
      <c r="AU14" s="368" t="n"/>
      <c r="AV14" s="368" t="n"/>
      <c r="AW14" s="368" t="n"/>
      <c r="AX14" s="368" t="n"/>
      <c r="AY14" s="368" t="n"/>
      <c r="AZ14" s="368" t="n"/>
      <c r="BA14" s="368" t="n"/>
      <c r="BB14" s="368" t="n"/>
      <c r="BC14" s="368" t="n"/>
      <c r="BD14" s="368" t="n"/>
      <c r="BH14" s="321" t="n"/>
      <c r="BI14" s="321" t="n"/>
      <c r="BJ14" s="321" t="n"/>
      <c r="BK14" s="321" t="n"/>
      <c r="BL14" s="321" t="n"/>
    </row>
    <row r="15" ht="12" customHeight="1" s="292">
      <c r="I15" s="135" t="n"/>
      <c r="J15" s="136" t="n"/>
      <c r="K15" s="137" t="n"/>
      <c r="L15" s="285" t="inlineStr">
        <is>
          <t>예시) 송금 버튼 눌러도 반응이 늦어서 여러 번 눌러야 넘어가요</t>
        </is>
      </c>
      <c r="M15" s="368" t="n"/>
      <c r="N15" s="368" t="n"/>
      <c r="O15" s="368" t="n"/>
      <c r="P15" s="368" t="n"/>
      <c r="Q15" s="368" t="n"/>
      <c r="R15" s="368" t="n"/>
      <c r="S15" s="368" t="n"/>
      <c r="T15" s="368" t="n"/>
      <c r="U15" s="368" t="n"/>
      <c r="V15" s="368" t="n"/>
      <c r="W15" s="368" t="n"/>
      <c r="X15" s="368" t="n"/>
      <c r="Y15" s="368" t="n"/>
      <c r="Z15" s="368" t="n"/>
      <c r="AA15" s="368" t="n"/>
      <c r="AB15" s="368" t="n"/>
      <c r="AC15" s="368" t="n"/>
      <c r="AD15" s="368" t="n"/>
      <c r="AE15" s="368" t="n"/>
      <c r="AF15" s="368" t="n"/>
      <c r="AG15" s="368" t="n"/>
      <c r="AH15" s="368" t="n"/>
      <c r="AI15" s="368" t="n"/>
      <c r="AJ15" s="368" t="n"/>
      <c r="AK15" s="368" t="n"/>
      <c r="AL15" s="368" t="n"/>
      <c r="AM15" s="368" t="n"/>
      <c r="AN15" s="368" t="n"/>
      <c r="AO15" s="368" t="n"/>
      <c r="AP15" s="368" t="n"/>
      <c r="AQ15" s="368" t="n"/>
      <c r="AR15" s="368" t="n"/>
      <c r="AS15" s="368" t="n"/>
      <c r="AT15" s="368" t="n"/>
      <c r="AU15" s="368" t="n"/>
      <c r="AV15" s="368" t="n"/>
      <c r="AW15" s="368" t="n"/>
      <c r="AX15" s="368" t="n"/>
      <c r="AY15" s="368" t="n"/>
      <c r="AZ15" s="368" t="n"/>
      <c r="BA15" s="368" t="n"/>
      <c r="BB15" s="368" t="n"/>
      <c r="BC15" s="368" t="n"/>
      <c r="BD15" s="368" t="n"/>
      <c r="BH15" s="321" t="n"/>
      <c r="BI15" s="321" t="n"/>
      <c r="BJ15" s="321" t="n"/>
      <c r="BK15" s="321" t="n"/>
      <c r="BL15" s="321" t="n"/>
    </row>
    <row r="16" ht="12" customHeight="1" s="292">
      <c r="I16" s="135" t="n"/>
      <c r="J16" s="136" t="n"/>
      <c r="K16" s="137" t="n"/>
      <c r="L16" s="285" t="inlineStr">
        <is>
          <t>예시) 업데이트 후 화면 전환이 너무 느려서 사용하기 답답합니다</t>
        </is>
      </c>
      <c r="M16" s="368" t="n"/>
      <c r="N16" s="368" t="n"/>
      <c r="O16" s="368" t="n"/>
      <c r="P16" s="368" t="n"/>
      <c r="Q16" s="368" t="n"/>
      <c r="R16" s="368" t="n"/>
      <c r="S16" s="368" t="n"/>
      <c r="T16" s="368" t="n"/>
      <c r="U16" s="368" t="n"/>
      <c r="V16" s="368" t="n"/>
      <c r="W16" s="368" t="n"/>
      <c r="X16" s="368" t="n"/>
      <c r="Y16" s="368" t="n"/>
      <c r="Z16" s="368" t="n"/>
      <c r="AA16" s="368" t="n"/>
      <c r="AB16" s="368" t="n"/>
      <c r="AC16" s="368" t="n"/>
      <c r="AD16" s="368" t="n"/>
      <c r="AE16" s="368" t="n"/>
      <c r="AF16" s="368" t="n"/>
      <c r="AG16" s="368" t="n"/>
      <c r="AH16" s="368" t="n"/>
      <c r="AI16" s="368" t="n"/>
      <c r="AJ16" s="368" t="n"/>
      <c r="AK16" s="368" t="n"/>
      <c r="AL16" s="368" t="n"/>
      <c r="AM16" s="368" t="n"/>
      <c r="AN16" s="368" t="n"/>
      <c r="AO16" s="368" t="n"/>
      <c r="AP16" s="368" t="n"/>
      <c r="AQ16" s="368" t="n"/>
      <c r="AR16" s="368" t="n"/>
      <c r="AS16" s="368" t="n"/>
      <c r="AT16" s="368" t="n"/>
      <c r="AU16" s="368" t="n"/>
      <c r="AV16" s="368" t="n"/>
      <c r="AW16" s="368" t="n"/>
      <c r="AX16" s="368" t="n"/>
      <c r="AY16" s="368" t="n"/>
      <c r="AZ16" s="368" t="n"/>
      <c r="BA16" s="368" t="n"/>
      <c r="BB16" s="368" t="n"/>
      <c r="BC16" s="368" t="n"/>
      <c r="BD16" s="368" t="n"/>
      <c r="BH16" s="321" t="n"/>
      <c r="BI16" s="321" t="n"/>
      <c r="BJ16" s="321" t="n"/>
      <c r="BK16" s="321" t="n"/>
      <c r="BL16" s="321" t="n"/>
    </row>
    <row r="17" ht="12" customHeight="1" s="292">
      <c r="I17" s="134" t="n"/>
      <c r="J17" s="289" t="inlineStr">
        <is>
          <t>이체 과정에서 인증 절차가 복잡하여 거래 완료가 지연됩니다</t>
        </is>
      </c>
      <c r="BH17" s="321" t="n"/>
      <c r="BI17" s="321" t="n"/>
      <c r="BJ17" s="321" t="n"/>
      <c r="BK17" s="321" t="n"/>
      <c r="BL17" s="321" t="n"/>
    </row>
    <row r="18" ht="12" customHeight="1" s="292">
      <c r="I18" s="135" t="n"/>
      <c r="J18" s="136" t="n"/>
      <c r="K18" s="137" t="n"/>
      <c r="L18" s="285" t="inlineStr">
        <is>
          <t>예시) 간편이체가 인증을 계속 요구해서 이체가 너무 오래 걸립니다</t>
        </is>
      </c>
      <c r="M18" s="368" t="n"/>
      <c r="N18" s="368" t="n"/>
      <c r="O18" s="368" t="n"/>
      <c r="P18" s="368" t="n"/>
      <c r="Q18" s="368" t="n"/>
      <c r="R18" s="368" t="n"/>
      <c r="S18" s="368" t="n"/>
      <c r="T18" s="368" t="n"/>
      <c r="U18" s="368" t="n"/>
      <c r="V18" s="368" t="n"/>
      <c r="W18" s="368" t="n"/>
      <c r="X18" s="368" t="n"/>
      <c r="Y18" s="368" t="n"/>
      <c r="Z18" s="368" t="n"/>
      <c r="AA18" s="368" t="n"/>
      <c r="AB18" s="368" t="n"/>
      <c r="AC18" s="368" t="n"/>
      <c r="AD18" s="368" t="n"/>
      <c r="AE18" s="368" t="n"/>
      <c r="AF18" s="368" t="n"/>
      <c r="AG18" s="368" t="n"/>
      <c r="AH18" s="368" t="n"/>
      <c r="AI18" s="368" t="n"/>
      <c r="AJ18" s="368" t="n"/>
      <c r="AK18" s="368" t="n"/>
      <c r="AL18" s="368" t="n"/>
      <c r="AM18" s="368" t="n"/>
      <c r="AN18" s="368" t="n"/>
      <c r="AO18" s="368" t="n"/>
      <c r="AP18" s="368" t="n"/>
      <c r="AQ18" s="368" t="n"/>
      <c r="AR18" s="368" t="n"/>
      <c r="AS18" s="368" t="n"/>
      <c r="AT18" s="368" t="n"/>
      <c r="AU18" s="368" t="n"/>
      <c r="AV18" s="368" t="n"/>
      <c r="AW18" s="368" t="n"/>
      <c r="AX18" s="368" t="n"/>
      <c r="AY18" s="368" t="n"/>
      <c r="AZ18" s="368" t="n"/>
      <c r="BA18" s="368" t="n"/>
      <c r="BB18" s="368" t="n"/>
      <c r="BC18" s="368" t="n"/>
      <c r="BD18" s="368" t="n"/>
      <c r="BH18" s="321" t="n"/>
      <c r="BI18" s="321" t="n"/>
      <c r="BJ18" s="321" t="n"/>
      <c r="BK18" s="321" t="n"/>
      <c r="BL18" s="321" t="n"/>
    </row>
    <row r="19" ht="12" customHeight="1" s="292">
      <c r="I19" s="135" t="n"/>
      <c r="J19" s="136" t="n"/>
      <c r="K19" s="137" t="n"/>
      <c r="L19" s="285" t="inlineStr">
        <is>
          <t>예시) OTP 입력 단계가 추가돼서 예전보다 절차가 복잡해졌어요</t>
        </is>
      </c>
      <c r="M19" s="368" t="n"/>
      <c r="N19" s="368" t="n"/>
      <c r="O19" s="368" t="n"/>
      <c r="P19" s="368" t="n"/>
      <c r="Q19" s="368" t="n"/>
      <c r="R19" s="368" t="n"/>
      <c r="S19" s="368" t="n"/>
      <c r="T19" s="368" t="n"/>
      <c r="U19" s="368" t="n"/>
      <c r="V19" s="368" t="n"/>
      <c r="W19" s="368" t="n"/>
      <c r="X19" s="368" t="n"/>
      <c r="Y19" s="368" t="n"/>
      <c r="Z19" s="368" t="n"/>
      <c r="AA19" s="368" t="n"/>
      <c r="AB19" s="368" t="n"/>
      <c r="AC19" s="368" t="n"/>
      <c r="AD19" s="368" t="n"/>
      <c r="AE19" s="368" t="n"/>
      <c r="AF19" s="368" t="n"/>
      <c r="AG19" s="368" t="n"/>
      <c r="AH19" s="368" t="n"/>
      <c r="AI19" s="368" t="n"/>
      <c r="AJ19" s="368" t="n"/>
      <c r="AK19" s="368" t="n"/>
      <c r="AL19" s="368" t="n"/>
      <c r="AM19" s="368" t="n"/>
      <c r="AN19" s="368" t="n"/>
      <c r="AO19" s="368" t="n"/>
      <c r="AP19" s="368" t="n"/>
      <c r="AQ19" s="368" t="n"/>
      <c r="AR19" s="368" t="n"/>
      <c r="AS19" s="368" t="n"/>
      <c r="AT19" s="368" t="n"/>
      <c r="AU19" s="368" t="n"/>
      <c r="AV19" s="368" t="n"/>
      <c r="AW19" s="368" t="n"/>
      <c r="AX19" s="368" t="n"/>
      <c r="AY19" s="368" t="n"/>
      <c r="AZ19" s="368" t="n"/>
      <c r="BA19" s="368" t="n"/>
      <c r="BB19" s="368" t="n"/>
      <c r="BC19" s="368" t="n"/>
      <c r="BD19" s="368" t="n"/>
      <c r="BH19" s="321" t="n"/>
      <c r="BI19" s="321" t="n"/>
      <c r="BJ19" s="321" t="n"/>
      <c r="BK19" s="321" t="n"/>
      <c r="BL19" s="321" t="n"/>
    </row>
    <row r="20" ht="12" customHeight="1" s="292" thickBot="1">
      <c r="B20" s="369" t="n"/>
      <c r="C20" s="369" t="n"/>
      <c r="D20" s="369" t="n"/>
      <c r="E20" s="369" t="n"/>
      <c r="F20" s="369" t="n"/>
      <c r="G20" s="369" t="n"/>
      <c r="H20" s="369" t="n"/>
      <c r="I20" s="138" t="n"/>
      <c r="J20" s="139" t="n"/>
      <c r="K20" s="140" t="n"/>
      <c r="L20" s="286" t="inlineStr">
        <is>
          <t>예시) 인증번호가 늦게 와서 시간 초과로 다시 시작해야 했습니다</t>
        </is>
      </c>
      <c r="M20" s="370" t="n"/>
      <c r="N20" s="370" t="n"/>
      <c r="O20" s="370" t="n"/>
      <c r="P20" s="370" t="n"/>
      <c r="Q20" s="370" t="n"/>
      <c r="R20" s="370" t="n"/>
      <c r="S20" s="370" t="n"/>
      <c r="T20" s="370" t="n"/>
      <c r="U20" s="370" t="n"/>
      <c r="V20" s="370" t="n"/>
      <c r="W20" s="370" t="n"/>
      <c r="X20" s="370" t="n"/>
      <c r="Y20" s="370" t="n"/>
      <c r="Z20" s="370" t="n"/>
      <c r="AA20" s="370" t="n"/>
      <c r="AB20" s="370" t="n"/>
      <c r="AC20" s="370" t="n"/>
      <c r="AD20" s="370" t="n"/>
      <c r="AE20" s="370" t="n"/>
      <c r="AF20" s="370" t="n"/>
      <c r="AG20" s="370" t="n"/>
      <c r="AH20" s="370" t="n"/>
      <c r="AI20" s="370" t="n"/>
      <c r="AJ20" s="370" t="n"/>
      <c r="AK20" s="370" t="n"/>
      <c r="AL20" s="370" t="n"/>
      <c r="AM20" s="370" t="n"/>
      <c r="AN20" s="370" t="n"/>
      <c r="AO20" s="370" t="n"/>
      <c r="AP20" s="370" t="n"/>
      <c r="AQ20" s="370" t="n"/>
      <c r="AR20" s="370" t="n"/>
      <c r="AS20" s="370" t="n"/>
      <c r="AT20" s="370" t="n"/>
      <c r="AU20" s="370" t="n"/>
      <c r="AV20" s="370" t="n"/>
      <c r="AW20" s="370" t="n"/>
      <c r="AX20" s="370" t="n"/>
      <c r="AY20" s="370" t="n"/>
      <c r="AZ20" s="370" t="n"/>
      <c r="BA20" s="370" t="n"/>
      <c r="BB20" s="370" t="n"/>
      <c r="BC20" s="370" t="n"/>
      <c r="BD20" s="370" t="n"/>
      <c r="BH20" s="321" t="n"/>
      <c r="BI20" s="321" t="n"/>
      <c r="BJ20" s="321" t="n"/>
      <c r="BK20" s="321" t="n"/>
      <c r="BL20" s="321" t="n"/>
    </row>
    <row r="21" ht="24" customHeight="1" s="292">
      <c r="B21" s="282" t="inlineStr">
        <is>
          <t>영업점</t>
        </is>
      </c>
      <c r="I21" s="283" t="inlineStr">
        <is>
          <t>대기시간 지연과 직원 불친절은 저번주와 동일하게 반복되었으며, 이번주에는 창구 안내·서류 준비 공지 부족이 새롭게 제기됨</t>
        </is>
      </c>
      <c r="BH21" s="321" t="n"/>
      <c r="BI21" s="321" t="n"/>
      <c r="BJ21" s="321" t="n"/>
      <c r="BK21" s="321" t="n"/>
      <c r="BL21" s="321" t="n"/>
    </row>
    <row r="22" ht="12" customHeight="1" s="292">
      <c r="I22" s="134" t="n"/>
      <c r="J22" s="287" t="inlineStr">
        <is>
          <t>창구 대기 시간이 길어 불편하며 안내가 부족하다고 판단됩니다</t>
        </is>
      </c>
      <c r="K22" s="367" t="n"/>
      <c r="L22" s="367" t="n"/>
      <c r="M22" s="367" t="n"/>
      <c r="N22" s="367" t="n"/>
      <c r="O22" s="367" t="n"/>
      <c r="P22" s="367" t="n"/>
      <c r="Q22" s="367" t="n"/>
      <c r="R22" s="367" t="n"/>
      <c r="S22" s="367" t="n"/>
      <c r="T22" s="367" t="n"/>
      <c r="U22" s="367" t="n"/>
      <c r="V22" s="367" t="n"/>
      <c r="W22" s="367" t="n"/>
      <c r="X22" s="367" t="n"/>
      <c r="Y22" s="367" t="n"/>
      <c r="Z22" s="367" t="n"/>
      <c r="AA22" s="367" t="n"/>
      <c r="AB22" s="367" t="n"/>
      <c r="AC22" s="367" t="n"/>
      <c r="AD22" s="367" t="n"/>
      <c r="AE22" s="367" t="n"/>
      <c r="AF22" s="367" t="n"/>
      <c r="AG22" s="367" t="n"/>
      <c r="AH22" s="367" t="n"/>
      <c r="AI22" s="367" t="n"/>
      <c r="AJ22" s="367" t="n"/>
      <c r="AK22" s="367" t="n"/>
      <c r="AL22" s="367" t="n"/>
      <c r="AM22" s="367" t="n"/>
      <c r="AN22" s="367" t="n"/>
      <c r="AO22" s="367" t="n"/>
      <c r="AP22" s="367" t="n"/>
      <c r="AQ22" s="367" t="n"/>
      <c r="AR22" s="367" t="n"/>
      <c r="AS22" s="367" t="n"/>
      <c r="AT22" s="367" t="n"/>
      <c r="AU22" s="367" t="n"/>
      <c r="AV22" s="367" t="n"/>
      <c r="AW22" s="367" t="n"/>
      <c r="AX22" s="367" t="n"/>
      <c r="AY22" s="367" t="n"/>
      <c r="AZ22" s="367" t="n"/>
      <c r="BA22" s="367" t="n"/>
      <c r="BB22" s="367" t="n"/>
      <c r="BC22" s="367" t="n"/>
      <c r="BD22" s="367" t="n"/>
      <c r="BH22" s="321" t="n"/>
      <c r="BI22" s="321" t="n"/>
      <c r="BJ22" s="321" t="n"/>
      <c r="BK22" s="321" t="n"/>
      <c r="BL22" s="321" t="n"/>
    </row>
    <row r="23" ht="12" customHeight="1" s="292">
      <c r="I23" s="135" t="n"/>
      <c r="J23" s="136" t="n"/>
      <c r="K23" s="137" t="n"/>
      <c r="L23" s="285" t="inlineStr">
        <is>
          <t>예시) 점심시간에 갔는데 창구 대기가 너무 길어요.</t>
        </is>
      </c>
      <c r="M23" s="368" t="n"/>
      <c r="N23" s="368" t="n"/>
      <c r="O23" s="368" t="n"/>
      <c r="P23" s="368" t="n"/>
      <c r="Q23" s="368" t="n"/>
      <c r="R23" s="368" t="n"/>
      <c r="S23" s="368" t="n"/>
      <c r="T23" s="368" t="n"/>
      <c r="U23" s="368" t="n"/>
      <c r="V23" s="368" t="n"/>
      <c r="W23" s="368" t="n"/>
      <c r="X23" s="368" t="n"/>
      <c r="Y23" s="368" t="n"/>
      <c r="Z23" s="368" t="n"/>
      <c r="AA23" s="368" t="n"/>
      <c r="AB23" s="368" t="n"/>
      <c r="AC23" s="368" t="n"/>
      <c r="AD23" s="368" t="n"/>
      <c r="AE23" s="368" t="n"/>
      <c r="AF23" s="368" t="n"/>
      <c r="AG23" s="368" t="n"/>
      <c r="AH23" s="368" t="n"/>
      <c r="AI23" s="368" t="n"/>
      <c r="AJ23" s="368" t="n"/>
      <c r="AK23" s="368" t="n"/>
      <c r="AL23" s="368" t="n"/>
      <c r="AM23" s="368" t="n"/>
      <c r="AN23" s="368" t="n"/>
      <c r="AO23" s="368" t="n"/>
      <c r="AP23" s="368" t="n"/>
      <c r="AQ23" s="368" t="n"/>
      <c r="AR23" s="368" t="n"/>
      <c r="AS23" s="368" t="n"/>
      <c r="AT23" s="368" t="n"/>
      <c r="AU23" s="368" t="n"/>
      <c r="AV23" s="368" t="n"/>
      <c r="AW23" s="368" t="n"/>
      <c r="AX23" s="368" t="n"/>
      <c r="AY23" s="368" t="n"/>
      <c r="AZ23" s="368" t="n"/>
      <c r="BA23" s="368" t="n"/>
      <c r="BB23" s="368" t="n"/>
      <c r="BC23" s="368" t="n"/>
      <c r="BD23" s="368" t="n"/>
    </row>
    <row r="24" ht="12" customHeight="1" s="292">
      <c r="I24" s="135" t="n"/>
      <c r="J24" s="136" t="n"/>
      <c r="K24" s="137" t="n"/>
      <c r="L24" s="285" t="inlineStr">
        <is>
          <t>예시) 번호표 뽑고 한참 기다렸는데 얼마나 더 걸리는지 안내가 없네요.</t>
        </is>
      </c>
      <c r="M24" s="368" t="n"/>
      <c r="N24" s="368" t="n"/>
      <c r="O24" s="368" t="n"/>
      <c r="P24" s="368" t="n"/>
      <c r="Q24" s="368" t="n"/>
      <c r="R24" s="368" t="n"/>
      <c r="S24" s="368" t="n"/>
      <c r="T24" s="368" t="n"/>
      <c r="U24" s="368" t="n"/>
      <c r="V24" s="368" t="n"/>
      <c r="W24" s="368" t="n"/>
      <c r="X24" s="368" t="n"/>
      <c r="Y24" s="368" t="n"/>
      <c r="Z24" s="368" t="n"/>
      <c r="AA24" s="368" t="n"/>
      <c r="AB24" s="368" t="n"/>
      <c r="AC24" s="368" t="n"/>
      <c r="AD24" s="368" t="n"/>
      <c r="AE24" s="368" t="n"/>
      <c r="AF24" s="368" t="n"/>
      <c r="AG24" s="368" t="n"/>
      <c r="AH24" s="368" t="n"/>
      <c r="AI24" s="368" t="n"/>
      <c r="AJ24" s="368" t="n"/>
      <c r="AK24" s="368" t="n"/>
      <c r="AL24" s="368" t="n"/>
      <c r="AM24" s="368" t="n"/>
      <c r="AN24" s="368" t="n"/>
      <c r="AO24" s="368" t="n"/>
      <c r="AP24" s="368" t="n"/>
      <c r="AQ24" s="368" t="n"/>
      <c r="AR24" s="368" t="n"/>
      <c r="AS24" s="368" t="n"/>
      <c r="AT24" s="368" t="n"/>
      <c r="AU24" s="368" t="n"/>
      <c r="AV24" s="368" t="n"/>
      <c r="AW24" s="368" t="n"/>
      <c r="AX24" s="368" t="n"/>
      <c r="AY24" s="368" t="n"/>
      <c r="AZ24" s="368" t="n"/>
      <c r="BA24" s="368" t="n"/>
      <c r="BB24" s="368" t="n"/>
      <c r="BC24" s="368" t="n"/>
      <c r="BD24" s="368" t="n"/>
    </row>
    <row r="25" ht="12" customHeight="1" s="292">
      <c r="I25" s="135" t="n"/>
      <c r="J25" s="136" t="n"/>
      <c r="K25" s="137" t="n"/>
      <c r="L25" s="285" t="inlineStr">
        <is>
          <t>예시) 창구 인원이 적어 처리 속도가 너무 느립니다.</t>
        </is>
      </c>
      <c r="M25" s="368" t="n"/>
      <c r="N25" s="368" t="n"/>
      <c r="O25" s="368" t="n"/>
      <c r="P25" s="368" t="n"/>
      <c r="Q25" s="368" t="n"/>
      <c r="R25" s="368" t="n"/>
      <c r="S25" s="368" t="n"/>
      <c r="T25" s="368" t="n"/>
      <c r="U25" s="368" t="n"/>
      <c r="V25" s="368" t="n"/>
      <c r="W25" s="368" t="n"/>
      <c r="X25" s="368" t="n"/>
      <c r="Y25" s="368" t="n"/>
      <c r="Z25" s="368" t="n"/>
      <c r="AA25" s="368" t="n"/>
      <c r="AB25" s="368" t="n"/>
      <c r="AC25" s="368" t="n"/>
      <c r="AD25" s="368" t="n"/>
      <c r="AE25" s="368" t="n"/>
      <c r="AF25" s="368" t="n"/>
      <c r="AG25" s="368" t="n"/>
      <c r="AH25" s="368" t="n"/>
      <c r="AI25" s="368" t="n"/>
      <c r="AJ25" s="368" t="n"/>
      <c r="AK25" s="368" t="n"/>
      <c r="AL25" s="368" t="n"/>
      <c r="AM25" s="368" t="n"/>
      <c r="AN25" s="368" t="n"/>
      <c r="AO25" s="368" t="n"/>
      <c r="AP25" s="368" t="n"/>
      <c r="AQ25" s="368" t="n"/>
      <c r="AR25" s="368" t="n"/>
      <c r="AS25" s="368" t="n"/>
      <c r="AT25" s="368" t="n"/>
      <c r="AU25" s="368" t="n"/>
      <c r="AV25" s="368" t="n"/>
      <c r="AW25" s="368" t="n"/>
      <c r="AX25" s="368" t="n"/>
      <c r="AY25" s="368" t="n"/>
      <c r="AZ25" s="368" t="n"/>
      <c r="BA25" s="368" t="n"/>
      <c r="BB25" s="368" t="n"/>
      <c r="BC25" s="368" t="n"/>
      <c r="BD25" s="368" t="n"/>
    </row>
    <row r="26" ht="12" customHeight="1" s="292">
      <c r="I26" s="134" t="n"/>
      <c r="J26" s="289" t="inlineStr">
        <is>
          <t>직원 응대가 불친절하여 고객 불만이 지속된다고 판단됩니다</t>
        </is>
      </c>
    </row>
    <row r="27" ht="12" customHeight="1" s="292">
      <c r="I27" s="135" t="n"/>
      <c r="J27" s="136" t="n"/>
      <c r="K27" s="137" t="n"/>
      <c r="L27" s="285" t="inlineStr">
        <is>
          <t>예시) 질문했는데 직원이 퉁명스럽게 대답해서 기분이 나빴습니다.</t>
        </is>
      </c>
      <c r="M27" s="368" t="n"/>
      <c r="N27" s="368" t="n"/>
      <c r="O27" s="368" t="n"/>
      <c r="P27" s="368" t="n"/>
      <c r="Q27" s="368" t="n"/>
      <c r="R27" s="368" t="n"/>
      <c r="S27" s="368" t="n"/>
      <c r="T27" s="368" t="n"/>
      <c r="U27" s="368" t="n"/>
      <c r="V27" s="368" t="n"/>
      <c r="W27" s="368" t="n"/>
      <c r="X27" s="368" t="n"/>
      <c r="Y27" s="368" t="n"/>
      <c r="Z27" s="368" t="n"/>
      <c r="AA27" s="368" t="n"/>
      <c r="AB27" s="368" t="n"/>
      <c r="AC27" s="368" t="n"/>
      <c r="AD27" s="368" t="n"/>
      <c r="AE27" s="368" t="n"/>
      <c r="AF27" s="368" t="n"/>
      <c r="AG27" s="368" t="n"/>
      <c r="AH27" s="368" t="n"/>
      <c r="AI27" s="368" t="n"/>
      <c r="AJ27" s="368" t="n"/>
      <c r="AK27" s="368" t="n"/>
      <c r="AL27" s="368" t="n"/>
      <c r="AM27" s="368" t="n"/>
      <c r="AN27" s="368" t="n"/>
      <c r="AO27" s="368" t="n"/>
      <c r="AP27" s="368" t="n"/>
      <c r="AQ27" s="368" t="n"/>
      <c r="AR27" s="368" t="n"/>
      <c r="AS27" s="368" t="n"/>
      <c r="AT27" s="368" t="n"/>
      <c r="AU27" s="368" t="n"/>
      <c r="AV27" s="368" t="n"/>
      <c r="AW27" s="368" t="n"/>
      <c r="AX27" s="368" t="n"/>
      <c r="AY27" s="368" t="n"/>
      <c r="AZ27" s="368" t="n"/>
      <c r="BA27" s="368" t="n"/>
      <c r="BB27" s="368" t="n"/>
      <c r="BC27" s="368" t="n"/>
      <c r="BD27" s="368" t="n"/>
    </row>
    <row r="28" ht="12" customHeight="1" s="292">
      <c r="I28" s="135" t="n"/>
      <c r="J28" s="136" t="n"/>
      <c r="K28" s="137" t="n"/>
      <c r="L28" s="285" t="inlineStr">
        <is>
          <t>예시) 설명이 어렵고 친절하지 않아 이해가 잘 안 됩니다.</t>
        </is>
      </c>
      <c r="M28" s="368" t="n"/>
      <c r="N28" s="368" t="n"/>
      <c r="O28" s="368" t="n"/>
      <c r="P28" s="368" t="n"/>
      <c r="Q28" s="368" t="n"/>
      <c r="R28" s="368" t="n"/>
      <c r="S28" s="368" t="n"/>
      <c r="T28" s="368" t="n"/>
      <c r="U28" s="368" t="n"/>
      <c r="V28" s="368" t="n"/>
      <c r="W28" s="368" t="n"/>
      <c r="X28" s="368" t="n"/>
      <c r="Y28" s="368" t="n"/>
      <c r="Z28" s="368" t="n"/>
      <c r="AA28" s="368" t="n"/>
      <c r="AB28" s="368" t="n"/>
      <c r="AC28" s="368" t="n"/>
      <c r="AD28" s="368" t="n"/>
      <c r="AE28" s="368" t="n"/>
      <c r="AF28" s="368" t="n"/>
      <c r="AG28" s="368" t="n"/>
      <c r="AH28" s="368" t="n"/>
      <c r="AI28" s="368" t="n"/>
      <c r="AJ28" s="368" t="n"/>
      <c r="AK28" s="368" t="n"/>
      <c r="AL28" s="368" t="n"/>
      <c r="AM28" s="368" t="n"/>
      <c r="AN28" s="368" t="n"/>
      <c r="AO28" s="368" t="n"/>
      <c r="AP28" s="368" t="n"/>
      <c r="AQ28" s="368" t="n"/>
      <c r="AR28" s="368" t="n"/>
      <c r="AS28" s="368" t="n"/>
      <c r="AT28" s="368" t="n"/>
      <c r="AU28" s="368" t="n"/>
      <c r="AV28" s="368" t="n"/>
      <c r="AW28" s="368" t="n"/>
      <c r="AX28" s="368" t="n"/>
      <c r="AY28" s="368" t="n"/>
      <c r="AZ28" s="368" t="n"/>
      <c r="BA28" s="368" t="n"/>
      <c r="BB28" s="368" t="n"/>
      <c r="BC28" s="368" t="n"/>
      <c r="BD28" s="368" t="n"/>
      <c r="BH28" s="321" t="n"/>
      <c r="BI28" s="321" t="n"/>
      <c r="BJ28" s="321" t="n"/>
      <c r="BK28" s="321" t="n"/>
      <c r="BL28" s="321" t="n"/>
    </row>
    <row r="29" ht="12" customHeight="1" s="292">
      <c r="I29" s="135" t="n"/>
      <c r="J29" s="136" t="n"/>
      <c r="K29" s="137" t="n"/>
      <c r="L29" s="285" t="inlineStr">
        <is>
          <t>예시) 고객을 급하게 처리하는 느낌이라 배려가 부족합니다.</t>
        </is>
      </c>
      <c r="M29" s="368" t="n"/>
      <c r="N29" s="368" t="n"/>
      <c r="O29" s="368" t="n"/>
      <c r="P29" s="368" t="n"/>
      <c r="Q29" s="368" t="n"/>
      <c r="R29" s="368" t="n"/>
      <c r="S29" s="368" t="n"/>
      <c r="T29" s="368" t="n"/>
      <c r="U29" s="368" t="n"/>
      <c r="V29" s="368" t="n"/>
      <c r="W29" s="368" t="n"/>
      <c r="X29" s="368" t="n"/>
      <c r="Y29" s="368" t="n"/>
      <c r="Z29" s="368" t="n"/>
      <c r="AA29" s="368" t="n"/>
      <c r="AB29" s="368" t="n"/>
      <c r="AC29" s="368" t="n"/>
      <c r="AD29" s="368" t="n"/>
      <c r="AE29" s="368" t="n"/>
      <c r="AF29" s="368" t="n"/>
      <c r="AG29" s="368" t="n"/>
      <c r="AH29" s="368" t="n"/>
      <c r="AI29" s="368" t="n"/>
      <c r="AJ29" s="368" t="n"/>
      <c r="AK29" s="368" t="n"/>
      <c r="AL29" s="368" t="n"/>
      <c r="AM29" s="368" t="n"/>
      <c r="AN29" s="368" t="n"/>
      <c r="AO29" s="368" t="n"/>
      <c r="AP29" s="368" t="n"/>
      <c r="AQ29" s="368" t="n"/>
      <c r="AR29" s="368" t="n"/>
      <c r="AS29" s="368" t="n"/>
      <c r="AT29" s="368" t="n"/>
      <c r="AU29" s="368" t="n"/>
      <c r="AV29" s="368" t="n"/>
      <c r="AW29" s="368" t="n"/>
      <c r="AX29" s="368" t="n"/>
      <c r="AY29" s="368" t="n"/>
      <c r="AZ29" s="368" t="n"/>
      <c r="BA29" s="368" t="n"/>
      <c r="BB29" s="368" t="n"/>
      <c r="BC29" s="368" t="n"/>
      <c r="BD29" s="368" t="n"/>
    </row>
    <row r="30" ht="12" customHeight="1" s="292">
      <c r="I30" s="134" t="n"/>
      <c r="J30" s="289" t="inlineStr">
        <is>
          <t>창구 업무 안내와 서류 준비 공지가 미흡하다고 판단됩니다</t>
        </is>
      </c>
    </row>
    <row r="31" ht="12" customHeight="1" s="292">
      <c r="I31" s="135" t="n"/>
      <c r="J31" s="136" t="n"/>
      <c r="K31" s="137" t="n"/>
      <c r="L31" s="285" t="inlineStr">
        <is>
          <t>예시) 필요한 서류를 미리 알려줬으면 헛걸음 안 했을 텐데요.</t>
        </is>
      </c>
      <c r="M31" s="368" t="n"/>
      <c r="N31" s="368" t="n"/>
      <c r="O31" s="368" t="n"/>
      <c r="P31" s="368" t="n"/>
      <c r="Q31" s="368" t="n"/>
      <c r="R31" s="368" t="n"/>
      <c r="S31" s="368" t="n"/>
      <c r="T31" s="368" t="n"/>
      <c r="U31" s="368" t="n"/>
      <c r="V31" s="368" t="n"/>
      <c r="W31" s="368" t="n"/>
      <c r="X31" s="368" t="n"/>
      <c r="Y31" s="368" t="n"/>
      <c r="Z31" s="368" t="n"/>
      <c r="AA31" s="368" t="n"/>
      <c r="AB31" s="368" t="n"/>
      <c r="AC31" s="368" t="n"/>
      <c r="AD31" s="368" t="n"/>
      <c r="AE31" s="368" t="n"/>
      <c r="AF31" s="368" t="n"/>
      <c r="AG31" s="368" t="n"/>
      <c r="AH31" s="368" t="n"/>
      <c r="AI31" s="368" t="n"/>
      <c r="AJ31" s="368" t="n"/>
      <c r="AK31" s="368" t="n"/>
      <c r="AL31" s="368" t="n"/>
      <c r="AM31" s="368" t="n"/>
      <c r="AN31" s="368" t="n"/>
      <c r="AO31" s="368" t="n"/>
      <c r="AP31" s="368" t="n"/>
      <c r="AQ31" s="368" t="n"/>
      <c r="AR31" s="368" t="n"/>
      <c r="AS31" s="368" t="n"/>
      <c r="AT31" s="368" t="n"/>
      <c r="AU31" s="368" t="n"/>
      <c r="AV31" s="368" t="n"/>
      <c r="AW31" s="368" t="n"/>
      <c r="AX31" s="368" t="n"/>
      <c r="AY31" s="368" t="n"/>
      <c r="AZ31" s="368" t="n"/>
      <c r="BA31" s="368" t="n"/>
      <c r="BB31" s="368" t="n"/>
      <c r="BC31" s="368" t="n"/>
      <c r="BD31" s="368" t="n"/>
    </row>
    <row r="32" ht="12" customHeight="1" s="292">
      <c r="I32" s="135" t="n"/>
      <c r="J32" s="136" t="n"/>
      <c r="K32" s="137" t="n"/>
      <c r="L32" s="285" t="inlineStr">
        <is>
          <t>예시) 업무 절차 안내가 제각각이라 혼란스럽습니다.</t>
        </is>
      </c>
      <c r="M32" s="368" t="n"/>
      <c r="N32" s="368" t="n"/>
      <c r="O32" s="368" t="n"/>
      <c r="P32" s="368" t="n"/>
      <c r="Q32" s="368" t="n"/>
      <c r="R32" s="368" t="n"/>
      <c r="S32" s="368" t="n"/>
      <c r="T32" s="368" t="n"/>
      <c r="U32" s="368" t="n"/>
      <c r="V32" s="368" t="n"/>
      <c r="W32" s="368" t="n"/>
      <c r="X32" s="368" t="n"/>
      <c r="Y32" s="368" t="n"/>
      <c r="Z32" s="368" t="n"/>
      <c r="AA32" s="368" t="n"/>
      <c r="AB32" s="368" t="n"/>
      <c r="AC32" s="368" t="n"/>
      <c r="AD32" s="368" t="n"/>
      <c r="AE32" s="368" t="n"/>
      <c r="AF32" s="368" t="n"/>
      <c r="AG32" s="368" t="n"/>
      <c r="AH32" s="368" t="n"/>
      <c r="AI32" s="368" t="n"/>
      <c r="AJ32" s="368" t="n"/>
      <c r="AK32" s="368" t="n"/>
      <c r="AL32" s="368" t="n"/>
      <c r="AM32" s="368" t="n"/>
      <c r="AN32" s="368" t="n"/>
      <c r="AO32" s="368" t="n"/>
      <c r="AP32" s="368" t="n"/>
      <c r="AQ32" s="368" t="n"/>
      <c r="AR32" s="368" t="n"/>
      <c r="AS32" s="368" t="n"/>
      <c r="AT32" s="368" t="n"/>
      <c r="AU32" s="368" t="n"/>
      <c r="AV32" s="368" t="n"/>
      <c r="AW32" s="368" t="n"/>
      <c r="AX32" s="368" t="n"/>
      <c r="AY32" s="368" t="n"/>
      <c r="AZ32" s="368" t="n"/>
      <c r="BA32" s="368" t="n"/>
      <c r="BB32" s="368" t="n"/>
      <c r="BC32" s="368" t="n"/>
      <c r="BD32" s="368" t="n"/>
    </row>
    <row r="33" ht="12" customHeight="1" s="292" thickBot="1">
      <c r="B33" s="369" t="n"/>
      <c r="C33" s="369" t="n"/>
      <c r="D33" s="369" t="n"/>
      <c r="E33" s="369" t="n"/>
      <c r="F33" s="369" t="n"/>
      <c r="G33" s="369" t="n"/>
      <c r="H33" s="369" t="n"/>
      <c r="I33" s="138" t="n"/>
      <c r="J33" s="139" t="n"/>
      <c r="K33" s="140" t="n"/>
      <c r="L33" s="286" t="inlineStr">
        <is>
          <t>예시) 창구마다 안내 기준이 달라서 다시 작성하라고 합니다.</t>
        </is>
      </c>
      <c r="M33" s="370" t="n"/>
      <c r="N33" s="370" t="n"/>
      <c r="O33" s="370" t="n"/>
      <c r="P33" s="370" t="n"/>
      <c r="Q33" s="370" t="n"/>
      <c r="R33" s="370" t="n"/>
      <c r="S33" s="370" t="n"/>
      <c r="T33" s="370" t="n"/>
      <c r="U33" s="370" t="n"/>
      <c r="V33" s="370" t="n"/>
      <c r="W33" s="370" t="n"/>
      <c r="X33" s="370" t="n"/>
      <c r="Y33" s="370" t="n"/>
      <c r="Z33" s="370" t="n"/>
      <c r="AA33" s="370" t="n"/>
      <c r="AB33" s="370" t="n"/>
      <c r="AC33" s="370" t="n"/>
      <c r="AD33" s="370" t="n"/>
      <c r="AE33" s="370" t="n"/>
      <c r="AF33" s="370" t="n"/>
      <c r="AG33" s="370" t="n"/>
      <c r="AH33" s="370" t="n"/>
      <c r="AI33" s="370" t="n"/>
      <c r="AJ33" s="370" t="n"/>
      <c r="AK33" s="370" t="n"/>
      <c r="AL33" s="370" t="n"/>
      <c r="AM33" s="370" t="n"/>
      <c r="AN33" s="370" t="n"/>
      <c r="AO33" s="370" t="n"/>
      <c r="AP33" s="370" t="n"/>
      <c r="AQ33" s="370" t="n"/>
      <c r="AR33" s="370" t="n"/>
      <c r="AS33" s="370" t="n"/>
      <c r="AT33" s="370" t="n"/>
      <c r="AU33" s="370" t="n"/>
      <c r="AV33" s="370" t="n"/>
      <c r="AW33" s="370" t="n"/>
      <c r="AX33" s="370" t="n"/>
      <c r="AY33" s="370" t="n"/>
      <c r="AZ33" s="370" t="n"/>
      <c r="BA33" s="370" t="n"/>
      <c r="BB33" s="370" t="n"/>
      <c r="BC33" s="370" t="n"/>
      <c r="BD33" s="370" t="n"/>
    </row>
    <row r="34" ht="24" customHeight="1" s="292">
      <c r="B34" s="282" t="inlineStr">
        <is>
          <t>고객센터</t>
        </is>
      </c>
      <c r="I34" s="283" t="inlineStr">
        <is>
          <t>이번주 분석 가능한 VOC가 없어 비교가 불가하며, 지난주와 유사하게 대기시간 길이와 상담원 연결 어려움 불만이 지속됨</t>
        </is>
      </c>
    </row>
    <row r="35" ht="12" customHeight="1" s="292">
      <c r="I35" s="134" t="n"/>
      <c r="J35" s="287" t="inlineStr">
        <is>
          <t>분석 가능한 고객센터 VOC 원문이 제공되지 않아 요약이 불가합니다</t>
        </is>
      </c>
      <c r="K35" s="367" t="n"/>
      <c r="L35" s="367" t="n"/>
      <c r="M35" s="367" t="n"/>
      <c r="N35" s="367" t="n"/>
      <c r="O35" s="367" t="n"/>
      <c r="P35" s="367" t="n"/>
      <c r="Q35" s="367" t="n"/>
      <c r="R35" s="367" t="n"/>
      <c r="S35" s="367" t="n"/>
      <c r="T35" s="367" t="n"/>
      <c r="U35" s="367" t="n"/>
      <c r="V35" s="367" t="n"/>
      <c r="W35" s="367" t="n"/>
      <c r="X35" s="367" t="n"/>
      <c r="Y35" s="367" t="n"/>
      <c r="Z35" s="367" t="n"/>
      <c r="AA35" s="367" t="n"/>
      <c r="AB35" s="367" t="n"/>
      <c r="AC35" s="367" t="n"/>
      <c r="AD35" s="367" t="n"/>
      <c r="AE35" s="367" t="n"/>
      <c r="AF35" s="367" t="n"/>
      <c r="AG35" s="367" t="n"/>
      <c r="AH35" s="367" t="n"/>
      <c r="AI35" s="367" t="n"/>
      <c r="AJ35" s="367" t="n"/>
      <c r="AK35" s="367" t="n"/>
      <c r="AL35" s="367" t="n"/>
      <c r="AM35" s="367" t="n"/>
      <c r="AN35" s="367" t="n"/>
      <c r="AO35" s="367" t="n"/>
      <c r="AP35" s="367" t="n"/>
      <c r="AQ35" s="367" t="n"/>
      <c r="AR35" s="367" t="n"/>
      <c r="AS35" s="367" t="n"/>
      <c r="AT35" s="367" t="n"/>
      <c r="AU35" s="367" t="n"/>
      <c r="AV35" s="367" t="n"/>
      <c r="AW35" s="367" t="n"/>
      <c r="AX35" s="367" t="n"/>
      <c r="AY35" s="367" t="n"/>
      <c r="AZ35" s="367" t="n"/>
      <c r="BA35" s="367" t="n"/>
      <c r="BB35" s="367" t="n"/>
      <c r="BC35" s="367" t="n"/>
      <c r="BD35" s="367" t="n"/>
    </row>
    <row r="36" ht="12" customHeight="1" s="292">
      <c r="I36" s="135" t="n"/>
      <c r="J36" s="136" t="n"/>
      <c r="K36" s="137" t="n"/>
      <c r="L36" s="285" t="inlineStr">
        <is>
          <t xml:space="preserve">예시) </t>
        </is>
      </c>
      <c r="M36" s="368" t="n"/>
      <c r="N36" s="368" t="n"/>
      <c r="O36" s="368" t="n"/>
      <c r="P36" s="368" t="n"/>
      <c r="Q36" s="368" t="n"/>
      <c r="R36" s="368" t="n"/>
      <c r="S36" s="368" t="n"/>
      <c r="T36" s="368" t="n"/>
      <c r="U36" s="368" t="n"/>
      <c r="V36" s="368" t="n"/>
      <c r="W36" s="368" t="n"/>
      <c r="X36" s="368" t="n"/>
      <c r="Y36" s="368" t="n"/>
      <c r="Z36" s="368" t="n"/>
      <c r="AA36" s="368" t="n"/>
      <c r="AB36" s="368" t="n"/>
      <c r="AC36" s="368" t="n"/>
      <c r="AD36" s="368" t="n"/>
      <c r="AE36" s="368" t="n"/>
      <c r="AF36" s="368" t="n"/>
      <c r="AG36" s="368" t="n"/>
      <c r="AH36" s="368" t="n"/>
      <c r="AI36" s="368" t="n"/>
      <c r="AJ36" s="368" t="n"/>
      <c r="AK36" s="368" t="n"/>
      <c r="AL36" s="368" t="n"/>
      <c r="AM36" s="368" t="n"/>
      <c r="AN36" s="368" t="n"/>
      <c r="AO36" s="368" t="n"/>
      <c r="AP36" s="368" t="n"/>
      <c r="AQ36" s="368" t="n"/>
      <c r="AR36" s="368" t="n"/>
      <c r="AS36" s="368" t="n"/>
      <c r="AT36" s="368" t="n"/>
      <c r="AU36" s="368" t="n"/>
      <c r="AV36" s="368" t="n"/>
      <c r="AW36" s="368" t="n"/>
      <c r="AX36" s="368" t="n"/>
      <c r="AY36" s="368" t="n"/>
      <c r="AZ36" s="368" t="n"/>
      <c r="BA36" s="368" t="n"/>
      <c r="BB36" s="368" t="n"/>
      <c r="BC36" s="368" t="n"/>
      <c r="BD36" s="368" t="n"/>
    </row>
    <row r="37" ht="12" customHeight="1" s="292">
      <c r="I37" s="135" t="n"/>
      <c r="J37" s="136" t="n"/>
      <c r="K37" s="137" t="n"/>
      <c r="L37" s="285" t="inlineStr">
        <is>
          <t xml:space="preserve">예시) </t>
        </is>
      </c>
      <c r="M37" s="368" t="n"/>
      <c r="N37" s="368" t="n"/>
      <c r="O37" s="368" t="n"/>
      <c r="P37" s="368" t="n"/>
      <c r="Q37" s="368" t="n"/>
      <c r="R37" s="368" t="n"/>
      <c r="S37" s="368" t="n"/>
      <c r="T37" s="368" t="n"/>
      <c r="U37" s="368" t="n"/>
      <c r="V37" s="368" t="n"/>
      <c r="W37" s="368" t="n"/>
      <c r="X37" s="368" t="n"/>
      <c r="Y37" s="368" t="n"/>
      <c r="Z37" s="368" t="n"/>
      <c r="AA37" s="368" t="n"/>
      <c r="AB37" s="368" t="n"/>
      <c r="AC37" s="368" t="n"/>
      <c r="AD37" s="368" t="n"/>
      <c r="AE37" s="368" t="n"/>
      <c r="AF37" s="368" t="n"/>
      <c r="AG37" s="368" t="n"/>
      <c r="AH37" s="368" t="n"/>
      <c r="AI37" s="368" t="n"/>
      <c r="AJ37" s="368" t="n"/>
      <c r="AK37" s="368" t="n"/>
      <c r="AL37" s="368" t="n"/>
      <c r="AM37" s="368" t="n"/>
      <c r="AN37" s="368" t="n"/>
      <c r="AO37" s="368" t="n"/>
      <c r="AP37" s="368" t="n"/>
      <c r="AQ37" s="368" t="n"/>
      <c r="AR37" s="368" t="n"/>
      <c r="AS37" s="368" t="n"/>
      <c r="AT37" s="368" t="n"/>
      <c r="AU37" s="368" t="n"/>
      <c r="AV37" s="368" t="n"/>
      <c r="AW37" s="368" t="n"/>
      <c r="AX37" s="368" t="n"/>
      <c r="AY37" s="368" t="n"/>
      <c r="AZ37" s="368" t="n"/>
      <c r="BA37" s="368" t="n"/>
      <c r="BB37" s="368" t="n"/>
      <c r="BC37" s="368" t="n"/>
      <c r="BD37" s="368" t="n"/>
    </row>
    <row r="38" ht="12" customHeight="1" s="292">
      <c r="I38" s="135" t="n"/>
      <c r="J38" s="136" t="n"/>
      <c r="K38" s="137" t="n"/>
      <c r="L38" s="285" t="inlineStr">
        <is>
          <t xml:space="preserve">예시) </t>
        </is>
      </c>
      <c r="M38" s="368" t="n"/>
      <c r="N38" s="368" t="n"/>
      <c r="O38" s="368" t="n"/>
      <c r="P38" s="368" t="n"/>
      <c r="Q38" s="368" t="n"/>
      <c r="R38" s="368" t="n"/>
      <c r="S38" s="368" t="n"/>
      <c r="T38" s="368" t="n"/>
      <c r="U38" s="368" t="n"/>
      <c r="V38" s="368" t="n"/>
      <c r="W38" s="368" t="n"/>
      <c r="X38" s="368" t="n"/>
      <c r="Y38" s="368" t="n"/>
      <c r="Z38" s="368" t="n"/>
      <c r="AA38" s="368" t="n"/>
      <c r="AB38" s="368" t="n"/>
      <c r="AC38" s="368" t="n"/>
      <c r="AD38" s="368" t="n"/>
      <c r="AE38" s="368" t="n"/>
      <c r="AF38" s="368" t="n"/>
      <c r="AG38" s="368" t="n"/>
      <c r="AH38" s="368" t="n"/>
      <c r="AI38" s="368" t="n"/>
      <c r="AJ38" s="368" t="n"/>
      <c r="AK38" s="368" t="n"/>
      <c r="AL38" s="368" t="n"/>
      <c r="AM38" s="368" t="n"/>
      <c r="AN38" s="368" t="n"/>
      <c r="AO38" s="368" t="n"/>
      <c r="AP38" s="368" t="n"/>
      <c r="AQ38" s="368" t="n"/>
      <c r="AR38" s="368" t="n"/>
      <c r="AS38" s="368" t="n"/>
      <c r="AT38" s="368" t="n"/>
      <c r="AU38" s="368" t="n"/>
      <c r="AV38" s="368" t="n"/>
      <c r="AW38" s="368" t="n"/>
      <c r="AX38" s="368" t="n"/>
      <c r="AY38" s="368" t="n"/>
      <c r="AZ38" s="368" t="n"/>
      <c r="BA38" s="368" t="n"/>
      <c r="BB38" s="368" t="n"/>
      <c r="BC38" s="368" t="n"/>
      <c r="BD38" s="368" t="n"/>
      <c r="BG38" s="0" t="n"/>
      <c r="BL38" s="323" t="n"/>
      <c r="BM38" s="323" t="n"/>
    </row>
    <row r="39" ht="12" customHeight="1" s="292">
      <c r="I39" s="134" t="n"/>
      <c r="J39" s="289" t="inlineStr">
        <is>
          <t>분석 가능한 고객센터 VOC 원문이 제공되지 않아 요약이 불가합니다</t>
        </is>
      </c>
    </row>
    <row r="40" ht="12" customHeight="1" s="292">
      <c r="I40" s="135" t="n"/>
      <c r="J40" s="136" t="n"/>
      <c r="K40" s="137" t="n"/>
      <c r="L40" s="285" t="inlineStr">
        <is>
          <t xml:space="preserve">예시) </t>
        </is>
      </c>
      <c r="M40" s="368" t="n"/>
      <c r="N40" s="368" t="n"/>
      <c r="O40" s="368" t="n"/>
      <c r="P40" s="368" t="n"/>
      <c r="Q40" s="368" t="n"/>
      <c r="R40" s="368" t="n"/>
      <c r="S40" s="368" t="n"/>
      <c r="T40" s="368" t="n"/>
      <c r="U40" s="368" t="n"/>
      <c r="V40" s="368" t="n"/>
      <c r="W40" s="368" t="n"/>
      <c r="X40" s="368" t="n"/>
      <c r="Y40" s="368" t="n"/>
      <c r="Z40" s="368" t="n"/>
      <c r="AA40" s="368" t="n"/>
      <c r="AB40" s="368" t="n"/>
      <c r="AC40" s="368" t="n"/>
      <c r="AD40" s="368" t="n"/>
      <c r="AE40" s="368" t="n"/>
      <c r="AF40" s="368" t="n"/>
      <c r="AG40" s="368" t="n"/>
      <c r="AH40" s="368" t="n"/>
      <c r="AI40" s="368" t="n"/>
      <c r="AJ40" s="368" t="n"/>
      <c r="AK40" s="368" t="n"/>
      <c r="AL40" s="368" t="n"/>
      <c r="AM40" s="368" t="n"/>
      <c r="AN40" s="368" t="n"/>
      <c r="AO40" s="368" t="n"/>
      <c r="AP40" s="368" t="n"/>
      <c r="AQ40" s="368" t="n"/>
      <c r="AR40" s="368" t="n"/>
      <c r="AS40" s="368" t="n"/>
      <c r="AT40" s="368" t="n"/>
      <c r="AU40" s="368" t="n"/>
      <c r="AV40" s="368" t="n"/>
      <c r="AW40" s="368" t="n"/>
      <c r="AX40" s="368" t="n"/>
      <c r="AY40" s="368" t="n"/>
      <c r="AZ40" s="368" t="n"/>
      <c r="BA40" s="368" t="n"/>
      <c r="BB40" s="368" t="n"/>
      <c r="BC40" s="368" t="n"/>
      <c r="BD40" s="368" t="n"/>
    </row>
    <row r="41" ht="12" customHeight="1" s="292">
      <c r="I41" s="135" t="n"/>
      <c r="J41" s="136" t="n"/>
      <c r="K41" s="137" t="n"/>
      <c r="L41" s="285" t="inlineStr">
        <is>
          <t xml:space="preserve">예시) </t>
        </is>
      </c>
      <c r="M41" s="368" t="n"/>
      <c r="N41" s="368" t="n"/>
      <c r="O41" s="368" t="n"/>
      <c r="P41" s="368" t="n"/>
      <c r="Q41" s="368" t="n"/>
      <c r="R41" s="368" t="n"/>
      <c r="S41" s="368" t="n"/>
      <c r="T41" s="368" t="n"/>
      <c r="U41" s="368" t="n"/>
      <c r="V41" s="368" t="n"/>
      <c r="W41" s="368" t="n"/>
      <c r="X41" s="368" t="n"/>
      <c r="Y41" s="368" t="n"/>
      <c r="Z41" s="368" t="n"/>
      <c r="AA41" s="368" t="n"/>
      <c r="AB41" s="368" t="n"/>
      <c r="AC41" s="368" t="n"/>
      <c r="AD41" s="368" t="n"/>
      <c r="AE41" s="368" t="n"/>
      <c r="AF41" s="368" t="n"/>
      <c r="AG41" s="368" t="n"/>
      <c r="AH41" s="368" t="n"/>
      <c r="AI41" s="368" t="n"/>
      <c r="AJ41" s="368" t="n"/>
      <c r="AK41" s="368" t="n"/>
      <c r="AL41" s="368" t="n"/>
      <c r="AM41" s="368" t="n"/>
      <c r="AN41" s="368" t="n"/>
      <c r="AO41" s="368" t="n"/>
      <c r="AP41" s="368" t="n"/>
      <c r="AQ41" s="368" t="n"/>
      <c r="AR41" s="368" t="n"/>
      <c r="AS41" s="368" t="n"/>
      <c r="AT41" s="368" t="n"/>
      <c r="AU41" s="368" t="n"/>
      <c r="AV41" s="368" t="n"/>
      <c r="AW41" s="368" t="n"/>
      <c r="AX41" s="368" t="n"/>
      <c r="AY41" s="368" t="n"/>
      <c r="AZ41" s="368" t="n"/>
      <c r="BA41" s="368" t="n"/>
      <c r="BB41" s="368" t="n"/>
      <c r="BC41" s="368" t="n"/>
      <c r="BD41" s="368" t="n"/>
    </row>
    <row r="42" ht="12" customHeight="1" s="292">
      <c r="I42" s="135" t="n"/>
      <c r="J42" s="136" t="n"/>
      <c r="K42" s="137" t="n"/>
      <c r="L42" s="285" t="inlineStr">
        <is>
          <t xml:space="preserve">예시) </t>
        </is>
      </c>
      <c r="M42" s="368" t="n"/>
      <c r="N42" s="368" t="n"/>
      <c r="O42" s="368" t="n"/>
      <c r="P42" s="368" t="n"/>
      <c r="Q42" s="368" t="n"/>
      <c r="R42" s="368" t="n"/>
      <c r="S42" s="368" t="n"/>
      <c r="T42" s="368" t="n"/>
      <c r="U42" s="368" t="n"/>
      <c r="V42" s="368" t="n"/>
      <c r="W42" s="368" t="n"/>
      <c r="X42" s="368" t="n"/>
      <c r="Y42" s="368" t="n"/>
      <c r="Z42" s="368" t="n"/>
      <c r="AA42" s="368" t="n"/>
      <c r="AB42" s="368" t="n"/>
      <c r="AC42" s="368" t="n"/>
      <c r="AD42" s="368" t="n"/>
      <c r="AE42" s="368" t="n"/>
      <c r="AF42" s="368" t="n"/>
      <c r="AG42" s="368" t="n"/>
      <c r="AH42" s="368" t="n"/>
      <c r="AI42" s="368" t="n"/>
      <c r="AJ42" s="368" t="n"/>
      <c r="AK42" s="368" t="n"/>
      <c r="AL42" s="368" t="n"/>
      <c r="AM42" s="368" t="n"/>
      <c r="AN42" s="368" t="n"/>
      <c r="AO42" s="368" t="n"/>
      <c r="AP42" s="368" t="n"/>
      <c r="AQ42" s="368" t="n"/>
      <c r="AR42" s="368" t="n"/>
      <c r="AS42" s="368" t="n"/>
      <c r="AT42" s="368" t="n"/>
      <c r="AU42" s="368" t="n"/>
      <c r="AV42" s="368" t="n"/>
      <c r="AW42" s="368" t="n"/>
      <c r="AX42" s="368" t="n"/>
      <c r="AY42" s="368" t="n"/>
      <c r="AZ42" s="368" t="n"/>
      <c r="BA42" s="368" t="n"/>
      <c r="BB42" s="368" t="n"/>
      <c r="BC42" s="368" t="n"/>
      <c r="BD42" s="368" t="n"/>
    </row>
    <row r="43" ht="12" customHeight="1" s="292">
      <c r="I43" s="134" t="n"/>
      <c r="J43" s="289" t="inlineStr">
        <is>
          <t>분석 가능한 고객센터 VOC 원문이 제공되지 않아 요약이 불가합니다</t>
        </is>
      </c>
    </row>
    <row r="44" ht="12" customHeight="1" s="292">
      <c r="I44" s="135" t="n"/>
      <c r="J44" s="136" t="n"/>
      <c r="K44" s="137" t="n"/>
      <c r="L44" s="285" t="inlineStr">
        <is>
          <t xml:space="preserve">예시) </t>
        </is>
      </c>
      <c r="M44" s="368" t="n"/>
      <c r="N44" s="368" t="n"/>
      <c r="O44" s="368" t="n"/>
      <c r="P44" s="368" t="n"/>
      <c r="Q44" s="368" t="n"/>
      <c r="R44" s="368" t="n"/>
      <c r="S44" s="368" t="n"/>
      <c r="T44" s="368" t="n"/>
      <c r="U44" s="368" t="n"/>
      <c r="V44" s="368" t="n"/>
      <c r="W44" s="368" t="n"/>
      <c r="X44" s="368" t="n"/>
      <c r="Y44" s="368" t="n"/>
      <c r="Z44" s="368" t="n"/>
      <c r="AA44" s="368" t="n"/>
      <c r="AB44" s="368" t="n"/>
      <c r="AC44" s="368" t="n"/>
      <c r="AD44" s="368" t="n"/>
      <c r="AE44" s="368" t="n"/>
      <c r="AF44" s="368" t="n"/>
      <c r="AG44" s="368" t="n"/>
      <c r="AH44" s="368" t="n"/>
      <c r="AI44" s="368" t="n"/>
      <c r="AJ44" s="368" t="n"/>
      <c r="AK44" s="368" t="n"/>
      <c r="AL44" s="368" t="n"/>
      <c r="AM44" s="368" t="n"/>
      <c r="AN44" s="368" t="n"/>
      <c r="AO44" s="368" t="n"/>
      <c r="AP44" s="368" t="n"/>
      <c r="AQ44" s="368" t="n"/>
      <c r="AR44" s="368" t="n"/>
      <c r="AS44" s="368" t="n"/>
      <c r="AT44" s="368" t="n"/>
      <c r="AU44" s="368" t="n"/>
      <c r="AV44" s="368" t="n"/>
      <c r="AW44" s="368" t="n"/>
      <c r="AX44" s="368" t="n"/>
      <c r="AY44" s="368" t="n"/>
      <c r="AZ44" s="368" t="n"/>
      <c r="BA44" s="368" t="n"/>
      <c r="BB44" s="368" t="n"/>
      <c r="BC44" s="368" t="n"/>
      <c r="BD44" s="368" t="n"/>
    </row>
    <row r="45" ht="12" customHeight="1" s="292">
      <c r="I45" s="135" t="n"/>
      <c r="J45" s="136" t="n"/>
      <c r="K45" s="137" t="n"/>
      <c r="L45" s="285" t="inlineStr">
        <is>
          <t xml:space="preserve">예시) </t>
        </is>
      </c>
      <c r="M45" s="368" t="n"/>
      <c r="N45" s="368" t="n"/>
      <c r="O45" s="368" t="n"/>
      <c r="P45" s="368" t="n"/>
      <c r="Q45" s="368" t="n"/>
      <c r="R45" s="368" t="n"/>
      <c r="S45" s="368" t="n"/>
      <c r="T45" s="368" t="n"/>
      <c r="U45" s="368" t="n"/>
      <c r="V45" s="368" t="n"/>
      <c r="W45" s="368" t="n"/>
      <c r="X45" s="368" t="n"/>
      <c r="Y45" s="368" t="n"/>
      <c r="Z45" s="368" t="n"/>
      <c r="AA45" s="368" t="n"/>
      <c r="AB45" s="368" t="n"/>
      <c r="AC45" s="368" t="n"/>
      <c r="AD45" s="368" t="n"/>
      <c r="AE45" s="368" t="n"/>
      <c r="AF45" s="368" t="n"/>
      <c r="AG45" s="368" t="n"/>
      <c r="AH45" s="368" t="n"/>
      <c r="AI45" s="368" t="n"/>
      <c r="AJ45" s="368" t="n"/>
      <c r="AK45" s="368" t="n"/>
      <c r="AL45" s="368" t="n"/>
      <c r="AM45" s="368" t="n"/>
      <c r="AN45" s="368" t="n"/>
      <c r="AO45" s="368" t="n"/>
      <c r="AP45" s="368" t="n"/>
      <c r="AQ45" s="368" t="n"/>
      <c r="AR45" s="368" t="n"/>
      <c r="AS45" s="368" t="n"/>
      <c r="AT45" s="368" t="n"/>
      <c r="AU45" s="368" t="n"/>
      <c r="AV45" s="368" t="n"/>
      <c r="AW45" s="368" t="n"/>
      <c r="AX45" s="368" t="n"/>
      <c r="AY45" s="368" t="n"/>
      <c r="AZ45" s="368" t="n"/>
      <c r="BA45" s="368" t="n"/>
      <c r="BB45" s="368" t="n"/>
      <c r="BC45" s="368" t="n"/>
      <c r="BD45" s="368" t="n"/>
    </row>
    <row r="46" ht="12" customHeight="1" s="292" thickBot="1">
      <c r="B46" s="369" t="n"/>
      <c r="C46" s="369" t="n"/>
      <c r="D46" s="369" t="n"/>
      <c r="E46" s="369" t="n"/>
      <c r="F46" s="369" t="n"/>
      <c r="G46" s="369" t="n"/>
      <c r="H46" s="369" t="n"/>
      <c r="I46" s="138" t="n"/>
      <c r="J46" s="139" t="n"/>
      <c r="K46" s="140" t="n"/>
      <c r="L46" s="286" t="inlineStr">
        <is>
          <t xml:space="preserve">예시) </t>
        </is>
      </c>
      <c r="M46" s="370" t="n"/>
      <c r="N46" s="370" t="n"/>
      <c r="O46" s="370" t="n"/>
      <c r="P46" s="370" t="n"/>
      <c r="Q46" s="370" t="n"/>
      <c r="R46" s="370" t="n"/>
      <c r="S46" s="370" t="n"/>
      <c r="T46" s="370" t="n"/>
      <c r="U46" s="370" t="n"/>
      <c r="V46" s="370" t="n"/>
      <c r="W46" s="370" t="n"/>
      <c r="X46" s="370" t="n"/>
      <c r="Y46" s="370" t="n"/>
      <c r="Z46" s="370" t="n"/>
      <c r="AA46" s="370" t="n"/>
      <c r="AB46" s="370" t="n"/>
      <c r="AC46" s="370" t="n"/>
      <c r="AD46" s="370" t="n"/>
      <c r="AE46" s="370" t="n"/>
      <c r="AF46" s="370" t="n"/>
      <c r="AG46" s="370" t="n"/>
      <c r="AH46" s="370" t="n"/>
      <c r="AI46" s="370" t="n"/>
      <c r="AJ46" s="370" t="n"/>
      <c r="AK46" s="370" t="n"/>
      <c r="AL46" s="370" t="n"/>
      <c r="AM46" s="370" t="n"/>
      <c r="AN46" s="370" t="n"/>
      <c r="AO46" s="370" t="n"/>
      <c r="AP46" s="370" t="n"/>
      <c r="AQ46" s="370" t="n"/>
      <c r="AR46" s="370" t="n"/>
      <c r="AS46" s="370" t="n"/>
      <c r="AT46" s="370" t="n"/>
      <c r="AU46" s="370" t="n"/>
      <c r="AV46" s="370" t="n"/>
      <c r="AW46" s="370" t="n"/>
      <c r="AX46" s="370" t="n"/>
      <c r="AY46" s="370" t="n"/>
      <c r="AZ46" s="370" t="n"/>
      <c r="BA46" s="370" t="n"/>
      <c r="BB46" s="370" t="n"/>
      <c r="BC46" s="370" t="n"/>
      <c r="BD46" s="370" t="n"/>
    </row>
    <row r="47" ht="24" customHeight="1" s="292">
      <c r="B47" s="282" t="inlineStr">
        <is>
          <t>상품</t>
        </is>
      </c>
      <c r="I47" s="283" t="inlineStr">
        <is>
          <t>이번주 관련 상품 VOC 데이터 부재로 분석 불가가 새로 확인되었으며, 지난주와 유사하게 낮은 금리·복잡한 절차·불친절 응대 불만이 지속됨</t>
        </is>
      </c>
    </row>
    <row r="48" ht="12" customHeight="1" s="292">
      <c r="I48" s="134" t="n"/>
      <c r="J48" s="287" t="inlineStr">
        <is>
          <t>관련 상품 VOC 데이터가 없어 분석을 진행할 수 없습니다</t>
        </is>
      </c>
      <c r="K48" s="367" t="n"/>
      <c r="L48" s="367" t="n"/>
      <c r="M48" s="367" t="n"/>
      <c r="N48" s="367" t="n"/>
      <c r="O48" s="367" t="n"/>
      <c r="P48" s="367" t="n"/>
      <c r="Q48" s="367" t="n"/>
      <c r="R48" s="367" t="n"/>
      <c r="S48" s="367" t="n"/>
      <c r="T48" s="367" t="n"/>
      <c r="U48" s="367" t="n"/>
      <c r="V48" s="367" t="n"/>
      <c r="W48" s="367" t="n"/>
      <c r="X48" s="367" t="n"/>
      <c r="Y48" s="367" t="n"/>
      <c r="Z48" s="367" t="n"/>
      <c r="AA48" s="367" t="n"/>
      <c r="AB48" s="367" t="n"/>
      <c r="AC48" s="367" t="n"/>
      <c r="AD48" s="367" t="n"/>
      <c r="AE48" s="367" t="n"/>
      <c r="AF48" s="367" t="n"/>
      <c r="AG48" s="367" t="n"/>
      <c r="AH48" s="367" t="n"/>
      <c r="AI48" s="367" t="n"/>
      <c r="AJ48" s="367" t="n"/>
      <c r="AK48" s="367" t="n"/>
      <c r="AL48" s="367" t="n"/>
      <c r="AM48" s="367" t="n"/>
      <c r="AN48" s="367" t="n"/>
      <c r="AO48" s="367" t="n"/>
      <c r="AP48" s="367" t="n"/>
      <c r="AQ48" s="367" t="n"/>
      <c r="AR48" s="367" t="n"/>
      <c r="AS48" s="367" t="n"/>
      <c r="AT48" s="367" t="n"/>
      <c r="AU48" s="367" t="n"/>
      <c r="AV48" s="367" t="n"/>
      <c r="AW48" s="367" t="n"/>
      <c r="AX48" s="367" t="n"/>
      <c r="AY48" s="367" t="n"/>
      <c r="AZ48" s="367" t="n"/>
      <c r="BA48" s="367" t="n"/>
      <c r="BB48" s="367" t="n"/>
      <c r="BC48" s="367" t="n"/>
      <c r="BD48" s="367" t="n"/>
    </row>
    <row r="49" ht="12" customHeight="1" s="292">
      <c r="I49" s="135" t="n"/>
      <c r="J49" s="136" t="n"/>
      <c r="K49" s="137" t="n"/>
      <c r="L49" s="285" t="inlineStr">
        <is>
          <t xml:space="preserve">예시) </t>
        </is>
      </c>
      <c r="M49" s="368" t="n"/>
      <c r="N49" s="368" t="n"/>
      <c r="O49" s="368" t="n"/>
      <c r="P49" s="368" t="n"/>
      <c r="Q49" s="368" t="n"/>
      <c r="R49" s="368" t="n"/>
      <c r="S49" s="368" t="n"/>
      <c r="T49" s="368" t="n"/>
      <c r="U49" s="368" t="n"/>
      <c r="V49" s="368" t="n"/>
      <c r="W49" s="368" t="n"/>
      <c r="X49" s="368" t="n"/>
      <c r="Y49" s="368" t="n"/>
      <c r="Z49" s="368" t="n"/>
      <c r="AA49" s="368" t="n"/>
      <c r="AB49" s="368" t="n"/>
      <c r="AC49" s="368" t="n"/>
      <c r="AD49" s="368" t="n"/>
      <c r="AE49" s="368" t="n"/>
      <c r="AF49" s="368" t="n"/>
      <c r="AG49" s="368" t="n"/>
      <c r="AH49" s="368" t="n"/>
      <c r="AI49" s="368" t="n"/>
      <c r="AJ49" s="368" t="n"/>
      <c r="AK49" s="368" t="n"/>
      <c r="AL49" s="368" t="n"/>
      <c r="AM49" s="368" t="n"/>
      <c r="AN49" s="368" t="n"/>
      <c r="AO49" s="368" t="n"/>
      <c r="AP49" s="368" t="n"/>
      <c r="AQ49" s="368" t="n"/>
      <c r="AR49" s="368" t="n"/>
      <c r="AS49" s="368" t="n"/>
      <c r="AT49" s="368" t="n"/>
      <c r="AU49" s="368" t="n"/>
      <c r="AV49" s="368" t="n"/>
      <c r="AW49" s="368" t="n"/>
      <c r="AX49" s="368" t="n"/>
      <c r="AY49" s="368" t="n"/>
      <c r="AZ49" s="368" t="n"/>
      <c r="BA49" s="368" t="n"/>
      <c r="BB49" s="368" t="n"/>
      <c r="BC49" s="368" t="n"/>
      <c r="BD49" s="368" t="n"/>
    </row>
    <row r="50" ht="12" customHeight="1" s="292">
      <c r="I50" s="135" t="n"/>
      <c r="J50" s="136" t="n"/>
      <c r="K50" s="137" t="n"/>
      <c r="L50" s="285" t="inlineStr">
        <is>
          <t xml:space="preserve">예시) </t>
        </is>
      </c>
      <c r="M50" s="368" t="n"/>
      <c r="N50" s="368" t="n"/>
      <c r="O50" s="368" t="n"/>
      <c r="P50" s="368" t="n"/>
      <c r="Q50" s="368" t="n"/>
      <c r="R50" s="368" t="n"/>
      <c r="S50" s="368" t="n"/>
      <c r="T50" s="368" t="n"/>
      <c r="U50" s="368" t="n"/>
      <c r="V50" s="368" t="n"/>
      <c r="W50" s="368" t="n"/>
      <c r="X50" s="368" t="n"/>
      <c r="Y50" s="368" t="n"/>
      <c r="Z50" s="368" t="n"/>
      <c r="AA50" s="368" t="n"/>
      <c r="AB50" s="368" t="n"/>
      <c r="AC50" s="368" t="n"/>
      <c r="AD50" s="368" t="n"/>
      <c r="AE50" s="368" t="n"/>
      <c r="AF50" s="368" t="n"/>
      <c r="AG50" s="368" t="n"/>
      <c r="AH50" s="368" t="n"/>
      <c r="AI50" s="368" t="n"/>
      <c r="AJ50" s="368" t="n"/>
      <c r="AK50" s="368" t="n"/>
      <c r="AL50" s="368" t="n"/>
      <c r="AM50" s="368" t="n"/>
      <c r="AN50" s="368" t="n"/>
      <c r="AO50" s="368" t="n"/>
      <c r="AP50" s="368" t="n"/>
      <c r="AQ50" s="368" t="n"/>
      <c r="AR50" s="368" t="n"/>
      <c r="AS50" s="368" t="n"/>
      <c r="AT50" s="368" t="n"/>
      <c r="AU50" s="368" t="n"/>
      <c r="AV50" s="368" t="n"/>
      <c r="AW50" s="368" t="n"/>
      <c r="AX50" s="368" t="n"/>
      <c r="AY50" s="368" t="n"/>
      <c r="AZ50" s="368" t="n"/>
      <c r="BA50" s="368" t="n"/>
      <c r="BB50" s="368" t="n"/>
      <c r="BC50" s="368" t="n"/>
      <c r="BD50" s="368" t="n"/>
    </row>
    <row r="51" ht="12" customHeight="1" s="292">
      <c r="I51" s="135" t="n"/>
      <c r="J51" s="136" t="n"/>
      <c r="K51" s="137" t="n"/>
      <c r="L51" s="285" t="inlineStr">
        <is>
          <t xml:space="preserve">예시) </t>
        </is>
      </c>
      <c r="M51" s="368" t="n"/>
      <c r="N51" s="368" t="n"/>
      <c r="O51" s="368" t="n"/>
      <c r="P51" s="368" t="n"/>
      <c r="Q51" s="368" t="n"/>
      <c r="R51" s="368" t="n"/>
      <c r="S51" s="368" t="n"/>
      <c r="T51" s="368" t="n"/>
      <c r="U51" s="368" t="n"/>
      <c r="V51" s="368" t="n"/>
      <c r="W51" s="368" t="n"/>
      <c r="X51" s="368" t="n"/>
      <c r="Y51" s="368" t="n"/>
      <c r="Z51" s="368" t="n"/>
      <c r="AA51" s="368" t="n"/>
      <c r="AB51" s="368" t="n"/>
      <c r="AC51" s="368" t="n"/>
      <c r="AD51" s="368" t="n"/>
      <c r="AE51" s="368" t="n"/>
      <c r="AF51" s="368" t="n"/>
      <c r="AG51" s="368" t="n"/>
      <c r="AH51" s="368" t="n"/>
      <c r="AI51" s="368" t="n"/>
      <c r="AJ51" s="368" t="n"/>
      <c r="AK51" s="368" t="n"/>
      <c r="AL51" s="368" t="n"/>
      <c r="AM51" s="368" t="n"/>
      <c r="AN51" s="368" t="n"/>
      <c r="AO51" s="368" t="n"/>
      <c r="AP51" s="368" t="n"/>
      <c r="AQ51" s="368" t="n"/>
      <c r="AR51" s="368" t="n"/>
      <c r="AS51" s="368" t="n"/>
      <c r="AT51" s="368" t="n"/>
      <c r="AU51" s="368" t="n"/>
      <c r="AV51" s="368" t="n"/>
      <c r="AW51" s="368" t="n"/>
      <c r="AX51" s="368" t="n"/>
      <c r="AY51" s="368" t="n"/>
      <c r="AZ51" s="368" t="n"/>
      <c r="BA51" s="368" t="n"/>
      <c r="BB51" s="368" t="n"/>
      <c r="BC51" s="368" t="n"/>
      <c r="BD51" s="368" t="n"/>
    </row>
    <row r="52" ht="12" customHeight="1" s="292">
      <c r="I52" s="134" t="n"/>
      <c r="J52" s="289" t="inlineStr">
        <is>
          <t>관련 상품 VOC 데이터가 없어 분석을 진행할 수 없습니다</t>
        </is>
      </c>
    </row>
    <row r="53" ht="12" customHeight="1" s="292">
      <c r="I53" s="135" t="n"/>
      <c r="J53" s="136" t="n"/>
      <c r="K53" s="137" t="n"/>
      <c r="L53" s="285" t="inlineStr">
        <is>
          <t xml:space="preserve">예시) </t>
        </is>
      </c>
      <c r="M53" s="368" t="n"/>
      <c r="N53" s="368" t="n"/>
      <c r="O53" s="368" t="n"/>
      <c r="P53" s="368" t="n"/>
      <c r="Q53" s="368" t="n"/>
      <c r="R53" s="368" t="n"/>
      <c r="S53" s="368" t="n"/>
      <c r="T53" s="368" t="n"/>
      <c r="U53" s="368" t="n"/>
      <c r="V53" s="368" t="n"/>
      <c r="W53" s="368" t="n"/>
      <c r="X53" s="368" t="n"/>
      <c r="Y53" s="368" t="n"/>
      <c r="Z53" s="368" t="n"/>
      <c r="AA53" s="368" t="n"/>
      <c r="AB53" s="368" t="n"/>
      <c r="AC53" s="368" t="n"/>
      <c r="AD53" s="368" t="n"/>
      <c r="AE53" s="368" t="n"/>
      <c r="AF53" s="368" t="n"/>
      <c r="AG53" s="368" t="n"/>
      <c r="AH53" s="368" t="n"/>
      <c r="AI53" s="368" t="n"/>
      <c r="AJ53" s="368" t="n"/>
      <c r="AK53" s="368" t="n"/>
      <c r="AL53" s="368" t="n"/>
      <c r="AM53" s="368" t="n"/>
      <c r="AN53" s="368" t="n"/>
      <c r="AO53" s="368" t="n"/>
      <c r="AP53" s="368" t="n"/>
      <c r="AQ53" s="368" t="n"/>
      <c r="AR53" s="368" t="n"/>
      <c r="AS53" s="368" t="n"/>
      <c r="AT53" s="368" t="n"/>
      <c r="AU53" s="368" t="n"/>
      <c r="AV53" s="368" t="n"/>
      <c r="AW53" s="368" t="n"/>
      <c r="AX53" s="368" t="n"/>
      <c r="AY53" s="368" t="n"/>
      <c r="AZ53" s="368" t="n"/>
      <c r="BA53" s="368" t="n"/>
      <c r="BB53" s="368" t="n"/>
      <c r="BC53" s="368" t="n"/>
      <c r="BD53" s="368" t="n"/>
    </row>
    <row r="54" ht="12" customHeight="1" s="292">
      <c r="I54" s="135" t="n"/>
      <c r="J54" s="136" t="n"/>
      <c r="K54" s="137" t="n"/>
      <c r="L54" s="285" t="inlineStr">
        <is>
          <t xml:space="preserve">예시) </t>
        </is>
      </c>
      <c r="M54" s="368" t="n"/>
      <c r="N54" s="368" t="n"/>
      <c r="O54" s="368" t="n"/>
      <c r="P54" s="368" t="n"/>
      <c r="Q54" s="368" t="n"/>
      <c r="R54" s="368" t="n"/>
      <c r="S54" s="368" t="n"/>
      <c r="T54" s="368" t="n"/>
      <c r="U54" s="368" t="n"/>
      <c r="V54" s="368" t="n"/>
      <c r="W54" s="368" t="n"/>
      <c r="X54" s="368" t="n"/>
      <c r="Y54" s="368" t="n"/>
      <c r="Z54" s="368" t="n"/>
      <c r="AA54" s="368" t="n"/>
      <c r="AB54" s="368" t="n"/>
      <c r="AC54" s="368" t="n"/>
      <c r="AD54" s="368" t="n"/>
      <c r="AE54" s="368" t="n"/>
      <c r="AF54" s="368" t="n"/>
      <c r="AG54" s="368" t="n"/>
      <c r="AH54" s="368" t="n"/>
      <c r="AI54" s="368" t="n"/>
      <c r="AJ54" s="368" t="n"/>
      <c r="AK54" s="368" t="n"/>
      <c r="AL54" s="368" t="n"/>
      <c r="AM54" s="368" t="n"/>
      <c r="AN54" s="368" t="n"/>
      <c r="AO54" s="368" t="n"/>
      <c r="AP54" s="368" t="n"/>
      <c r="AQ54" s="368" t="n"/>
      <c r="AR54" s="368" t="n"/>
      <c r="AS54" s="368" t="n"/>
      <c r="AT54" s="368" t="n"/>
      <c r="AU54" s="368" t="n"/>
      <c r="AV54" s="368" t="n"/>
      <c r="AW54" s="368" t="n"/>
      <c r="AX54" s="368" t="n"/>
      <c r="AY54" s="368" t="n"/>
      <c r="AZ54" s="368" t="n"/>
      <c r="BA54" s="368" t="n"/>
      <c r="BB54" s="368" t="n"/>
      <c r="BC54" s="368" t="n"/>
      <c r="BD54" s="368" t="n"/>
    </row>
    <row r="55" ht="12" customHeight="1" s="292">
      <c r="I55" s="135" t="n"/>
      <c r="J55" s="136" t="n"/>
      <c r="K55" s="137" t="n"/>
      <c r="L55" s="285" t="inlineStr">
        <is>
          <t xml:space="preserve">예시) </t>
        </is>
      </c>
      <c r="M55" s="368" t="n"/>
      <c r="N55" s="368" t="n"/>
      <c r="O55" s="368" t="n"/>
      <c r="P55" s="368" t="n"/>
      <c r="Q55" s="368" t="n"/>
      <c r="R55" s="368" t="n"/>
      <c r="S55" s="368" t="n"/>
      <c r="T55" s="368" t="n"/>
      <c r="U55" s="368" t="n"/>
      <c r="V55" s="368" t="n"/>
      <c r="W55" s="368" t="n"/>
      <c r="X55" s="368" t="n"/>
      <c r="Y55" s="368" t="n"/>
      <c r="Z55" s="368" t="n"/>
      <c r="AA55" s="368" t="n"/>
      <c r="AB55" s="368" t="n"/>
      <c r="AC55" s="368" t="n"/>
      <c r="AD55" s="368" t="n"/>
      <c r="AE55" s="368" t="n"/>
      <c r="AF55" s="368" t="n"/>
      <c r="AG55" s="368" t="n"/>
      <c r="AH55" s="368" t="n"/>
      <c r="AI55" s="368" t="n"/>
      <c r="AJ55" s="368" t="n"/>
      <c r="AK55" s="368" t="n"/>
      <c r="AL55" s="368" t="n"/>
      <c r="AM55" s="368" t="n"/>
      <c r="AN55" s="368" t="n"/>
      <c r="AO55" s="368" t="n"/>
      <c r="AP55" s="368" t="n"/>
      <c r="AQ55" s="368" t="n"/>
      <c r="AR55" s="368" t="n"/>
      <c r="AS55" s="368" t="n"/>
      <c r="AT55" s="368" t="n"/>
      <c r="AU55" s="368" t="n"/>
      <c r="AV55" s="368" t="n"/>
      <c r="AW55" s="368" t="n"/>
      <c r="AX55" s="368" t="n"/>
      <c r="AY55" s="368" t="n"/>
      <c r="AZ55" s="368" t="n"/>
      <c r="BA55" s="368" t="n"/>
      <c r="BB55" s="368" t="n"/>
      <c r="BC55" s="368" t="n"/>
      <c r="BD55" s="368" t="n"/>
    </row>
    <row r="56" ht="12" customHeight="1" s="292">
      <c r="I56" s="134" t="n"/>
      <c r="J56" s="289" t="inlineStr">
        <is>
          <t>관련 상품 VOC 데이터가 없어 분석을 진행할 수 없습니다</t>
        </is>
      </c>
    </row>
    <row r="57" ht="12" customHeight="1" s="292">
      <c r="I57" s="135" t="n"/>
      <c r="J57" s="136" t="n"/>
      <c r="K57" s="137" t="n"/>
      <c r="L57" s="285" t="inlineStr">
        <is>
          <t xml:space="preserve">예시) </t>
        </is>
      </c>
      <c r="M57" s="368" t="n"/>
      <c r="N57" s="368" t="n"/>
      <c r="O57" s="368" t="n"/>
      <c r="P57" s="368" t="n"/>
      <c r="Q57" s="368" t="n"/>
      <c r="R57" s="368" t="n"/>
      <c r="S57" s="368" t="n"/>
      <c r="T57" s="368" t="n"/>
      <c r="U57" s="368" t="n"/>
      <c r="V57" s="368" t="n"/>
      <c r="W57" s="368" t="n"/>
      <c r="X57" s="368" t="n"/>
      <c r="Y57" s="368" t="n"/>
      <c r="Z57" s="368" t="n"/>
      <c r="AA57" s="368" t="n"/>
      <c r="AB57" s="368" t="n"/>
      <c r="AC57" s="368" t="n"/>
      <c r="AD57" s="368" t="n"/>
      <c r="AE57" s="368" t="n"/>
      <c r="AF57" s="368" t="n"/>
      <c r="AG57" s="368" t="n"/>
      <c r="AH57" s="368" t="n"/>
      <c r="AI57" s="368" t="n"/>
      <c r="AJ57" s="368" t="n"/>
      <c r="AK57" s="368" t="n"/>
      <c r="AL57" s="368" t="n"/>
      <c r="AM57" s="368" t="n"/>
      <c r="AN57" s="368" t="n"/>
      <c r="AO57" s="368" t="n"/>
      <c r="AP57" s="368" t="n"/>
      <c r="AQ57" s="368" t="n"/>
      <c r="AR57" s="368" t="n"/>
      <c r="AS57" s="368" t="n"/>
      <c r="AT57" s="368" t="n"/>
      <c r="AU57" s="368" t="n"/>
      <c r="AV57" s="368" t="n"/>
      <c r="AW57" s="368" t="n"/>
      <c r="AX57" s="368" t="n"/>
      <c r="AY57" s="368" t="n"/>
      <c r="AZ57" s="368" t="n"/>
      <c r="BA57" s="368" t="n"/>
      <c r="BB57" s="368" t="n"/>
      <c r="BC57" s="368" t="n"/>
      <c r="BD57" s="368" t="n"/>
    </row>
    <row r="58" ht="12" customHeight="1" s="292">
      <c r="I58" s="135" t="n"/>
      <c r="J58" s="136" t="n"/>
      <c r="K58" s="137" t="n"/>
      <c r="L58" s="285" t="inlineStr">
        <is>
          <t xml:space="preserve">예시) </t>
        </is>
      </c>
      <c r="M58" s="368" t="n"/>
      <c r="N58" s="368" t="n"/>
      <c r="O58" s="368" t="n"/>
      <c r="P58" s="368" t="n"/>
      <c r="Q58" s="368" t="n"/>
      <c r="R58" s="368" t="n"/>
      <c r="S58" s="368" t="n"/>
      <c r="T58" s="368" t="n"/>
      <c r="U58" s="368" t="n"/>
      <c r="V58" s="368" t="n"/>
      <c r="W58" s="368" t="n"/>
      <c r="X58" s="368" t="n"/>
      <c r="Y58" s="368" t="n"/>
      <c r="Z58" s="368" t="n"/>
      <c r="AA58" s="368" t="n"/>
      <c r="AB58" s="368" t="n"/>
      <c r="AC58" s="368" t="n"/>
      <c r="AD58" s="368" t="n"/>
      <c r="AE58" s="368" t="n"/>
      <c r="AF58" s="368" t="n"/>
      <c r="AG58" s="368" t="n"/>
      <c r="AH58" s="368" t="n"/>
      <c r="AI58" s="368" t="n"/>
      <c r="AJ58" s="368" t="n"/>
      <c r="AK58" s="368" t="n"/>
      <c r="AL58" s="368" t="n"/>
      <c r="AM58" s="368" t="n"/>
      <c r="AN58" s="368" t="n"/>
      <c r="AO58" s="368" t="n"/>
      <c r="AP58" s="368" t="n"/>
      <c r="AQ58" s="368" t="n"/>
      <c r="AR58" s="368" t="n"/>
      <c r="AS58" s="368" t="n"/>
      <c r="AT58" s="368" t="n"/>
      <c r="AU58" s="368" t="n"/>
      <c r="AV58" s="368" t="n"/>
      <c r="AW58" s="368" t="n"/>
      <c r="AX58" s="368" t="n"/>
      <c r="AY58" s="368" t="n"/>
      <c r="AZ58" s="368" t="n"/>
      <c r="BA58" s="368" t="n"/>
      <c r="BB58" s="368" t="n"/>
      <c r="BC58" s="368" t="n"/>
      <c r="BD58" s="368" t="n"/>
    </row>
    <row r="59" ht="12" customHeight="1" s="292" thickBot="1">
      <c r="B59" s="369" t="n"/>
      <c r="C59" s="369" t="n"/>
      <c r="D59" s="369" t="n"/>
      <c r="E59" s="369" t="n"/>
      <c r="F59" s="369" t="n"/>
      <c r="G59" s="369" t="n"/>
      <c r="H59" s="369" t="n"/>
      <c r="I59" s="138" t="n"/>
      <c r="J59" s="139" t="n"/>
      <c r="K59" s="140" t="n"/>
      <c r="L59" s="286" t="inlineStr">
        <is>
          <t xml:space="preserve">예시) </t>
        </is>
      </c>
      <c r="M59" s="370" t="n"/>
      <c r="N59" s="370" t="n"/>
      <c r="O59" s="370" t="n"/>
      <c r="P59" s="370" t="n"/>
      <c r="Q59" s="370" t="n"/>
      <c r="R59" s="370" t="n"/>
      <c r="S59" s="370" t="n"/>
      <c r="T59" s="370" t="n"/>
      <c r="U59" s="370" t="n"/>
      <c r="V59" s="370" t="n"/>
      <c r="W59" s="370" t="n"/>
      <c r="X59" s="370" t="n"/>
      <c r="Y59" s="370" t="n"/>
      <c r="Z59" s="370" t="n"/>
      <c r="AA59" s="370" t="n"/>
      <c r="AB59" s="370" t="n"/>
      <c r="AC59" s="370" t="n"/>
      <c r="AD59" s="370" t="n"/>
      <c r="AE59" s="370" t="n"/>
      <c r="AF59" s="370" t="n"/>
      <c r="AG59" s="370" t="n"/>
      <c r="AH59" s="370" t="n"/>
      <c r="AI59" s="370" t="n"/>
      <c r="AJ59" s="370" t="n"/>
      <c r="AK59" s="370" t="n"/>
      <c r="AL59" s="370" t="n"/>
      <c r="AM59" s="370" t="n"/>
      <c r="AN59" s="370" t="n"/>
      <c r="AO59" s="370" t="n"/>
      <c r="AP59" s="370" t="n"/>
      <c r="AQ59" s="370" t="n"/>
      <c r="AR59" s="370" t="n"/>
      <c r="AS59" s="370" t="n"/>
      <c r="AT59" s="370" t="n"/>
      <c r="AU59" s="370" t="n"/>
      <c r="AV59" s="370" t="n"/>
      <c r="AW59" s="370" t="n"/>
      <c r="AX59" s="370" t="n"/>
      <c r="AY59" s="370" t="n"/>
      <c r="AZ59" s="370" t="n"/>
      <c r="BA59" s="370" t="n"/>
      <c r="BB59" s="370" t="n"/>
      <c r="BC59" s="370" t="n"/>
      <c r="BD59" s="370" t="n"/>
    </row>
  </sheetData>
  <mergeCells count="57">
    <mergeCell ref="L32:BD32"/>
    <mergeCell ref="L16:BD16"/>
    <mergeCell ref="J43:BD43"/>
    <mergeCell ref="L28:BD28"/>
    <mergeCell ref="L19:BD19"/>
    <mergeCell ref="L37:BD37"/>
    <mergeCell ref="L57:BD57"/>
    <mergeCell ref="L53:BD53"/>
    <mergeCell ref="B21:H33"/>
    <mergeCell ref="J52:BD52"/>
    <mergeCell ref="L12:BD12"/>
    <mergeCell ref="J48:BD48"/>
    <mergeCell ref="L15:BD15"/>
    <mergeCell ref="J17:BD17"/>
    <mergeCell ref="J39:BD39"/>
    <mergeCell ref="I47:BD47"/>
    <mergeCell ref="L24:BD24"/>
    <mergeCell ref="L42:BD42"/>
    <mergeCell ref="B8:H20"/>
    <mergeCell ref="L18:BD18"/>
    <mergeCell ref="L14:BD14"/>
    <mergeCell ref="L33:BD33"/>
    <mergeCell ref="L23:BD23"/>
    <mergeCell ref="L45:BD45"/>
    <mergeCell ref="L55:BD55"/>
    <mergeCell ref="I21:BD21"/>
    <mergeCell ref="J13:BD13"/>
    <mergeCell ref="L29:BD29"/>
    <mergeCell ref="L51:BD51"/>
    <mergeCell ref="L20:BD20"/>
    <mergeCell ref="L38:BD38"/>
    <mergeCell ref="J9:BD9"/>
    <mergeCell ref="L58:BD58"/>
    <mergeCell ref="L10:BD10"/>
    <mergeCell ref="J30:BD30"/>
    <mergeCell ref="L54:BD54"/>
    <mergeCell ref="L50:BD50"/>
    <mergeCell ref="L25:BD25"/>
    <mergeCell ref="L44:BD44"/>
    <mergeCell ref="L41:BD41"/>
    <mergeCell ref="L31:BD31"/>
    <mergeCell ref="I8:BD8"/>
    <mergeCell ref="B34:H46"/>
    <mergeCell ref="L40:BD40"/>
    <mergeCell ref="L59:BD59"/>
    <mergeCell ref="B5:H6"/>
    <mergeCell ref="J26:BD26"/>
    <mergeCell ref="L46:BD46"/>
    <mergeCell ref="J35:BD35"/>
    <mergeCell ref="L36:BD36"/>
    <mergeCell ref="L11:BD11"/>
    <mergeCell ref="L49:BD49"/>
    <mergeCell ref="L27:BD27"/>
    <mergeCell ref="I34:BD34"/>
    <mergeCell ref="B47:H59"/>
    <mergeCell ref="J22:BD22"/>
    <mergeCell ref="J56:BD56"/>
  </mergeCells>
  <pageMargins left="0.25" right="0.25" top="0.75" bottom="0.75" header="0.3" footer="0.3"/>
  <pageSetup orientation="portrait" paperSize="9" scale="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서승원 팀원(대리)</dc:creator>
  <dcterms:created xmlns:dcterms="http://purl.org/dc/terms/" xmlns:xsi="http://www.w3.org/2001/XMLSchema-instance" xsi:type="dcterms:W3CDTF">2025-12-16T04:10:31Z</dcterms:created>
  <dcterms:modified xmlns:dcterms="http://purl.org/dc/terms/" xmlns:xsi="http://www.w3.org/2001/XMLSchema-instance" xsi:type="dcterms:W3CDTF">2026-03-04T09:21:22Z</dcterms:modified>
  <cp:lastModifiedBy>서승원 팀원(대리)</cp:lastModifiedBy>
  <cp:lastPrinted>2025-12-16T06:22:24Z</cp:lastPrinted>
</cp:coreProperties>
</file>